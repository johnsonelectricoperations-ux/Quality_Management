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comments18.xml" ContentType="application/vnd.openxmlformats-officedocument.spreadsheetml.comments+xml"/>
  <Override PartName="/xl/threadedComments/threadedComment18.xml" ContentType="application/vnd.ms-excel.threadedcomments+xml"/>
  <Override PartName="/xl/comments19.xml" ContentType="application/vnd.openxmlformats-officedocument.spreadsheetml.comments+xml"/>
  <Override PartName="/xl/threadedComments/threadedComment19.xml" ContentType="application/vnd.ms-excel.threadedcomments+xml"/>
  <Override PartName="/xl/comments20.xml" ContentType="application/vnd.openxmlformats-officedocument.spreadsheetml.comments+xml"/>
  <Override PartName="/xl/threadedComments/threadedComment20.xml" ContentType="application/vnd.ms-excel.threadedcomments+xml"/>
  <Override PartName="/xl/comments21.xml" ContentType="application/vnd.openxmlformats-officedocument.spreadsheetml.comments+xml"/>
  <Override PartName="/xl/threadedComments/threadedComment21.xml" ContentType="application/vnd.ms-excel.threadedcomments+xml"/>
  <Override PartName="/xl/comments22.xml" ContentType="application/vnd.openxmlformats-officedocument.spreadsheetml.comments+xml"/>
  <Override PartName="/xl/threadedComments/threadedComment22.xml" ContentType="application/vnd.ms-excel.threadedcomments+xml"/>
  <Override PartName="/xl/comments23.xml" ContentType="application/vnd.openxmlformats-officedocument.spreadsheetml.comments+xml"/>
  <Override PartName="/xl/threadedComments/threadedComment23.xml" ContentType="application/vnd.ms-excel.threadedcomments+xml"/>
  <Override PartName="/xl/comments24.xml" ContentType="application/vnd.openxmlformats-officedocument.spreadsheetml.comments+xml"/>
  <Override PartName="/xl/threadedComments/threadedComment24.xml" ContentType="application/vnd.ms-excel.threadedcomments+xml"/>
  <Override PartName="/xl/comments25.xml" ContentType="application/vnd.openxmlformats-officedocument.spreadsheetml.comments+xml"/>
  <Override PartName="/xl/threadedComments/threadedComment2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Carp130001\품질관리공유\품질관리 문서\01 사무실\00 품질실적\02.공정별 불량실적(Setting &amp; 공정불량)\02.생산 2Part\04.후처리 선별불량(공정불량)\2026\"/>
    </mc:Choice>
  </mc:AlternateContent>
  <xr:revisionPtr revIDLastSave="0" documentId="13_ncr:1_{61BFAC52-F3D6-4BE0-8C95-C4E9BBEFD081}" xr6:coauthVersionLast="47" xr6:coauthVersionMax="47" xr10:uidLastSave="{00000000-0000-0000-0000-000000000000}"/>
  <bookViews>
    <workbookView xWindow="-23148" yWindow="-108" windowWidth="23256" windowHeight="12456" tabRatio="974" activeTab="28" xr2:uid="{00000000-000D-0000-FFFF-FFFF00000000}"/>
  </bookViews>
  <sheets>
    <sheet name="1" sheetId="116" r:id="rId1"/>
    <sheet name="2" sheetId="118" r:id="rId2"/>
    <sheet name="3" sheetId="117" r:id="rId3"/>
    <sheet name="4" sheetId="121" r:id="rId4"/>
    <sheet name="5" sheetId="120" r:id="rId5"/>
    <sheet name="6" sheetId="119" r:id="rId6"/>
    <sheet name="7" sheetId="123" r:id="rId7"/>
    <sheet name="8" sheetId="122" r:id="rId8"/>
    <sheet name="9" sheetId="125" r:id="rId9"/>
    <sheet name="10" sheetId="124" r:id="rId10"/>
    <sheet name="11" sheetId="126" r:id="rId11"/>
    <sheet name="12" sheetId="127" r:id="rId12"/>
    <sheet name="13" sheetId="128" r:id="rId13"/>
    <sheet name="14" sheetId="130" r:id="rId14"/>
    <sheet name="15" sheetId="129" r:id="rId15"/>
    <sheet name="16" sheetId="131" r:id="rId16"/>
    <sheet name="17" sheetId="108" r:id="rId17"/>
    <sheet name="18" sheetId="112" r:id="rId18"/>
    <sheet name="19" sheetId="109" r:id="rId19"/>
    <sheet name="20" sheetId="110" r:id="rId20"/>
    <sheet name="21" sheetId="113" r:id="rId21"/>
    <sheet name="22" sheetId="111" r:id="rId22"/>
    <sheet name="23" sheetId="115" r:id="rId23"/>
    <sheet name="24" sheetId="105" r:id="rId24"/>
    <sheet name="25" sheetId="114" r:id="rId25"/>
    <sheet name="26" sheetId="104" r:id="rId26"/>
    <sheet name="27" sheetId="107" r:id="rId27"/>
    <sheet name="28" sheetId="106" r:id="rId28"/>
    <sheet name="29" sheetId="102" r:id="rId29"/>
    <sheet name="30" sheetId="101" r:id="rId30"/>
    <sheet name="31" sheetId="103" r:id="rId31"/>
    <sheet name="종합" sheetId="47" r:id="rId32"/>
  </sheets>
  <definedNames>
    <definedName name="_xlnm._FilterDatabase" localSheetId="0" hidden="1">'1'!$A$5:$AM$97</definedName>
    <definedName name="_xlnm._FilterDatabase" localSheetId="9" hidden="1">'10'!$A$5:$AM$97</definedName>
    <definedName name="_xlnm._FilterDatabase" localSheetId="10" hidden="1">'11'!$A$5:$AM$97</definedName>
    <definedName name="_xlnm._FilterDatabase" localSheetId="11" hidden="1">'12'!$A$5:$AM$97</definedName>
    <definedName name="_xlnm._FilterDatabase" localSheetId="12" hidden="1">'13'!$A$5:$AM$97</definedName>
    <definedName name="_xlnm._FilterDatabase" localSheetId="13" hidden="1">'14'!$A$5:$AM$97</definedName>
    <definedName name="_xlnm._FilterDatabase" localSheetId="14" hidden="1">'15'!$A$5:$AM$97</definedName>
    <definedName name="_xlnm._FilterDatabase" localSheetId="15" hidden="1">'16'!$A$5:$AM$97</definedName>
    <definedName name="_xlnm._FilterDatabase" localSheetId="16" hidden="1">'17'!$A$5:$AM$97</definedName>
    <definedName name="_xlnm._FilterDatabase" localSheetId="17" hidden="1">'18'!$A$5:$AM$97</definedName>
    <definedName name="_xlnm._FilterDatabase" localSheetId="18" hidden="1">'19'!$A$5:$AM$97</definedName>
    <definedName name="_xlnm._FilterDatabase" localSheetId="1" hidden="1">'2'!$A$5:$AM$97</definedName>
    <definedName name="_xlnm._FilterDatabase" localSheetId="19" hidden="1">'20'!$A$5:$AM$97</definedName>
    <definedName name="_xlnm._FilterDatabase" localSheetId="20" hidden="1">'21'!$A$5:$AM$97</definedName>
    <definedName name="_xlnm._FilterDatabase" localSheetId="21" hidden="1">'22'!$A$5:$AM$97</definedName>
    <definedName name="_xlnm._FilterDatabase" localSheetId="22" hidden="1">'23'!$A$5:$AM$97</definedName>
    <definedName name="_xlnm._FilterDatabase" localSheetId="23" hidden="1">'24'!$A$5:$AM$97</definedName>
    <definedName name="_xlnm._FilterDatabase" localSheetId="24" hidden="1">'25'!$A$5:$AM$97</definedName>
    <definedName name="_xlnm._FilterDatabase" localSheetId="25" hidden="1">'26'!$A$5:$AM$97</definedName>
    <definedName name="_xlnm._FilterDatabase" localSheetId="26" hidden="1">'27'!$A$5:$AM$97</definedName>
    <definedName name="_xlnm._FilterDatabase" localSheetId="27" hidden="1">'28'!$A$5:$AM$97</definedName>
    <definedName name="_xlnm._FilterDatabase" localSheetId="28" hidden="1">'29'!$A$5:$AM$97</definedName>
    <definedName name="_xlnm._FilterDatabase" localSheetId="2" hidden="1">'3'!$A$5:$AM$97</definedName>
    <definedName name="_xlnm._FilterDatabase" localSheetId="29" hidden="1">'30'!$A$5:$AM$97</definedName>
    <definedName name="_xlnm._FilterDatabase" localSheetId="30" hidden="1">'31'!$A$5:$AM$97</definedName>
    <definedName name="_xlnm._FilterDatabase" localSheetId="3" hidden="1">'4'!$A$5:$AM$97</definedName>
    <definedName name="_xlnm._FilterDatabase" localSheetId="4" hidden="1">'5'!$A$5:$AM$97</definedName>
    <definedName name="_xlnm._FilterDatabase" localSheetId="5" hidden="1">'6'!$A$5:$AM$97</definedName>
    <definedName name="_xlnm._FilterDatabase" localSheetId="6" hidden="1">'7'!$A$5:$AM$97</definedName>
    <definedName name="_xlnm._FilterDatabase" localSheetId="7" hidden="1">'8'!$A$5:$AM$97</definedName>
    <definedName name="_xlnm._FilterDatabase" localSheetId="8" hidden="1">'9'!$A$5:$AM$97</definedName>
    <definedName name="_xlnm._FilterDatabase" localSheetId="31" hidden="1">종합!$A$5:$AM$97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" i="102" l="1"/>
  <c r="H19" i="102"/>
  <c r="H34" i="102"/>
  <c r="H61" i="102"/>
  <c r="H38" i="102"/>
  <c r="H30" i="102"/>
  <c r="H40" i="102"/>
  <c r="H24" i="102"/>
  <c r="H48" i="102"/>
  <c r="H61" i="106"/>
  <c r="H38" i="106"/>
  <c r="H19" i="106"/>
  <c r="H60" i="106"/>
  <c r="H22" i="106"/>
  <c r="H66" i="106"/>
  <c r="H34" i="106"/>
  <c r="H30" i="106"/>
  <c r="H61" i="107"/>
  <c r="H38" i="107"/>
  <c r="H76" i="107"/>
  <c r="H30" i="107"/>
  <c r="H48" i="107"/>
  <c r="H38" i="114"/>
  <c r="H48" i="114"/>
  <c r="H19" i="105"/>
  <c r="H38" i="105"/>
  <c r="H61" i="105"/>
  <c r="H28" i="105"/>
  <c r="H76" i="105"/>
  <c r="H30" i="105"/>
  <c r="H34" i="105"/>
  <c r="H62" i="105"/>
  <c r="H66" i="115"/>
  <c r="H28" i="115"/>
  <c r="H19" i="115"/>
  <c r="H39" i="115"/>
  <c r="H64" i="115"/>
  <c r="H61" i="115"/>
  <c r="H34" i="115"/>
  <c r="H76" i="115"/>
  <c r="I36" i="115"/>
  <c r="I39" i="115"/>
  <c r="H39" i="111"/>
  <c r="H34" i="111"/>
  <c r="H61" i="111"/>
  <c r="H30" i="111"/>
  <c r="H76" i="111"/>
  <c r="H70" i="111"/>
  <c r="H62" i="111"/>
  <c r="H48" i="111"/>
  <c r="H38" i="113"/>
  <c r="H19" i="113"/>
  <c r="H76" i="113"/>
  <c r="H64" i="113"/>
  <c r="H37" i="113"/>
  <c r="H29" i="113"/>
  <c r="H45" i="113"/>
  <c r="H30" i="113"/>
  <c r="H24" i="113"/>
  <c r="H71" i="113"/>
  <c r="H19" i="110"/>
  <c r="H39" i="110"/>
  <c r="H37" i="110"/>
  <c r="H29" i="110"/>
  <c r="H45" i="110"/>
  <c r="H9" i="110"/>
  <c r="H30" i="110"/>
  <c r="H24" i="110"/>
  <c r="H34" i="110"/>
  <c r="H62" i="110"/>
  <c r="H37" i="112"/>
  <c r="H64" i="112"/>
  <c r="H39" i="108"/>
  <c r="H37" i="108"/>
  <c r="H40" i="108"/>
  <c r="H9" i="108"/>
  <c r="H61" i="108"/>
  <c r="H76" i="108"/>
  <c r="H34" i="108"/>
  <c r="H29" i="108"/>
  <c r="H61" i="131"/>
  <c r="H19" i="131"/>
  <c r="H48" i="131"/>
  <c r="H74" i="131"/>
  <c r="H68" i="129"/>
  <c r="H70" i="129"/>
  <c r="H15" i="129"/>
  <c r="H61" i="129"/>
  <c r="H37" i="129"/>
  <c r="H34" i="129"/>
  <c r="H24" i="129"/>
  <c r="H30" i="129"/>
  <c r="H70" i="130"/>
  <c r="H67" i="130"/>
  <c r="H45" i="130"/>
  <c r="H29" i="130"/>
  <c r="H30" i="130"/>
  <c r="H37" i="130"/>
  <c r="H64" i="130"/>
  <c r="H67" i="128"/>
  <c r="H61" i="128"/>
  <c r="H37" i="128"/>
  <c r="H40" i="128"/>
  <c r="H24" i="128"/>
  <c r="H19" i="128"/>
  <c r="H60" i="128"/>
  <c r="H74" i="128"/>
  <c r="H34" i="128"/>
  <c r="H38" i="126"/>
  <c r="H76" i="124"/>
  <c r="H34" i="124"/>
  <c r="H29" i="124"/>
  <c r="H38" i="124"/>
  <c r="H24" i="124"/>
  <c r="H61" i="124"/>
  <c r="H62" i="124"/>
  <c r="H61" i="125"/>
  <c r="H62" i="125"/>
  <c r="H60" i="125"/>
  <c r="H39" i="125"/>
  <c r="H28" i="125"/>
  <c r="H19" i="125"/>
  <c r="H76" i="125"/>
  <c r="H33" i="125"/>
  <c r="H37" i="122"/>
  <c r="H66" i="122"/>
  <c r="H76" i="122"/>
  <c r="H45" i="122"/>
  <c r="H60" i="122"/>
  <c r="H18" i="122"/>
  <c r="H30" i="122"/>
  <c r="H62" i="122"/>
  <c r="H6" i="123"/>
  <c r="H19" i="123"/>
  <c r="H60" i="123"/>
  <c r="H61" i="123"/>
  <c r="H29" i="123"/>
  <c r="H28" i="123"/>
  <c r="H74" i="123"/>
  <c r="H48" i="123"/>
  <c r="N97" i="119"/>
  <c r="H61" i="119"/>
  <c r="H40" i="119"/>
  <c r="H60" i="119"/>
  <c r="H38" i="119"/>
  <c r="H68" i="119"/>
  <c r="H34" i="119"/>
  <c r="H29" i="119"/>
  <c r="H62" i="119"/>
  <c r="H14" i="119"/>
  <c r="H48" i="119"/>
  <c r="H37" i="121"/>
  <c r="H64" i="121"/>
  <c r="H9" i="117"/>
  <c r="H70" i="117"/>
  <c r="H60" i="117"/>
  <c r="H37" i="117"/>
  <c r="H24" i="117"/>
  <c r="H30" i="117"/>
  <c r="H40" i="117"/>
  <c r="H61" i="117"/>
  <c r="H76" i="117"/>
  <c r="H45" i="117"/>
  <c r="H38" i="117"/>
  <c r="H37" i="118"/>
  <c r="H76" i="118"/>
  <c r="H66" i="118"/>
  <c r="H19" i="118"/>
  <c r="H60" i="118"/>
  <c r="H61" i="118"/>
  <c r="H45" i="118"/>
  <c r="H24" i="118"/>
  <c r="H19" i="116"/>
  <c r="H18" i="116"/>
  <c r="H76" i="116"/>
  <c r="H39" i="116"/>
  <c r="H38" i="116"/>
  <c r="H30" i="116"/>
  <c r="H24" i="116"/>
  <c r="H60" i="116"/>
  <c r="H61" i="116"/>
  <c r="I25" i="115"/>
  <c r="AL61" i="122" l="1"/>
  <c r="I31" i="115" l="1"/>
  <c r="H37" i="47" l="1"/>
  <c r="H60" i="47"/>
  <c r="H19" i="47"/>
  <c r="H45" i="47"/>
  <c r="H26" i="47"/>
  <c r="H24" i="47"/>
  <c r="H22" i="47"/>
  <c r="H20" i="47"/>
  <c r="H18" i="47"/>
  <c r="H16" i="47"/>
  <c r="H14" i="47"/>
  <c r="H12" i="47"/>
  <c r="H10" i="47"/>
  <c r="H8" i="47"/>
  <c r="H78" i="47"/>
  <c r="H77" i="47"/>
  <c r="H76" i="47"/>
  <c r="H75" i="47"/>
  <c r="H74" i="47"/>
  <c r="H73" i="47"/>
  <c r="H72" i="47"/>
  <c r="H71" i="47"/>
  <c r="H70" i="47"/>
  <c r="H69" i="47"/>
  <c r="H68" i="47"/>
  <c r="H67" i="47"/>
  <c r="H66" i="47"/>
  <c r="H65" i="47"/>
  <c r="H64" i="47"/>
  <c r="H63" i="47"/>
  <c r="H62" i="47"/>
  <c r="H61" i="47"/>
  <c r="H59" i="47"/>
  <c r="H58" i="47"/>
  <c r="H57" i="47"/>
  <c r="H56" i="47"/>
  <c r="H55" i="47"/>
  <c r="H54" i="47"/>
  <c r="H53" i="47"/>
  <c r="H52" i="47"/>
  <c r="H51" i="47"/>
  <c r="H50" i="47"/>
  <c r="H49" i="47"/>
  <c r="H48" i="47"/>
  <c r="H47" i="47"/>
  <c r="H46" i="47"/>
  <c r="H44" i="47"/>
  <c r="H43" i="47"/>
  <c r="H42" i="47"/>
  <c r="H41" i="47"/>
  <c r="H40" i="47"/>
  <c r="H39" i="47"/>
  <c r="H38" i="47"/>
  <c r="H36" i="47"/>
  <c r="H35" i="47"/>
  <c r="H34" i="47"/>
  <c r="H33" i="47"/>
  <c r="H32" i="47"/>
  <c r="H31" i="47"/>
  <c r="H30" i="47"/>
  <c r="H29" i="47"/>
  <c r="H28" i="47"/>
  <c r="H27" i="47"/>
  <c r="H25" i="47"/>
  <c r="H23" i="47"/>
  <c r="H21" i="47"/>
  <c r="H17" i="47"/>
  <c r="H15" i="47"/>
  <c r="H13" i="47"/>
  <c r="H11" i="47"/>
  <c r="H9" i="47"/>
  <c r="H7" i="47"/>
  <c r="I46" i="110" l="1"/>
  <c r="I39" i="128" l="1"/>
  <c r="I9" i="110" l="1"/>
  <c r="I37" i="117" l="1"/>
  <c r="I76" i="101"/>
  <c r="I6" i="122" l="1"/>
  <c r="I7" i="122"/>
  <c r="I8" i="122"/>
  <c r="I9" i="122"/>
  <c r="I10" i="122"/>
  <c r="I11" i="122"/>
  <c r="I12" i="122"/>
  <c r="I13" i="122"/>
  <c r="I14" i="122"/>
  <c r="I15" i="122"/>
  <c r="I16" i="122"/>
  <c r="I17" i="122"/>
  <c r="I18" i="122"/>
  <c r="I19" i="122"/>
  <c r="I20" i="122"/>
  <c r="I21" i="122"/>
  <c r="I22" i="122"/>
  <c r="I23" i="122"/>
  <c r="I24" i="122"/>
  <c r="I25" i="122"/>
  <c r="I26" i="122"/>
  <c r="I27" i="122"/>
  <c r="I28" i="122"/>
  <c r="I29" i="122"/>
  <c r="I30" i="122"/>
  <c r="I31" i="122"/>
  <c r="I32" i="122"/>
  <c r="I33" i="122"/>
  <c r="I34" i="122"/>
  <c r="I35" i="122"/>
  <c r="I36" i="122"/>
  <c r="I37" i="122"/>
  <c r="I38" i="122"/>
  <c r="I39" i="122"/>
  <c r="I40" i="122"/>
  <c r="I41" i="122"/>
  <c r="I42" i="122"/>
  <c r="I43" i="122"/>
  <c r="I44" i="122"/>
  <c r="I45" i="122"/>
  <c r="I46" i="122"/>
  <c r="I47" i="122"/>
  <c r="I48" i="122"/>
  <c r="I49" i="122"/>
  <c r="I50" i="122"/>
  <c r="I51" i="122"/>
  <c r="I52" i="122"/>
  <c r="I53" i="122"/>
  <c r="I54" i="122"/>
  <c r="I55" i="122"/>
  <c r="I56" i="122"/>
  <c r="I57" i="122"/>
  <c r="I58" i="122"/>
  <c r="I59" i="122"/>
  <c r="I60" i="122"/>
  <c r="I61" i="122"/>
  <c r="AM61" i="122" s="1"/>
  <c r="I62" i="122"/>
  <c r="I63" i="122"/>
  <c r="I64" i="122"/>
  <c r="I65" i="122"/>
  <c r="I66" i="122"/>
  <c r="I67" i="122"/>
  <c r="I68" i="122"/>
  <c r="I69" i="122"/>
  <c r="I70" i="122"/>
  <c r="I71" i="122"/>
  <c r="I72" i="122"/>
  <c r="I73" i="122"/>
  <c r="I74" i="122"/>
  <c r="I75" i="122"/>
  <c r="I76" i="122"/>
  <c r="I77" i="122"/>
  <c r="I40" i="120" l="1"/>
  <c r="I19" i="108" l="1"/>
  <c r="I96" i="118" l="1"/>
  <c r="I95" i="118"/>
  <c r="I94" i="118"/>
  <c r="I93" i="118"/>
  <c r="I92" i="118"/>
  <c r="I91" i="118"/>
  <c r="I90" i="118"/>
  <c r="I89" i="118"/>
  <c r="I88" i="118"/>
  <c r="I87" i="118"/>
  <c r="I86" i="118"/>
  <c r="I85" i="118"/>
  <c r="I84" i="118"/>
  <c r="I83" i="118"/>
  <c r="I82" i="118"/>
  <c r="I81" i="118"/>
  <c r="I80" i="118"/>
  <c r="I79" i="118"/>
  <c r="I78" i="118"/>
  <c r="I77" i="118"/>
  <c r="I76" i="118"/>
  <c r="I75" i="118"/>
  <c r="I74" i="118"/>
  <c r="I73" i="118"/>
  <c r="I72" i="118"/>
  <c r="I71" i="118"/>
  <c r="I70" i="118"/>
  <c r="I69" i="118"/>
  <c r="I68" i="118"/>
  <c r="I67" i="118"/>
  <c r="I66" i="118"/>
  <c r="I65" i="118"/>
  <c r="I64" i="118"/>
  <c r="I63" i="118"/>
  <c r="I62" i="118"/>
  <c r="I61" i="118"/>
  <c r="I60" i="118"/>
  <c r="I59" i="118"/>
  <c r="I58" i="118"/>
  <c r="I57" i="118"/>
  <c r="I56" i="118"/>
  <c r="I55" i="118"/>
  <c r="I54" i="118"/>
  <c r="I53" i="118"/>
  <c r="I52" i="118"/>
  <c r="I51" i="118"/>
  <c r="I50" i="118"/>
  <c r="I49" i="118"/>
  <c r="I48" i="118"/>
  <c r="I47" i="118"/>
  <c r="I46" i="118"/>
  <c r="I45" i="118"/>
  <c r="I44" i="118"/>
  <c r="I43" i="118"/>
  <c r="I42" i="118"/>
  <c r="I41" i="118"/>
  <c r="I40" i="118"/>
  <c r="I39" i="118"/>
  <c r="I38" i="118"/>
  <c r="I37" i="118"/>
  <c r="I36" i="118"/>
  <c r="I35" i="118"/>
  <c r="I34" i="118"/>
  <c r="I33" i="118"/>
  <c r="I32" i="118"/>
  <c r="I31" i="118"/>
  <c r="I30" i="118"/>
  <c r="I29" i="118"/>
  <c r="I28" i="118"/>
  <c r="I27" i="118"/>
  <c r="I26" i="118"/>
  <c r="I25" i="118"/>
  <c r="I24" i="118"/>
  <c r="I23" i="118"/>
  <c r="I22" i="118"/>
  <c r="I21" i="118"/>
  <c r="I20" i="118"/>
  <c r="I19" i="118"/>
  <c r="I18" i="118"/>
  <c r="I17" i="118"/>
  <c r="I16" i="118"/>
  <c r="I15" i="118"/>
  <c r="I14" i="118"/>
  <c r="I13" i="118"/>
  <c r="I12" i="118"/>
  <c r="I11" i="118"/>
  <c r="I10" i="118"/>
  <c r="I9" i="118"/>
  <c r="I8" i="118"/>
  <c r="I7" i="118"/>
  <c r="I96" i="117"/>
  <c r="I95" i="117"/>
  <c r="I94" i="117"/>
  <c r="I93" i="117"/>
  <c r="I92" i="117"/>
  <c r="I91" i="117"/>
  <c r="I90" i="117"/>
  <c r="I89" i="117"/>
  <c r="I88" i="117"/>
  <c r="I87" i="117"/>
  <c r="I86" i="117"/>
  <c r="I85" i="117"/>
  <c r="I84" i="117"/>
  <c r="I83" i="117"/>
  <c r="I82" i="117"/>
  <c r="I81" i="117"/>
  <c r="I80" i="117"/>
  <c r="I79" i="117"/>
  <c r="I78" i="117"/>
  <c r="I77" i="117"/>
  <c r="I76" i="117"/>
  <c r="I75" i="117"/>
  <c r="I74" i="117"/>
  <c r="I73" i="117"/>
  <c r="I72" i="117"/>
  <c r="I71" i="117"/>
  <c r="I70" i="117"/>
  <c r="I69" i="117"/>
  <c r="I68" i="117"/>
  <c r="I67" i="117"/>
  <c r="I66" i="117"/>
  <c r="I65" i="117"/>
  <c r="I64" i="117"/>
  <c r="I63" i="117"/>
  <c r="I62" i="117"/>
  <c r="I61" i="117"/>
  <c r="I60" i="117"/>
  <c r="I59" i="117"/>
  <c r="I58" i="117"/>
  <c r="I57" i="117"/>
  <c r="I56" i="117"/>
  <c r="I55" i="117"/>
  <c r="I54" i="117"/>
  <c r="I53" i="117"/>
  <c r="I52" i="117"/>
  <c r="I51" i="117"/>
  <c r="I50" i="117"/>
  <c r="I49" i="117"/>
  <c r="I48" i="117"/>
  <c r="I47" i="117"/>
  <c r="I46" i="117"/>
  <c r="I45" i="117"/>
  <c r="I44" i="117"/>
  <c r="I43" i="117"/>
  <c r="I42" i="117"/>
  <c r="I41" i="117"/>
  <c r="I40" i="117"/>
  <c r="I39" i="117"/>
  <c r="I38" i="117"/>
  <c r="I36" i="117"/>
  <c r="I35" i="117"/>
  <c r="I34" i="117"/>
  <c r="I33" i="117"/>
  <c r="I32" i="117"/>
  <c r="I31" i="117"/>
  <c r="I30" i="117"/>
  <c r="I29" i="117"/>
  <c r="I28" i="117"/>
  <c r="I27" i="117"/>
  <c r="I26" i="117"/>
  <c r="I25" i="117"/>
  <c r="I24" i="117"/>
  <c r="I23" i="117"/>
  <c r="I22" i="117"/>
  <c r="I21" i="117"/>
  <c r="I20" i="117"/>
  <c r="I19" i="117"/>
  <c r="I18" i="117"/>
  <c r="I17" i="117"/>
  <c r="I16" i="117"/>
  <c r="I15" i="117"/>
  <c r="I14" i="117"/>
  <c r="I13" i="117"/>
  <c r="I12" i="117"/>
  <c r="I11" i="117"/>
  <c r="I10" i="117"/>
  <c r="I9" i="117"/>
  <c r="I8" i="117"/>
  <c r="I7" i="117"/>
  <c r="I96" i="121"/>
  <c r="I95" i="121"/>
  <c r="I94" i="121"/>
  <c r="I93" i="121"/>
  <c r="I92" i="121"/>
  <c r="I91" i="121"/>
  <c r="I90" i="121"/>
  <c r="I89" i="121"/>
  <c r="I88" i="121"/>
  <c r="I87" i="121"/>
  <c r="I86" i="121"/>
  <c r="I85" i="121"/>
  <c r="I84" i="121"/>
  <c r="I83" i="121"/>
  <c r="I82" i="121"/>
  <c r="I81" i="121"/>
  <c r="I80" i="121"/>
  <c r="I79" i="121"/>
  <c r="I78" i="121"/>
  <c r="I77" i="121"/>
  <c r="I76" i="121"/>
  <c r="I75" i="121"/>
  <c r="I74" i="121"/>
  <c r="I73" i="121"/>
  <c r="I72" i="121"/>
  <c r="I71" i="121"/>
  <c r="I70" i="121"/>
  <c r="I69" i="121"/>
  <c r="I68" i="121"/>
  <c r="I67" i="121"/>
  <c r="I66" i="121"/>
  <c r="I65" i="121"/>
  <c r="I64" i="121"/>
  <c r="I63" i="121"/>
  <c r="I62" i="121"/>
  <c r="I61" i="121"/>
  <c r="I60" i="121"/>
  <c r="I59" i="121"/>
  <c r="I58" i="121"/>
  <c r="I57" i="121"/>
  <c r="I56" i="121"/>
  <c r="I55" i="121"/>
  <c r="I54" i="121"/>
  <c r="I53" i="121"/>
  <c r="I52" i="121"/>
  <c r="I51" i="121"/>
  <c r="I50" i="121"/>
  <c r="I49" i="121"/>
  <c r="I48" i="121"/>
  <c r="I47" i="121"/>
  <c r="I46" i="121"/>
  <c r="I45" i="121"/>
  <c r="I44" i="121"/>
  <c r="I43" i="121"/>
  <c r="I42" i="121"/>
  <c r="I41" i="121"/>
  <c r="I40" i="121"/>
  <c r="I39" i="121"/>
  <c r="I38" i="121"/>
  <c r="I37" i="121"/>
  <c r="I36" i="121"/>
  <c r="I35" i="121"/>
  <c r="I34" i="121"/>
  <c r="I33" i="121"/>
  <c r="I32" i="121"/>
  <c r="I31" i="121"/>
  <c r="I30" i="121"/>
  <c r="I29" i="121"/>
  <c r="I28" i="121"/>
  <c r="I27" i="121"/>
  <c r="I26" i="121"/>
  <c r="I25" i="121"/>
  <c r="I24" i="121"/>
  <c r="I23" i="121"/>
  <c r="I22" i="121"/>
  <c r="I21" i="121"/>
  <c r="I20" i="121"/>
  <c r="I19" i="121"/>
  <c r="I18" i="121"/>
  <c r="I17" i="121"/>
  <c r="I16" i="121"/>
  <c r="I15" i="121"/>
  <c r="I14" i="121"/>
  <c r="I13" i="121"/>
  <c r="I12" i="121"/>
  <c r="I11" i="121"/>
  <c r="I10" i="121"/>
  <c r="I9" i="121"/>
  <c r="I8" i="121"/>
  <c r="I7" i="121"/>
  <c r="I96" i="120"/>
  <c r="I95" i="120"/>
  <c r="I94" i="120"/>
  <c r="I93" i="120"/>
  <c r="I92" i="120"/>
  <c r="I91" i="120"/>
  <c r="I90" i="120"/>
  <c r="I89" i="120"/>
  <c r="I88" i="120"/>
  <c r="I87" i="120"/>
  <c r="I86" i="120"/>
  <c r="I85" i="120"/>
  <c r="I84" i="120"/>
  <c r="I83" i="120"/>
  <c r="I82" i="120"/>
  <c r="I81" i="120"/>
  <c r="I80" i="120"/>
  <c r="I79" i="120"/>
  <c r="I78" i="120"/>
  <c r="I77" i="120"/>
  <c r="I76" i="120"/>
  <c r="I75" i="120"/>
  <c r="I74" i="120"/>
  <c r="I73" i="120"/>
  <c r="I72" i="120"/>
  <c r="I71" i="120"/>
  <c r="I70" i="120"/>
  <c r="I69" i="120"/>
  <c r="I68" i="120"/>
  <c r="I67" i="120"/>
  <c r="I66" i="120"/>
  <c r="I65" i="120"/>
  <c r="I64" i="120"/>
  <c r="I63" i="120"/>
  <c r="I62" i="120"/>
  <c r="I61" i="120"/>
  <c r="I60" i="120"/>
  <c r="I59" i="120"/>
  <c r="I58" i="120"/>
  <c r="I57" i="120"/>
  <c r="I56" i="120"/>
  <c r="I55" i="120"/>
  <c r="I54" i="120"/>
  <c r="I53" i="120"/>
  <c r="I52" i="120"/>
  <c r="I51" i="120"/>
  <c r="I50" i="120"/>
  <c r="I49" i="120"/>
  <c r="I48" i="120"/>
  <c r="I47" i="120"/>
  <c r="I46" i="120"/>
  <c r="I45" i="120"/>
  <c r="I44" i="120"/>
  <c r="I43" i="120"/>
  <c r="I42" i="120"/>
  <c r="I41" i="120"/>
  <c r="I39" i="120"/>
  <c r="I38" i="120"/>
  <c r="I37" i="120"/>
  <c r="I36" i="120"/>
  <c r="I35" i="120"/>
  <c r="I34" i="120"/>
  <c r="I33" i="120"/>
  <c r="I32" i="120"/>
  <c r="I31" i="120"/>
  <c r="I30" i="120"/>
  <c r="I29" i="120"/>
  <c r="I28" i="120"/>
  <c r="I27" i="120"/>
  <c r="I26" i="120"/>
  <c r="I25" i="120"/>
  <c r="I24" i="120"/>
  <c r="I23" i="120"/>
  <c r="I22" i="120"/>
  <c r="I21" i="120"/>
  <c r="I20" i="120"/>
  <c r="I19" i="120"/>
  <c r="I18" i="120"/>
  <c r="I17" i="120"/>
  <c r="I16" i="120"/>
  <c r="I15" i="120"/>
  <c r="I14" i="120"/>
  <c r="I13" i="120"/>
  <c r="I12" i="120"/>
  <c r="I11" i="120"/>
  <c r="I10" i="120"/>
  <c r="I9" i="120"/>
  <c r="I8" i="120"/>
  <c r="I7" i="120"/>
  <c r="I96" i="119"/>
  <c r="I95" i="119"/>
  <c r="I94" i="119"/>
  <c r="I93" i="119"/>
  <c r="I92" i="119"/>
  <c r="I91" i="119"/>
  <c r="I90" i="119"/>
  <c r="I89" i="119"/>
  <c r="I88" i="119"/>
  <c r="I87" i="119"/>
  <c r="I86" i="119"/>
  <c r="I85" i="119"/>
  <c r="I84" i="119"/>
  <c r="I83" i="119"/>
  <c r="I82" i="119"/>
  <c r="I81" i="119"/>
  <c r="I80" i="119"/>
  <c r="I79" i="119"/>
  <c r="I78" i="119"/>
  <c r="I77" i="119"/>
  <c r="I76" i="119"/>
  <c r="I75" i="119"/>
  <c r="I74" i="119"/>
  <c r="I73" i="119"/>
  <c r="I72" i="119"/>
  <c r="I71" i="119"/>
  <c r="I70" i="119"/>
  <c r="I69" i="119"/>
  <c r="I68" i="119"/>
  <c r="I67" i="119"/>
  <c r="I66" i="119"/>
  <c r="I65" i="119"/>
  <c r="I64" i="119"/>
  <c r="I63" i="119"/>
  <c r="I62" i="119"/>
  <c r="I61" i="119"/>
  <c r="I60" i="119"/>
  <c r="I59" i="119"/>
  <c r="I58" i="119"/>
  <c r="I57" i="119"/>
  <c r="I56" i="119"/>
  <c r="I55" i="119"/>
  <c r="I54" i="119"/>
  <c r="I53" i="119"/>
  <c r="I52" i="119"/>
  <c r="I51" i="119"/>
  <c r="I50" i="119"/>
  <c r="I49" i="119"/>
  <c r="I48" i="119"/>
  <c r="I47" i="119"/>
  <c r="I46" i="119"/>
  <c r="I45" i="119"/>
  <c r="I44" i="119"/>
  <c r="I43" i="119"/>
  <c r="I42" i="119"/>
  <c r="I41" i="119"/>
  <c r="I40" i="119"/>
  <c r="I39" i="119"/>
  <c r="I38" i="119"/>
  <c r="I37" i="119"/>
  <c r="I36" i="119"/>
  <c r="I35" i="119"/>
  <c r="I34" i="119"/>
  <c r="I33" i="119"/>
  <c r="I32" i="119"/>
  <c r="I31" i="119"/>
  <c r="I30" i="119"/>
  <c r="I29" i="119"/>
  <c r="I28" i="119"/>
  <c r="I27" i="119"/>
  <c r="I26" i="119"/>
  <c r="I25" i="119"/>
  <c r="I24" i="119"/>
  <c r="I23" i="119"/>
  <c r="I22" i="119"/>
  <c r="I21" i="119"/>
  <c r="I20" i="119"/>
  <c r="I19" i="119"/>
  <c r="I18" i="119"/>
  <c r="I17" i="119"/>
  <c r="I16" i="119"/>
  <c r="I15" i="119"/>
  <c r="I14" i="119"/>
  <c r="I13" i="119"/>
  <c r="I12" i="119"/>
  <c r="I11" i="119"/>
  <c r="I10" i="119"/>
  <c r="I9" i="119"/>
  <c r="I8" i="119"/>
  <c r="I7" i="119"/>
  <c r="I96" i="123"/>
  <c r="I95" i="123"/>
  <c r="I94" i="123"/>
  <c r="I93" i="123"/>
  <c r="I92" i="123"/>
  <c r="I91" i="123"/>
  <c r="I90" i="123"/>
  <c r="I89" i="123"/>
  <c r="I88" i="123"/>
  <c r="I87" i="123"/>
  <c r="I86" i="123"/>
  <c r="I85" i="123"/>
  <c r="I84" i="123"/>
  <c r="I83" i="123"/>
  <c r="I82" i="123"/>
  <c r="I81" i="123"/>
  <c r="I80" i="123"/>
  <c r="I79" i="123"/>
  <c r="I78" i="123"/>
  <c r="I77" i="123"/>
  <c r="I76" i="123"/>
  <c r="I75" i="123"/>
  <c r="I74" i="123"/>
  <c r="I73" i="123"/>
  <c r="I72" i="123"/>
  <c r="I71" i="123"/>
  <c r="I70" i="123"/>
  <c r="I69" i="123"/>
  <c r="I68" i="123"/>
  <c r="I67" i="123"/>
  <c r="I66" i="123"/>
  <c r="I65" i="123"/>
  <c r="I64" i="123"/>
  <c r="I63" i="123"/>
  <c r="I62" i="123"/>
  <c r="I61" i="123"/>
  <c r="I60" i="123"/>
  <c r="I59" i="123"/>
  <c r="I58" i="123"/>
  <c r="I57" i="123"/>
  <c r="I56" i="123"/>
  <c r="I55" i="123"/>
  <c r="I54" i="123"/>
  <c r="I53" i="123"/>
  <c r="I52" i="123"/>
  <c r="I51" i="123"/>
  <c r="I50" i="123"/>
  <c r="I49" i="123"/>
  <c r="I48" i="123"/>
  <c r="I47" i="123"/>
  <c r="I46" i="123"/>
  <c r="I45" i="123"/>
  <c r="I44" i="123"/>
  <c r="I43" i="123"/>
  <c r="I42" i="123"/>
  <c r="I41" i="123"/>
  <c r="I40" i="123"/>
  <c r="I39" i="123"/>
  <c r="I38" i="123"/>
  <c r="I37" i="123"/>
  <c r="I36" i="123"/>
  <c r="I35" i="123"/>
  <c r="I34" i="123"/>
  <c r="I33" i="123"/>
  <c r="I32" i="123"/>
  <c r="I31" i="123"/>
  <c r="I30" i="123"/>
  <c r="I29" i="123"/>
  <c r="I28" i="123"/>
  <c r="I27" i="123"/>
  <c r="I26" i="123"/>
  <c r="I25" i="123"/>
  <c r="I24" i="123"/>
  <c r="I23" i="123"/>
  <c r="I22" i="123"/>
  <c r="I21" i="123"/>
  <c r="I20" i="123"/>
  <c r="I19" i="123"/>
  <c r="I18" i="123"/>
  <c r="I17" i="123"/>
  <c r="I16" i="123"/>
  <c r="I15" i="123"/>
  <c r="I14" i="123"/>
  <c r="I13" i="123"/>
  <c r="I12" i="123"/>
  <c r="I11" i="123"/>
  <c r="I10" i="123"/>
  <c r="I9" i="123"/>
  <c r="I8" i="123"/>
  <c r="I7" i="123"/>
  <c r="I96" i="122"/>
  <c r="I95" i="122"/>
  <c r="I94" i="122"/>
  <c r="I93" i="122"/>
  <c r="I92" i="122"/>
  <c r="I91" i="122"/>
  <c r="I90" i="122"/>
  <c r="I89" i="122"/>
  <c r="I88" i="122"/>
  <c r="I87" i="122"/>
  <c r="I86" i="122"/>
  <c r="I85" i="122"/>
  <c r="I84" i="122"/>
  <c r="I83" i="122"/>
  <c r="I82" i="122"/>
  <c r="I81" i="122"/>
  <c r="I80" i="122"/>
  <c r="I79" i="122"/>
  <c r="I78" i="122"/>
  <c r="I96" i="125"/>
  <c r="I95" i="125"/>
  <c r="I94" i="125"/>
  <c r="I93" i="125"/>
  <c r="I92" i="125"/>
  <c r="I91" i="125"/>
  <c r="I90" i="125"/>
  <c r="I89" i="125"/>
  <c r="I88" i="125"/>
  <c r="I87" i="125"/>
  <c r="I86" i="125"/>
  <c r="I85" i="125"/>
  <c r="I84" i="125"/>
  <c r="I83" i="125"/>
  <c r="I82" i="125"/>
  <c r="I81" i="125"/>
  <c r="I80" i="125"/>
  <c r="I79" i="125"/>
  <c r="I78" i="125"/>
  <c r="I77" i="125"/>
  <c r="I76" i="125"/>
  <c r="I75" i="125"/>
  <c r="I74" i="125"/>
  <c r="I73" i="125"/>
  <c r="I72" i="125"/>
  <c r="I71" i="125"/>
  <c r="I70" i="125"/>
  <c r="I69" i="125"/>
  <c r="I68" i="125"/>
  <c r="I67" i="125"/>
  <c r="I66" i="125"/>
  <c r="I65" i="125"/>
  <c r="I64" i="125"/>
  <c r="I63" i="125"/>
  <c r="I62" i="125"/>
  <c r="I61" i="125"/>
  <c r="I60" i="125"/>
  <c r="I59" i="125"/>
  <c r="I58" i="125"/>
  <c r="I57" i="125"/>
  <c r="I56" i="125"/>
  <c r="I55" i="125"/>
  <c r="I54" i="125"/>
  <c r="I53" i="125"/>
  <c r="I52" i="125"/>
  <c r="I51" i="125"/>
  <c r="I50" i="125"/>
  <c r="I49" i="125"/>
  <c r="I48" i="125"/>
  <c r="I47" i="125"/>
  <c r="I46" i="125"/>
  <c r="I45" i="125"/>
  <c r="I44" i="125"/>
  <c r="I43" i="125"/>
  <c r="I42" i="125"/>
  <c r="I41" i="125"/>
  <c r="I40" i="125"/>
  <c r="I39" i="125"/>
  <c r="I38" i="125"/>
  <c r="I37" i="125"/>
  <c r="I36" i="125"/>
  <c r="I35" i="125"/>
  <c r="I34" i="125"/>
  <c r="I33" i="125"/>
  <c r="I32" i="125"/>
  <c r="I31" i="125"/>
  <c r="I30" i="125"/>
  <c r="I29" i="125"/>
  <c r="I28" i="125"/>
  <c r="I27" i="125"/>
  <c r="I26" i="125"/>
  <c r="I25" i="125"/>
  <c r="I24" i="125"/>
  <c r="I23" i="125"/>
  <c r="I22" i="125"/>
  <c r="I21" i="125"/>
  <c r="I20" i="125"/>
  <c r="I19" i="125"/>
  <c r="I18" i="125"/>
  <c r="I17" i="125"/>
  <c r="I16" i="125"/>
  <c r="I15" i="125"/>
  <c r="I14" i="125"/>
  <c r="I13" i="125"/>
  <c r="I12" i="125"/>
  <c r="I11" i="125"/>
  <c r="I10" i="125"/>
  <c r="I9" i="125"/>
  <c r="I8" i="125"/>
  <c r="I7" i="125"/>
  <c r="I96" i="124"/>
  <c r="I95" i="124"/>
  <c r="I94" i="124"/>
  <c r="I93" i="124"/>
  <c r="I92" i="124"/>
  <c r="I91" i="124"/>
  <c r="I90" i="124"/>
  <c r="I89" i="124"/>
  <c r="I88" i="124"/>
  <c r="I87" i="124"/>
  <c r="I86" i="124"/>
  <c r="I85" i="124"/>
  <c r="I84" i="124"/>
  <c r="I83" i="124"/>
  <c r="I82" i="124"/>
  <c r="I81" i="124"/>
  <c r="I80" i="124"/>
  <c r="I79" i="124"/>
  <c r="I78" i="124"/>
  <c r="I77" i="124"/>
  <c r="I76" i="124"/>
  <c r="I75" i="124"/>
  <c r="I74" i="124"/>
  <c r="I73" i="124"/>
  <c r="I72" i="124"/>
  <c r="I71" i="124"/>
  <c r="I70" i="124"/>
  <c r="I69" i="124"/>
  <c r="I68" i="124"/>
  <c r="I67" i="124"/>
  <c r="I66" i="124"/>
  <c r="I65" i="124"/>
  <c r="I64" i="124"/>
  <c r="I63" i="124"/>
  <c r="I62" i="124"/>
  <c r="I61" i="124"/>
  <c r="I60" i="124"/>
  <c r="I59" i="124"/>
  <c r="I58" i="124"/>
  <c r="I57" i="124"/>
  <c r="I56" i="124"/>
  <c r="I55" i="124"/>
  <c r="I54" i="124"/>
  <c r="I53" i="124"/>
  <c r="I52" i="124"/>
  <c r="I51" i="124"/>
  <c r="I50" i="124"/>
  <c r="I49" i="124"/>
  <c r="I48" i="124"/>
  <c r="I47" i="124"/>
  <c r="I46" i="124"/>
  <c r="I45" i="124"/>
  <c r="I44" i="124"/>
  <c r="I43" i="124"/>
  <c r="I42" i="124"/>
  <c r="I41" i="124"/>
  <c r="I40" i="124"/>
  <c r="I39" i="124"/>
  <c r="I38" i="124"/>
  <c r="I37" i="124"/>
  <c r="I36" i="124"/>
  <c r="I35" i="124"/>
  <c r="I34" i="124"/>
  <c r="I33" i="124"/>
  <c r="I32" i="124"/>
  <c r="I31" i="124"/>
  <c r="I30" i="124"/>
  <c r="I29" i="124"/>
  <c r="I28" i="124"/>
  <c r="I27" i="124"/>
  <c r="I26" i="124"/>
  <c r="I25" i="124"/>
  <c r="I24" i="124"/>
  <c r="I23" i="124"/>
  <c r="I22" i="124"/>
  <c r="I21" i="124"/>
  <c r="I20" i="124"/>
  <c r="I19" i="124"/>
  <c r="I18" i="124"/>
  <c r="I17" i="124"/>
  <c r="I16" i="124"/>
  <c r="I15" i="124"/>
  <c r="I14" i="124"/>
  <c r="I13" i="124"/>
  <c r="I12" i="124"/>
  <c r="I11" i="124"/>
  <c r="I10" i="124"/>
  <c r="I9" i="124"/>
  <c r="I8" i="124"/>
  <c r="I7" i="124"/>
  <c r="I96" i="126"/>
  <c r="I95" i="126"/>
  <c r="I94" i="126"/>
  <c r="I93" i="126"/>
  <c r="I92" i="126"/>
  <c r="I91" i="126"/>
  <c r="I90" i="126"/>
  <c r="I89" i="126"/>
  <c r="I88" i="126"/>
  <c r="I87" i="126"/>
  <c r="I86" i="126"/>
  <c r="I85" i="126"/>
  <c r="I84" i="126"/>
  <c r="I83" i="126"/>
  <c r="I82" i="126"/>
  <c r="I81" i="126"/>
  <c r="I80" i="126"/>
  <c r="I79" i="126"/>
  <c r="I78" i="126"/>
  <c r="I77" i="126"/>
  <c r="I76" i="126"/>
  <c r="I75" i="126"/>
  <c r="I74" i="126"/>
  <c r="I73" i="126"/>
  <c r="I72" i="126"/>
  <c r="I71" i="126"/>
  <c r="I70" i="126"/>
  <c r="I69" i="126"/>
  <c r="I68" i="126"/>
  <c r="I67" i="126"/>
  <c r="I66" i="126"/>
  <c r="I65" i="126"/>
  <c r="I64" i="126"/>
  <c r="I63" i="126"/>
  <c r="I62" i="126"/>
  <c r="I61" i="126"/>
  <c r="I60" i="126"/>
  <c r="I59" i="126"/>
  <c r="I58" i="126"/>
  <c r="I57" i="126"/>
  <c r="I56" i="126"/>
  <c r="I55" i="126"/>
  <c r="I54" i="126"/>
  <c r="I53" i="126"/>
  <c r="I52" i="126"/>
  <c r="I51" i="126"/>
  <c r="I50" i="126"/>
  <c r="I49" i="126"/>
  <c r="I48" i="126"/>
  <c r="I47" i="126"/>
  <c r="I46" i="126"/>
  <c r="I45" i="126"/>
  <c r="I44" i="126"/>
  <c r="I43" i="126"/>
  <c r="I42" i="126"/>
  <c r="I41" i="126"/>
  <c r="I40" i="126"/>
  <c r="I39" i="126"/>
  <c r="I38" i="126"/>
  <c r="I37" i="126"/>
  <c r="I36" i="126"/>
  <c r="I35" i="126"/>
  <c r="I34" i="126"/>
  <c r="I33" i="126"/>
  <c r="I32" i="126"/>
  <c r="I31" i="126"/>
  <c r="I30" i="126"/>
  <c r="I29" i="126"/>
  <c r="I28" i="126"/>
  <c r="I27" i="126"/>
  <c r="I26" i="126"/>
  <c r="I25" i="126"/>
  <c r="I24" i="126"/>
  <c r="I23" i="126"/>
  <c r="I22" i="126"/>
  <c r="I21" i="126"/>
  <c r="I20" i="126"/>
  <c r="I19" i="126"/>
  <c r="I18" i="126"/>
  <c r="I17" i="126"/>
  <c r="I16" i="126"/>
  <c r="I15" i="126"/>
  <c r="I14" i="126"/>
  <c r="I13" i="126"/>
  <c r="I12" i="126"/>
  <c r="I11" i="126"/>
  <c r="I10" i="126"/>
  <c r="I9" i="126"/>
  <c r="I8" i="126"/>
  <c r="I7" i="126"/>
  <c r="I96" i="127"/>
  <c r="I95" i="127"/>
  <c r="I94" i="127"/>
  <c r="I93" i="127"/>
  <c r="I92" i="127"/>
  <c r="I91" i="127"/>
  <c r="I90" i="127"/>
  <c r="I89" i="127"/>
  <c r="I88" i="127"/>
  <c r="I87" i="127"/>
  <c r="I86" i="127"/>
  <c r="I85" i="127"/>
  <c r="I84" i="127"/>
  <c r="I83" i="127"/>
  <c r="I82" i="127"/>
  <c r="I81" i="127"/>
  <c r="I80" i="127"/>
  <c r="I79" i="127"/>
  <c r="I78" i="127"/>
  <c r="I77" i="127"/>
  <c r="I76" i="127"/>
  <c r="I75" i="127"/>
  <c r="I74" i="127"/>
  <c r="I73" i="127"/>
  <c r="I72" i="127"/>
  <c r="I71" i="127"/>
  <c r="I70" i="127"/>
  <c r="I69" i="127"/>
  <c r="I68" i="127"/>
  <c r="I67" i="127"/>
  <c r="I66" i="127"/>
  <c r="I65" i="127"/>
  <c r="I64" i="127"/>
  <c r="I63" i="127"/>
  <c r="I62" i="127"/>
  <c r="I61" i="127"/>
  <c r="I60" i="127"/>
  <c r="I59" i="127"/>
  <c r="I58" i="127"/>
  <c r="I57" i="127"/>
  <c r="I56" i="127"/>
  <c r="I55" i="127"/>
  <c r="I54" i="127"/>
  <c r="I53" i="127"/>
  <c r="I52" i="127"/>
  <c r="I51" i="127"/>
  <c r="I50" i="127"/>
  <c r="I49" i="127"/>
  <c r="I48" i="127"/>
  <c r="I47" i="127"/>
  <c r="I46" i="127"/>
  <c r="I45" i="127"/>
  <c r="I44" i="127"/>
  <c r="I43" i="127"/>
  <c r="I42" i="127"/>
  <c r="I41" i="127"/>
  <c r="I40" i="127"/>
  <c r="I39" i="127"/>
  <c r="I38" i="127"/>
  <c r="I37" i="127"/>
  <c r="I36" i="127"/>
  <c r="I35" i="127"/>
  <c r="I34" i="127"/>
  <c r="I33" i="127"/>
  <c r="I32" i="127"/>
  <c r="I31" i="127"/>
  <c r="I30" i="127"/>
  <c r="I29" i="127"/>
  <c r="I28" i="127"/>
  <c r="I27" i="127"/>
  <c r="I26" i="127"/>
  <c r="I25" i="127"/>
  <c r="I24" i="127"/>
  <c r="I23" i="127"/>
  <c r="I22" i="127"/>
  <c r="I21" i="127"/>
  <c r="I20" i="127"/>
  <c r="I19" i="127"/>
  <c r="I18" i="127"/>
  <c r="I17" i="127"/>
  <c r="I16" i="127"/>
  <c r="I15" i="127"/>
  <c r="I14" i="127"/>
  <c r="I13" i="127"/>
  <c r="I12" i="127"/>
  <c r="I11" i="127"/>
  <c r="I10" i="127"/>
  <c r="I9" i="127"/>
  <c r="I8" i="127"/>
  <c r="I7" i="127"/>
  <c r="I96" i="128"/>
  <c r="I95" i="128"/>
  <c r="I94" i="128"/>
  <c r="I93" i="128"/>
  <c r="I92" i="128"/>
  <c r="I91" i="128"/>
  <c r="I90" i="128"/>
  <c r="I89" i="128"/>
  <c r="I88" i="128"/>
  <c r="I87" i="128"/>
  <c r="I86" i="128"/>
  <c r="I85" i="128"/>
  <c r="I84" i="128"/>
  <c r="I83" i="128"/>
  <c r="I82" i="128"/>
  <c r="I81" i="128"/>
  <c r="I80" i="128"/>
  <c r="I79" i="128"/>
  <c r="I78" i="128"/>
  <c r="I77" i="128"/>
  <c r="I76" i="128"/>
  <c r="I75" i="128"/>
  <c r="I74" i="128"/>
  <c r="I73" i="128"/>
  <c r="I72" i="128"/>
  <c r="I71" i="128"/>
  <c r="I70" i="128"/>
  <c r="I69" i="128"/>
  <c r="I68" i="128"/>
  <c r="I67" i="128"/>
  <c r="I66" i="128"/>
  <c r="I65" i="128"/>
  <c r="I64" i="128"/>
  <c r="I63" i="128"/>
  <c r="I62" i="128"/>
  <c r="I61" i="128"/>
  <c r="I60" i="128"/>
  <c r="I59" i="128"/>
  <c r="I58" i="128"/>
  <c r="I57" i="128"/>
  <c r="I56" i="128"/>
  <c r="I55" i="128"/>
  <c r="I54" i="128"/>
  <c r="I53" i="128"/>
  <c r="I52" i="128"/>
  <c r="I51" i="128"/>
  <c r="I50" i="128"/>
  <c r="I49" i="128"/>
  <c r="I48" i="128"/>
  <c r="I47" i="128"/>
  <c r="I46" i="128"/>
  <c r="I45" i="128"/>
  <c r="I44" i="128"/>
  <c r="I43" i="128"/>
  <c r="I42" i="128"/>
  <c r="I41" i="128"/>
  <c r="I40" i="128"/>
  <c r="I38" i="128"/>
  <c r="I37" i="128"/>
  <c r="I36" i="128"/>
  <c r="I35" i="128"/>
  <c r="I34" i="128"/>
  <c r="I33" i="128"/>
  <c r="I32" i="128"/>
  <c r="I31" i="128"/>
  <c r="I30" i="128"/>
  <c r="I29" i="128"/>
  <c r="I28" i="128"/>
  <c r="I27" i="128"/>
  <c r="I26" i="128"/>
  <c r="I25" i="128"/>
  <c r="I24" i="128"/>
  <c r="I23" i="128"/>
  <c r="I22" i="128"/>
  <c r="I21" i="128"/>
  <c r="I20" i="128"/>
  <c r="I19" i="128"/>
  <c r="I18" i="128"/>
  <c r="I17" i="128"/>
  <c r="I16" i="128"/>
  <c r="I15" i="128"/>
  <c r="I14" i="128"/>
  <c r="I13" i="128"/>
  <c r="I12" i="128"/>
  <c r="I11" i="128"/>
  <c r="I10" i="128"/>
  <c r="I9" i="128"/>
  <c r="I8" i="128"/>
  <c r="I7" i="128"/>
  <c r="I96" i="130"/>
  <c r="I95" i="130"/>
  <c r="I94" i="130"/>
  <c r="I93" i="130"/>
  <c r="I92" i="130"/>
  <c r="I91" i="130"/>
  <c r="I90" i="130"/>
  <c r="I89" i="130"/>
  <c r="I88" i="130"/>
  <c r="I87" i="130"/>
  <c r="I86" i="130"/>
  <c r="I85" i="130"/>
  <c r="I84" i="130"/>
  <c r="I83" i="130"/>
  <c r="I82" i="130"/>
  <c r="I81" i="130"/>
  <c r="I80" i="130"/>
  <c r="I79" i="130"/>
  <c r="I78" i="130"/>
  <c r="I77" i="130"/>
  <c r="I76" i="130"/>
  <c r="I75" i="130"/>
  <c r="I74" i="130"/>
  <c r="I73" i="130"/>
  <c r="I72" i="130"/>
  <c r="I71" i="130"/>
  <c r="I70" i="130"/>
  <c r="I69" i="130"/>
  <c r="I68" i="130"/>
  <c r="I67" i="130"/>
  <c r="I66" i="130"/>
  <c r="I65" i="130"/>
  <c r="I64" i="130"/>
  <c r="I63" i="130"/>
  <c r="I62" i="130"/>
  <c r="I61" i="130"/>
  <c r="I60" i="130"/>
  <c r="I59" i="130"/>
  <c r="I58" i="130"/>
  <c r="I57" i="130"/>
  <c r="I56" i="130"/>
  <c r="I55" i="130"/>
  <c r="I54" i="130"/>
  <c r="I53" i="130"/>
  <c r="I52" i="130"/>
  <c r="I51" i="130"/>
  <c r="I50" i="130"/>
  <c r="I49" i="130"/>
  <c r="I48" i="130"/>
  <c r="I47" i="130"/>
  <c r="I46" i="130"/>
  <c r="I45" i="130"/>
  <c r="I44" i="130"/>
  <c r="I43" i="130"/>
  <c r="I42" i="130"/>
  <c r="I41" i="130"/>
  <c r="I40" i="130"/>
  <c r="I39" i="130"/>
  <c r="I38" i="130"/>
  <c r="I37" i="130"/>
  <c r="I36" i="130"/>
  <c r="I35" i="130"/>
  <c r="I34" i="130"/>
  <c r="I33" i="130"/>
  <c r="I32" i="130"/>
  <c r="I31" i="130"/>
  <c r="I30" i="130"/>
  <c r="I29" i="130"/>
  <c r="I28" i="130"/>
  <c r="I27" i="130"/>
  <c r="I26" i="130"/>
  <c r="I25" i="130"/>
  <c r="I24" i="130"/>
  <c r="I23" i="130"/>
  <c r="I22" i="130"/>
  <c r="I21" i="130"/>
  <c r="I20" i="130"/>
  <c r="I19" i="130"/>
  <c r="I18" i="130"/>
  <c r="I17" i="130"/>
  <c r="I16" i="130"/>
  <c r="I15" i="130"/>
  <c r="I14" i="130"/>
  <c r="I13" i="130"/>
  <c r="I12" i="130"/>
  <c r="I11" i="130"/>
  <c r="I10" i="130"/>
  <c r="I9" i="130"/>
  <c r="I8" i="130"/>
  <c r="I7" i="130"/>
  <c r="I96" i="129"/>
  <c r="I95" i="129"/>
  <c r="I94" i="129"/>
  <c r="I93" i="129"/>
  <c r="I92" i="129"/>
  <c r="I91" i="129"/>
  <c r="I90" i="129"/>
  <c r="I89" i="129"/>
  <c r="I88" i="129"/>
  <c r="I87" i="129"/>
  <c r="I86" i="129"/>
  <c r="I85" i="129"/>
  <c r="I84" i="129"/>
  <c r="I83" i="129"/>
  <c r="I82" i="129"/>
  <c r="I81" i="129"/>
  <c r="I80" i="129"/>
  <c r="I79" i="129"/>
  <c r="I78" i="129"/>
  <c r="I77" i="129"/>
  <c r="I76" i="129"/>
  <c r="I75" i="129"/>
  <c r="I74" i="129"/>
  <c r="I73" i="129"/>
  <c r="I72" i="129"/>
  <c r="I71" i="129"/>
  <c r="I70" i="129"/>
  <c r="I69" i="129"/>
  <c r="I68" i="129"/>
  <c r="I67" i="129"/>
  <c r="I66" i="129"/>
  <c r="I65" i="129"/>
  <c r="I64" i="129"/>
  <c r="I63" i="129"/>
  <c r="I62" i="129"/>
  <c r="I61" i="129"/>
  <c r="I60" i="129"/>
  <c r="I59" i="129"/>
  <c r="I58" i="129"/>
  <c r="I57" i="129"/>
  <c r="I56" i="129"/>
  <c r="I55" i="129"/>
  <c r="I54" i="129"/>
  <c r="I53" i="129"/>
  <c r="I52" i="129"/>
  <c r="I51" i="129"/>
  <c r="I50" i="129"/>
  <c r="I49" i="129"/>
  <c r="I48" i="129"/>
  <c r="I47" i="129"/>
  <c r="I46" i="129"/>
  <c r="I45" i="129"/>
  <c r="I44" i="129"/>
  <c r="I43" i="129"/>
  <c r="I42" i="129"/>
  <c r="I41" i="129"/>
  <c r="I40" i="129"/>
  <c r="I39" i="129"/>
  <c r="I38" i="129"/>
  <c r="I37" i="129"/>
  <c r="I36" i="129"/>
  <c r="I35" i="129"/>
  <c r="I34" i="129"/>
  <c r="I33" i="129"/>
  <c r="I32" i="129"/>
  <c r="I31" i="129"/>
  <c r="I30" i="129"/>
  <c r="I29" i="129"/>
  <c r="I28" i="129"/>
  <c r="I27" i="129"/>
  <c r="I26" i="129"/>
  <c r="I25" i="129"/>
  <c r="I24" i="129"/>
  <c r="I23" i="129"/>
  <c r="I22" i="129"/>
  <c r="I21" i="129"/>
  <c r="I20" i="129"/>
  <c r="I19" i="129"/>
  <c r="I18" i="129"/>
  <c r="I17" i="129"/>
  <c r="I16" i="129"/>
  <c r="I15" i="129"/>
  <c r="I14" i="129"/>
  <c r="I13" i="129"/>
  <c r="I12" i="129"/>
  <c r="I11" i="129"/>
  <c r="I10" i="129"/>
  <c r="I9" i="129"/>
  <c r="I8" i="129"/>
  <c r="I7" i="129"/>
  <c r="I96" i="131"/>
  <c r="I95" i="131"/>
  <c r="I94" i="131"/>
  <c r="I93" i="131"/>
  <c r="I92" i="131"/>
  <c r="I91" i="131"/>
  <c r="I90" i="131"/>
  <c r="I89" i="131"/>
  <c r="I88" i="131"/>
  <c r="I87" i="131"/>
  <c r="I86" i="131"/>
  <c r="I85" i="131"/>
  <c r="I84" i="131"/>
  <c r="I83" i="131"/>
  <c r="I82" i="131"/>
  <c r="I81" i="131"/>
  <c r="I80" i="131"/>
  <c r="I79" i="131"/>
  <c r="I78" i="131"/>
  <c r="I77" i="131"/>
  <c r="I76" i="131"/>
  <c r="I75" i="131"/>
  <c r="I74" i="131"/>
  <c r="I73" i="131"/>
  <c r="I72" i="131"/>
  <c r="I71" i="131"/>
  <c r="I70" i="131"/>
  <c r="I69" i="131"/>
  <c r="I68" i="131"/>
  <c r="I67" i="131"/>
  <c r="I66" i="131"/>
  <c r="I65" i="131"/>
  <c r="I64" i="131"/>
  <c r="I63" i="131"/>
  <c r="I62" i="131"/>
  <c r="I61" i="131"/>
  <c r="I60" i="131"/>
  <c r="I59" i="131"/>
  <c r="I58" i="131"/>
  <c r="I57" i="131"/>
  <c r="I56" i="131"/>
  <c r="I55" i="131"/>
  <c r="I54" i="131"/>
  <c r="I53" i="131"/>
  <c r="I52" i="131"/>
  <c r="I51" i="131"/>
  <c r="I50" i="131"/>
  <c r="I49" i="131"/>
  <c r="I48" i="131"/>
  <c r="I47" i="131"/>
  <c r="I46" i="131"/>
  <c r="I45" i="131"/>
  <c r="I44" i="131"/>
  <c r="I43" i="131"/>
  <c r="I42" i="131"/>
  <c r="I41" i="131"/>
  <c r="I40" i="131"/>
  <c r="I39" i="131"/>
  <c r="I38" i="131"/>
  <c r="I37" i="131"/>
  <c r="I36" i="131"/>
  <c r="I35" i="131"/>
  <c r="I34" i="131"/>
  <c r="I33" i="131"/>
  <c r="I32" i="131"/>
  <c r="I31" i="131"/>
  <c r="I30" i="131"/>
  <c r="I29" i="131"/>
  <c r="I28" i="131"/>
  <c r="I27" i="131"/>
  <c r="I26" i="131"/>
  <c r="I25" i="131"/>
  <c r="I24" i="131"/>
  <c r="I23" i="131"/>
  <c r="I22" i="131"/>
  <c r="I21" i="131"/>
  <c r="I20" i="131"/>
  <c r="I19" i="131"/>
  <c r="I18" i="131"/>
  <c r="I17" i="131"/>
  <c r="I16" i="131"/>
  <c r="I15" i="131"/>
  <c r="I14" i="131"/>
  <c r="I13" i="131"/>
  <c r="I12" i="131"/>
  <c r="I11" i="131"/>
  <c r="I10" i="131"/>
  <c r="I9" i="131"/>
  <c r="I8" i="131"/>
  <c r="I7" i="131"/>
  <c r="I96" i="108"/>
  <c r="I95" i="108"/>
  <c r="I94" i="108"/>
  <c r="I93" i="108"/>
  <c r="I92" i="108"/>
  <c r="I91" i="108"/>
  <c r="I90" i="108"/>
  <c r="I89" i="108"/>
  <c r="I88" i="108"/>
  <c r="I87" i="108"/>
  <c r="I86" i="108"/>
  <c r="I85" i="108"/>
  <c r="I84" i="108"/>
  <c r="I83" i="108"/>
  <c r="I82" i="108"/>
  <c r="I81" i="108"/>
  <c r="I80" i="108"/>
  <c r="I79" i="108"/>
  <c r="I78" i="108"/>
  <c r="I77" i="108"/>
  <c r="I76" i="108"/>
  <c r="I75" i="108"/>
  <c r="I74" i="108"/>
  <c r="I73" i="108"/>
  <c r="I72" i="108"/>
  <c r="I71" i="108"/>
  <c r="I70" i="108"/>
  <c r="I69" i="108"/>
  <c r="I68" i="108"/>
  <c r="I67" i="108"/>
  <c r="I66" i="108"/>
  <c r="I65" i="108"/>
  <c r="I64" i="108"/>
  <c r="I63" i="108"/>
  <c r="I62" i="108"/>
  <c r="I61" i="108"/>
  <c r="I60" i="108"/>
  <c r="I59" i="108"/>
  <c r="I58" i="108"/>
  <c r="I57" i="108"/>
  <c r="I56" i="108"/>
  <c r="I55" i="108"/>
  <c r="I54" i="108"/>
  <c r="I53" i="108"/>
  <c r="I52" i="108"/>
  <c r="I51" i="108"/>
  <c r="I50" i="108"/>
  <c r="I49" i="108"/>
  <c r="I48" i="108"/>
  <c r="I47" i="108"/>
  <c r="I46" i="108"/>
  <c r="I45" i="108"/>
  <c r="I44" i="108"/>
  <c r="I43" i="108"/>
  <c r="I42" i="108"/>
  <c r="I41" i="108"/>
  <c r="I40" i="108"/>
  <c r="I39" i="108"/>
  <c r="I38" i="108"/>
  <c r="I37" i="108"/>
  <c r="I36" i="108"/>
  <c r="I35" i="108"/>
  <c r="I34" i="108"/>
  <c r="I33" i="108"/>
  <c r="I32" i="108"/>
  <c r="I31" i="108"/>
  <c r="I30" i="108"/>
  <c r="I29" i="108"/>
  <c r="I28" i="108"/>
  <c r="I27" i="108"/>
  <c r="I26" i="108"/>
  <c r="I25" i="108"/>
  <c r="I24" i="108"/>
  <c r="I23" i="108"/>
  <c r="I22" i="108"/>
  <c r="I21" i="108"/>
  <c r="I20" i="108"/>
  <c r="I18" i="108"/>
  <c r="I17" i="108"/>
  <c r="I16" i="108"/>
  <c r="I15" i="108"/>
  <c r="I14" i="108"/>
  <c r="I13" i="108"/>
  <c r="I12" i="108"/>
  <c r="I11" i="108"/>
  <c r="I10" i="108"/>
  <c r="I9" i="108"/>
  <c r="I8" i="108"/>
  <c r="I7" i="108"/>
  <c r="I96" i="112"/>
  <c r="I95" i="112"/>
  <c r="I94" i="112"/>
  <c r="I93" i="112"/>
  <c r="I92" i="112"/>
  <c r="I91" i="112"/>
  <c r="I90" i="112"/>
  <c r="I89" i="112"/>
  <c r="I88" i="112"/>
  <c r="I87" i="112"/>
  <c r="I86" i="112"/>
  <c r="I85" i="112"/>
  <c r="I84" i="112"/>
  <c r="I83" i="112"/>
  <c r="I82" i="112"/>
  <c r="I81" i="112"/>
  <c r="I80" i="112"/>
  <c r="I79" i="112"/>
  <c r="I78" i="112"/>
  <c r="I77" i="112"/>
  <c r="I76" i="112"/>
  <c r="I75" i="112"/>
  <c r="I74" i="112"/>
  <c r="I73" i="112"/>
  <c r="I72" i="112"/>
  <c r="I71" i="112"/>
  <c r="I70" i="112"/>
  <c r="I69" i="112"/>
  <c r="I68" i="112"/>
  <c r="I67" i="112"/>
  <c r="I66" i="112"/>
  <c r="I65" i="112"/>
  <c r="I64" i="112"/>
  <c r="I63" i="112"/>
  <c r="I62" i="112"/>
  <c r="I61" i="112"/>
  <c r="I60" i="112"/>
  <c r="I59" i="112"/>
  <c r="I58" i="112"/>
  <c r="I57" i="112"/>
  <c r="I56" i="112"/>
  <c r="I55" i="112"/>
  <c r="I54" i="112"/>
  <c r="I53" i="112"/>
  <c r="I52" i="112"/>
  <c r="I51" i="112"/>
  <c r="I50" i="112"/>
  <c r="I49" i="112"/>
  <c r="I48" i="112"/>
  <c r="I47" i="112"/>
  <c r="I46" i="112"/>
  <c r="I45" i="112"/>
  <c r="I44" i="112"/>
  <c r="I43" i="112"/>
  <c r="I42" i="112"/>
  <c r="I41" i="112"/>
  <c r="I40" i="112"/>
  <c r="I39" i="112"/>
  <c r="I38" i="112"/>
  <c r="I37" i="112"/>
  <c r="I36" i="112"/>
  <c r="I35" i="112"/>
  <c r="I34" i="112"/>
  <c r="I33" i="112"/>
  <c r="I32" i="112"/>
  <c r="I31" i="112"/>
  <c r="I30" i="112"/>
  <c r="I29" i="112"/>
  <c r="I28" i="112"/>
  <c r="I27" i="112"/>
  <c r="I26" i="112"/>
  <c r="I25" i="112"/>
  <c r="I24" i="112"/>
  <c r="I23" i="112"/>
  <c r="I22" i="112"/>
  <c r="I21" i="112"/>
  <c r="I20" i="112"/>
  <c r="I19" i="112"/>
  <c r="I18" i="112"/>
  <c r="I17" i="112"/>
  <c r="I16" i="112"/>
  <c r="I15" i="112"/>
  <c r="I14" i="112"/>
  <c r="I13" i="112"/>
  <c r="I12" i="112"/>
  <c r="I11" i="112"/>
  <c r="I10" i="112"/>
  <c r="I9" i="112"/>
  <c r="I8" i="112"/>
  <c r="I7" i="112"/>
  <c r="I96" i="109"/>
  <c r="I95" i="109"/>
  <c r="I94" i="109"/>
  <c r="I93" i="109"/>
  <c r="I92" i="109"/>
  <c r="I91" i="109"/>
  <c r="I90" i="109"/>
  <c r="I89" i="109"/>
  <c r="I88" i="109"/>
  <c r="I87" i="109"/>
  <c r="I86" i="109"/>
  <c r="I85" i="109"/>
  <c r="I84" i="109"/>
  <c r="I83" i="109"/>
  <c r="I82" i="109"/>
  <c r="I81" i="109"/>
  <c r="I80" i="109"/>
  <c r="I79" i="109"/>
  <c r="I78" i="109"/>
  <c r="I77" i="109"/>
  <c r="I76" i="109"/>
  <c r="I75" i="109"/>
  <c r="I74" i="109"/>
  <c r="I73" i="109"/>
  <c r="I72" i="109"/>
  <c r="I71" i="109"/>
  <c r="I70" i="109"/>
  <c r="I69" i="109"/>
  <c r="I68" i="109"/>
  <c r="I67" i="109"/>
  <c r="I66" i="109"/>
  <c r="I65" i="109"/>
  <c r="I64" i="109"/>
  <c r="I63" i="109"/>
  <c r="I62" i="109"/>
  <c r="I61" i="109"/>
  <c r="I60" i="109"/>
  <c r="I59" i="109"/>
  <c r="I58" i="109"/>
  <c r="I57" i="109"/>
  <c r="I56" i="109"/>
  <c r="I55" i="109"/>
  <c r="I54" i="109"/>
  <c r="I53" i="109"/>
  <c r="I52" i="109"/>
  <c r="I51" i="109"/>
  <c r="I50" i="109"/>
  <c r="I49" i="109"/>
  <c r="I48" i="109"/>
  <c r="I47" i="109"/>
  <c r="I46" i="109"/>
  <c r="I45" i="109"/>
  <c r="I44" i="109"/>
  <c r="I43" i="109"/>
  <c r="I42" i="109"/>
  <c r="I41" i="109"/>
  <c r="I40" i="109"/>
  <c r="I39" i="109"/>
  <c r="I38" i="109"/>
  <c r="I37" i="109"/>
  <c r="I36" i="109"/>
  <c r="I35" i="109"/>
  <c r="I34" i="109"/>
  <c r="I33" i="109"/>
  <c r="I32" i="109"/>
  <c r="I31" i="109"/>
  <c r="I30" i="109"/>
  <c r="I29" i="109"/>
  <c r="I28" i="109"/>
  <c r="I27" i="109"/>
  <c r="I26" i="109"/>
  <c r="I25" i="109"/>
  <c r="I24" i="109"/>
  <c r="I23" i="109"/>
  <c r="I22" i="109"/>
  <c r="I21" i="109"/>
  <c r="I20" i="109"/>
  <c r="I19" i="109"/>
  <c r="I18" i="109"/>
  <c r="I17" i="109"/>
  <c r="I16" i="109"/>
  <c r="I15" i="109"/>
  <c r="I14" i="109"/>
  <c r="I13" i="109"/>
  <c r="I12" i="109"/>
  <c r="I11" i="109"/>
  <c r="I10" i="109"/>
  <c r="I9" i="109"/>
  <c r="I8" i="109"/>
  <c r="I7" i="109"/>
  <c r="I96" i="110"/>
  <c r="I95" i="110"/>
  <c r="I94" i="110"/>
  <c r="I93" i="110"/>
  <c r="I92" i="110"/>
  <c r="I91" i="110"/>
  <c r="I90" i="110"/>
  <c r="I89" i="110"/>
  <c r="I88" i="110"/>
  <c r="I87" i="110"/>
  <c r="I86" i="110"/>
  <c r="I85" i="110"/>
  <c r="I84" i="110"/>
  <c r="I83" i="110"/>
  <c r="I82" i="110"/>
  <c r="I81" i="110"/>
  <c r="I80" i="110"/>
  <c r="I79" i="110"/>
  <c r="I78" i="110"/>
  <c r="I77" i="110"/>
  <c r="I76" i="110"/>
  <c r="I75" i="110"/>
  <c r="I74" i="110"/>
  <c r="I73" i="110"/>
  <c r="I72" i="110"/>
  <c r="I71" i="110"/>
  <c r="I70" i="110"/>
  <c r="I69" i="110"/>
  <c r="I68" i="110"/>
  <c r="I67" i="110"/>
  <c r="I66" i="110"/>
  <c r="I65" i="110"/>
  <c r="I64" i="110"/>
  <c r="I63" i="110"/>
  <c r="I62" i="110"/>
  <c r="I61" i="110"/>
  <c r="I60" i="110"/>
  <c r="I59" i="110"/>
  <c r="I58" i="110"/>
  <c r="I57" i="110"/>
  <c r="I56" i="110"/>
  <c r="I55" i="110"/>
  <c r="I54" i="110"/>
  <c r="I53" i="110"/>
  <c r="I52" i="110"/>
  <c r="I51" i="110"/>
  <c r="I50" i="110"/>
  <c r="I49" i="110"/>
  <c r="I48" i="110"/>
  <c r="I47" i="110"/>
  <c r="I45" i="110"/>
  <c r="I44" i="110"/>
  <c r="I43" i="110"/>
  <c r="I42" i="110"/>
  <c r="I41" i="110"/>
  <c r="I40" i="110"/>
  <c r="I39" i="110"/>
  <c r="I38" i="110"/>
  <c r="I37" i="110"/>
  <c r="I36" i="110"/>
  <c r="I35" i="110"/>
  <c r="I34" i="110"/>
  <c r="I33" i="110"/>
  <c r="I32" i="110"/>
  <c r="I31" i="110"/>
  <c r="I30" i="110"/>
  <c r="I29" i="110"/>
  <c r="I28" i="110"/>
  <c r="I27" i="110"/>
  <c r="I26" i="110"/>
  <c r="I25" i="110"/>
  <c r="I24" i="110"/>
  <c r="I23" i="110"/>
  <c r="I22" i="110"/>
  <c r="I21" i="110"/>
  <c r="I20" i="110"/>
  <c r="I19" i="110"/>
  <c r="I18" i="110"/>
  <c r="I17" i="110"/>
  <c r="I16" i="110"/>
  <c r="I15" i="110"/>
  <c r="I14" i="110"/>
  <c r="I13" i="110"/>
  <c r="I12" i="110"/>
  <c r="I11" i="110"/>
  <c r="I10" i="110"/>
  <c r="I8" i="110"/>
  <c r="I7" i="110"/>
  <c r="I96" i="113"/>
  <c r="I95" i="113"/>
  <c r="I94" i="113"/>
  <c r="I93" i="113"/>
  <c r="I92" i="113"/>
  <c r="I91" i="113"/>
  <c r="I90" i="113"/>
  <c r="I89" i="113"/>
  <c r="I88" i="113"/>
  <c r="I87" i="113"/>
  <c r="I86" i="113"/>
  <c r="I85" i="113"/>
  <c r="I84" i="113"/>
  <c r="I83" i="113"/>
  <c r="I82" i="113"/>
  <c r="I81" i="113"/>
  <c r="I80" i="113"/>
  <c r="I79" i="113"/>
  <c r="I78" i="113"/>
  <c r="I77" i="113"/>
  <c r="I76" i="113"/>
  <c r="I75" i="113"/>
  <c r="I74" i="113"/>
  <c r="I73" i="113"/>
  <c r="I72" i="113"/>
  <c r="I71" i="113"/>
  <c r="I70" i="113"/>
  <c r="I69" i="113"/>
  <c r="I68" i="113"/>
  <c r="I67" i="113"/>
  <c r="I66" i="113"/>
  <c r="I65" i="113"/>
  <c r="I64" i="113"/>
  <c r="I63" i="113"/>
  <c r="I62" i="113"/>
  <c r="I61" i="113"/>
  <c r="I60" i="113"/>
  <c r="I59" i="113"/>
  <c r="I58" i="113"/>
  <c r="I57" i="113"/>
  <c r="I56" i="113"/>
  <c r="I55" i="113"/>
  <c r="I54" i="113"/>
  <c r="I53" i="113"/>
  <c r="I52" i="113"/>
  <c r="I51" i="113"/>
  <c r="I50" i="113"/>
  <c r="I49" i="113"/>
  <c r="I48" i="113"/>
  <c r="I47" i="113"/>
  <c r="I46" i="113"/>
  <c r="I45" i="113"/>
  <c r="I44" i="113"/>
  <c r="I43" i="113"/>
  <c r="I42" i="113"/>
  <c r="I41" i="113"/>
  <c r="I40" i="113"/>
  <c r="I39" i="113"/>
  <c r="I38" i="113"/>
  <c r="I37" i="113"/>
  <c r="I36" i="113"/>
  <c r="I35" i="113"/>
  <c r="I34" i="113"/>
  <c r="I33" i="113"/>
  <c r="I32" i="113"/>
  <c r="I31" i="113"/>
  <c r="I30" i="113"/>
  <c r="I29" i="113"/>
  <c r="I28" i="113"/>
  <c r="I27" i="113"/>
  <c r="I26" i="113"/>
  <c r="I25" i="113"/>
  <c r="I24" i="113"/>
  <c r="I23" i="113"/>
  <c r="I22" i="113"/>
  <c r="I21" i="113"/>
  <c r="I20" i="113"/>
  <c r="I19" i="113"/>
  <c r="I18" i="113"/>
  <c r="I17" i="113"/>
  <c r="I16" i="113"/>
  <c r="I15" i="113"/>
  <c r="I14" i="113"/>
  <c r="I13" i="113"/>
  <c r="I12" i="113"/>
  <c r="I11" i="113"/>
  <c r="I10" i="113"/>
  <c r="I9" i="113"/>
  <c r="I8" i="113"/>
  <c r="I7" i="113"/>
  <c r="I96" i="111"/>
  <c r="I95" i="111"/>
  <c r="I94" i="111"/>
  <c r="I93" i="111"/>
  <c r="I92" i="111"/>
  <c r="I91" i="111"/>
  <c r="I90" i="111"/>
  <c r="I89" i="111"/>
  <c r="I88" i="111"/>
  <c r="I87" i="111"/>
  <c r="I86" i="111"/>
  <c r="I85" i="111"/>
  <c r="I84" i="111"/>
  <c r="I83" i="111"/>
  <c r="I82" i="111"/>
  <c r="I81" i="111"/>
  <c r="I80" i="111"/>
  <c r="I79" i="111"/>
  <c r="I78" i="111"/>
  <c r="I77" i="111"/>
  <c r="I76" i="111"/>
  <c r="I75" i="111"/>
  <c r="I74" i="111"/>
  <c r="I73" i="111"/>
  <c r="I72" i="111"/>
  <c r="I71" i="111"/>
  <c r="I70" i="111"/>
  <c r="I69" i="111"/>
  <c r="I68" i="111"/>
  <c r="I67" i="111"/>
  <c r="I66" i="111"/>
  <c r="I65" i="111"/>
  <c r="I64" i="111"/>
  <c r="I63" i="111"/>
  <c r="I62" i="111"/>
  <c r="I61" i="111"/>
  <c r="I60" i="111"/>
  <c r="I59" i="111"/>
  <c r="I58" i="111"/>
  <c r="I57" i="111"/>
  <c r="I56" i="111"/>
  <c r="I55" i="111"/>
  <c r="I54" i="111"/>
  <c r="I53" i="111"/>
  <c r="I52" i="111"/>
  <c r="I51" i="111"/>
  <c r="I50" i="111"/>
  <c r="I49" i="111"/>
  <c r="I48" i="111"/>
  <c r="I47" i="111"/>
  <c r="I46" i="111"/>
  <c r="I45" i="111"/>
  <c r="I44" i="111"/>
  <c r="I43" i="111"/>
  <c r="I42" i="111"/>
  <c r="I41" i="111"/>
  <c r="I40" i="111"/>
  <c r="I39" i="111"/>
  <c r="I38" i="111"/>
  <c r="I37" i="111"/>
  <c r="I36" i="111"/>
  <c r="I35" i="111"/>
  <c r="I34" i="111"/>
  <c r="I33" i="111"/>
  <c r="I32" i="111"/>
  <c r="I31" i="111"/>
  <c r="I30" i="111"/>
  <c r="I29" i="111"/>
  <c r="I28" i="111"/>
  <c r="I27" i="111"/>
  <c r="I26" i="111"/>
  <c r="I25" i="111"/>
  <c r="I24" i="111"/>
  <c r="I23" i="111"/>
  <c r="I22" i="111"/>
  <c r="I21" i="111"/>
  <c r="I20" i="111"/>
  <c r="I19" i="111"/>
  <c r="I18" i="111"/>
  <c r="I17" i="111"/>
  <c r="I16" i="111"/>
  <c r="I15" i="111"/>
  <c r="I14" i="111"/>
  <c r="I13" i="111"/>
  <c r="I12" i="111"/>
  <c r="I11" i="111"/>
  <c r="I10" i="111"/>
  <c r="I9" i="111"/>
  <c r="I8" i="111"/>
  <c r="I7" i="111"/>
  <c r="I96" i="115"/>
  <c r="I95" i="115"/>
  <c r="I94" i="115"/>
  <c r="I93" i="115"/>
  <c r="I92" i="115"/>
  <c r="I91" i="115"/>
  <c r="I90" i="115"/>
  <c r="I89" i="115"/>
  <c r="I88" i="115"/>
  <c r="I87" i="115"/>
  <c r="I86" i="115"/>
  <c r="I85" i="115"/>
  <c r="I84" i="115"/>
  <c r="I83" i="115"/>
  <c r="I82" i="115"/>
  <c r="I81" i="115"/>
  <c r="I80" i="115"/>
  <c r="I79" i="115"/>
  <c r="I78" i="115"/>
  <c r="I77" i="115"/>
  <c r="I76" i="115"/>
  <c r="I75" i="115"/>
  <c r="I74" i="115"/>
  <c r="I73" i="115"/>
  <c r="I72" i="115"/>
  <c r="I71" i="115"/>
  <c r="I70" i="115"/>
  <c r="I69" i="115"/>
  <c r="I68" i="115"/>
  <c r="I67" i="115"/>
  <c r="I66" i="115"/>
  <c r="I65" i="115"/>
  <c r="I64" i="115"/>
  <c r="I63" i="115"/>
  <c r="I62" i="115"/>
  <c r="I61" i="115"/>
  <c r="I60" i="115"/>
  <c r="I59" i="115"/>
  <c r="I58" i="115"/>
  <c r="I57" i="115"/>
  <c r="I56" i="115"/>
  <c r="I55" i="115"/>
  <c r="I54" i="115"/>
  <c r="I53" i="115"/>
  <c r="I52" i="115"/>
  <c r="I51" i="115"/>
  <c r="I50" i="115"/>
  <c r="I49" i="115"/>
  <c r="I48" i="115"/>
  <c r="I47" i="115"/>
  <c r="I46" i="115"/>
  <c r="I45" i="115"/>
  <c r="I44" i="115"/>
  <c r="I43" i="115"/>
  <c r="I42" i="115"/>
  <c r="I41" i="115"/>
  <c r="I40" i="115"/>
  <c r="I38" i="115"/>
  <c r="I37" i="115"/>
  <c r="I35" i="115"/>
  <c r="I34" i="115"/>
  <c r="I33" i="115"/>
  <c r="I32" i="115"/>
  <c r="I30" i="115"/>
  <c r="I29" i="115"/>
  <c r="I28" i="115"/>
  <c r="I27" i="115"/>
  <c r="I26" i="115"/>
  <c r="I24" i="115"/>
  <c r="I23" i="115"/>
  <c r="I22" i="115"/>
  <c r="I21" i="115"/>
  <c r="I20" i="115"/>
  <c r="I19" i="115"/>
  <c r="I18" i="115"/>
  <c r="I17" i="115"/>
  <c r="I16" i="115"/>
  <c r="I15" i="115"/>
  <c r="I14" i="115"/>
  <c r="I13" i="115"/>
  <c r="I12" i="115"/>
  <c r="I11" i="115"/>
  <c r="I10" i="115"/>
  <c r="I9" i="115"/>
  <c r="I8" i="115"/>
  <c r="I7" i="115"/>
  <c r="I96" i="105"/>
  <c r="I95" i="105"/>
  <c r="I94" i="105"/>
  <c r="I93" i="105"/>
  <c r="I92" i="105"/>
  <c r="I91" i="105"/>
  <c r="I90" i="105"/>
  <c r="I89" i="105"/>
  <c r="I88" i="105"/>
  <c r="I87" i="105"/>
  <c r="I86" i="105"/>
  <c r="I85" i="105"/>
  <c r="I84" i="105"/>
  <c r="I83" i="105"/>
  <c r="I82" i="105"/>
  <c r="I81" i="105"/>
  <c r="I80" i="105"/>
  <c r="I79" i="105"/>
  <c r="I78" i="105"/>
  <c r="I77" i="105"/>
  <c r="I76" i="105"/>
  <c r="I75" i="105"/>
  <c r="I74" i="105"/>
  <c r="I73" i="105"/>
  <c r="I72" i="105"/>
  <c r="I71" i="105"/>
  <c r="I70" i="105"/>
  <c r="I69" i="105"/>
  <c r="I68" i="105"/>
  <c r="I67" i="105"/>
  <c r="I66" i="105"/>
  <c r="I65" i="105"/>
  <c r="I64" i="105"/>
  <c r="I63" i="105"/>
  <c r="I62" i="105"/>
  <c r="I61" i="105"/>
  <c r="I60" i="105"/>
  <c r="I59" i="105"/>
  <c r="I58" i="105"/>
  <c r="I57" i="105"/>
  <c r="I56" i="105"/>
  <c r="I55" i="105"/>
  <c r="I54" i="105"/>
  <c r="I53" i="105"/>
  <c r="I52" i="105"/>
  <c r="I51" i="105"/>
  <c r="I50" i="105"/>
  <c r="I49" i="105"/>
  <c r="I48" i="105"/>
  <c r="I47" i="105"/>
  <c r="I46" i="105"/>
  <c r="I45" i="105"/>
  <c r="I44" i="105"/>
  <c r="I43" i="105"/>
  <c r="I42" i="105"/>
  <c r="I41" i="105"/>
  <c r="I40" i="105"/>
  <c r="I39" i="105"/>
  <c r="I38" i="105"/>
  <c r="I37" i="105"/>
  <c r="I36" i="105"/>
  <c r="I35" i="105"/>
  <c r="I34" i="105"/>
  <c r="I33" i="105"/>
  <c r="I32" i="105"/>
  <c r="I31" i="105"/>
  <c r="I30" i="105"/>
  <c r="I29" i="105"/>
  <c r="I28" i="105"/>
  <c r="I27" i="105"/>
  <c r="I26" i="105"/>
  <c r="I25" i="105"/>
  <c r="I24" i="105"/>
  <c r="I23" i="105"/>
  <c r="I22" i="105"/>
  <c r="I21" i="105"/>
  <c r="I20" i="105"/>
  <c r="I19" i="105"/>
  <c r="I18" i="105"/>
  <c r="I17" i="105"/>
  <c r="I16" i="105"/>
  <c r="I15" i="105"/>
  <c r="I14" i="105"/>
  <c r="I13" i="105"/>
  <c r="I12" i="105"/>
  <c r="I11" i="105"/>
  <c r="I10" i="105"/>
  <c r="I9" i="105"/>
  <c r="I8" i="105"/>
  <c r="I7" i="105"/>
  <c r="I96" i="114"/>
  <c r="I95" i="114"/>
  <c r="I94" i="114"/>
  <c r="I93" i="114"/>
  <c r="I92" i="114"/>
  <c r="I91" i="114"/>
  <c r="I90" i="114"/>
  <c r="I89" i="114"/>
  <c r="I88" i="114"/>
  <c r="I87" i="114"/>
  <c r="I86" i="114"/>
  <c r="I85" i="114"/>
  <c r="I84" i="114"/>
  <c r="I83" i="114"/>
  <c r="I82" i="114"/>
  <c r="I81" i="114"/>
  <c r="I80" i="114"/>
  <c r="I79" i="114"/>
  <c r="I78" i="114"/>
  <c r="I77" i="114"/>
  <c r="I76" i="114"/>
  <c r="I75" i="114"/>
  <c r="I74" i="114"/>
  <c r="I73" i="114"/>
  <c r="I72" i="114"/>
  <c r="I71" i="114"/>
  <c r="I70" i="114"/>
  <c r="I69" i="114"/>
  <c r="I68" i="114"/>
  <c r="I67" i="114"/>
  <c r="I66" i="114"/>
  <c r="I65" i="114"/>
  <c r="I64" i="114"/>
  <c r="I63" i="114"/>
  <c r="I62" i="114"/>
  <c r="I61" i="114"/>
  <c r="I60" i="114"/>
  <c r="I59" i="114"/>
  <c r="I58" i="114"/>
  <c r="I57" i="114"/>
  <c r="I56" i="114"/>
  <c r="I55" i="114"/>
  <c r="I54" i="114"/>
  <c r="I53" i="114"/>
  <c r="I52" i="114"/>
  <c r="I51" i="114"/>
  <c r="I50" i="114"/>
  <c r="I49" i="114"/>
  <c r="I48" i="114"/>
  <c r="I47" i="114"/>
  <c r="I46" i="114"/>
  <c r="I45" i="114"/>
  <c r="I44" i="114"/>
  <c r="I43" i="114"/>
  <c r="I42" i="114"/>
  <c r="I41" i="114"/>
  <c r="I40" i="114"/>
  <c r="I39" i="114"/>
  <c r="I38" i="114"/>
  <c r="I37" i="114"/>
  <c r="I36" i="114"/>
  <c r="I35" i="114"/>
  <c r="I34" i="114"/>
  <c r="I33" i="114"/>
  <c r="I32" i="114"/>
  <c r="I31" i="114"/>
  <c r="I30" i="114"/>
  <c r="I29" i="114"/>
  <c r="I28" i="114"/>
  <c r="I27" i="114"/>
  <c r="I26" i="114"/>
  <c r="I25" i="114"/>
  <c r="I24" i="114"/>
  <c r="I23" i="114"/>
  <c r="I22" i="114"/>
  <c r="I21" i="114"/>
  <c r="I20" i="114"/>
  <c r="I19" i="114"/>
  <c r="I18" i="114"/>
  <c r="I17" i="114"/>
  <c r="I16" i="114"/>
  <c r="I15" i="114"/>
  <c r="I14" i="114"/>
  <c r="I13" i="114"/>
  <c r="I12" i="114"/>
  <c r="I11" i="114"/>
  <c r="I10" i="114"/>
  <c r="I9" i="114"/>
  <c r="I8" i="114"/>
  <c r="I7" i="114"/>
  <c r="I96" i="104"/>
  <c r="I95" i="104"/>
  <c r="I94" i="104"/>
  <c r="I93" i="104"/>
  <c r="I92" i="104"/>
  <c r="I91" i="104"/>
  <c r="I90" i="104"/>
  <c r="I89" i="104"/>
  <c r="I88" i="104"/>
  <c r="I87" i="104"/>
  <c r="I86" i="104"/>
  <c r="I85" i="104"/>
  <c r="I84" i="104"/>
  <c r="I83" i="104"/>
  <c r="I82" i="104"/>
  <c r="I81" i="104"/>
  <c r="I80" i="104"/>
  <c r="I79" i="104"/>
  <c r="I78" i="104"/>
  <c r="I77" i="104"/>
  <c r="I76" i="104"/>
  <c r="I75" i="104"/>
  <c r="I74" i="104"/>
  <c r="I73" i="104"/>
  <c r="I72" i="104"/>
  <c r="I71" i="104"/>
  <c r="I70" i="104"/>
  <c r="I69" i="104"/>
  <c r="I68" i="104"/>
  <c r="I67" i="104"/>
  <c r="I66" i="104"/>
  <c r="I65" i="104"/>
  <c r="I64" i="104"/>
  <c r="I63" i="104"/>
  <c r="I62" i="104"/>
  <c r="I61" i="104"/>
  <c r="I60" i="104"/>
  <c r="I59" i="104"/>
  <c r="I58" i="104"/>
  <c r="I57" i="104"/>
  <c r="I56" i="104"/>
  <c r="I55" i="104"/>
  <c r="I54" i="104"/>
  <c r="I53" i="104"/>
  <c r="I52" i="104"/>
  <c r="I51" i="104"/>
  <c r="I50" i="104"/>
  <c r="I49" i="104"/>
  <c r="I48" i="104"/>
  <c r="I47" i="104"/>
  <c r="I46" i="104"/>
  <c r="I45" i="104"/>
  <c r="I44" i="104"/>
  <c r="I43" i="104"/>
  <c r="I42" i="104"/>
  <c r="I41" i="104"/>
  <c r="I40" i="104"/>
  <c r="I39" i="104"/>
  <c r="I38" i="104"/>
  <c r="I37" i="104"/>
  <c r="I36" i="104"/>
  <c r="I35" i="104"/>
  <c r="I34" i="104"/>
  <c r="I33" i="104"/>
  <c r="I32" i="104"/>
  <c r="I31" i="104"/>
  <c r="I30" i="104"/>
  <c r="I29" i="104"/>
  <c r="I28" i="104"/>
  <c r="I27" i="104"/>
  <c r="I26" i="104"/>
  <c r="I25" i="104"/>
  <c r="I24" i="104"/>
  <c r="I23" i="104"/>
  <c r="I22" i="104"/>
  <c r="I21" i="104"/>
  <c r="I20" i="104"/>
  <c r="I19" i="104"/>
  <c r="I18" i="104"/>
  <c r="I17" i="104"/>
  <c r="I16" i="104"/>
  <c r="I15" i="104"/>
  <c r="I14" i="104"/>
  <c r="I13" i="104"/>
  <c r="I12" i="104"/>
  <c r="I11" i="104"/>
  <c r="I10" i="104"/>
  <c r="I9" i="104"/>
  <c r="I8" i="104"/>
  <c r="I7" i="104"/>
  <c r="I96" i="107"/>
  <c r="I95" i="107"/>
  <c r="I94" i="107"/>
  <c r="I93" i="107"/>
  <c r="I92" i="107"/>
  <c r="I91" i="107"/>
  <c r="I90" i="107"/>
  <c r="I89" i="107"/>
  <c r="I88" i="107"/>
  <c r="I87" i="107"/>
  <c r="I86" i="107"/>
  <c r="I85" i="107"/>
  <c r="I84" i="107"/>
  <c r="I83" i="107"/>
  <c r="I82" i="107"/>
  <c r="I81" i="107"/>
  <c r="I80" i="107"/>
  <c r="I79" i="107"/>
  <c r="I78" i="107"/>
  <c r="I77" i="107"/>
  <c r="I76" i="107"/>
  <c r="I75" i="107"/>
  <c r="I74" i="107"/>
  <c r="I73" i="107"/>
  <c r="I72" i="107"/>
  <c r="I71" i="107"/>
  <c r="I70" i="107"/>
  <c r="I69" i="107"/>
  <c r="I68" i="107"/>
  <c r="I67" i="107"/>
  <c r="I66" i="107"/>
  <c r="I65" i="107"/>
  <c r="I64" i="107"/>
  <c r="I63" i="107"/>
  <c r="I62" i="107"/>
  <c r="I61" i="107"/>
  <c r="I60" i="107"/>
  <c r="I59" i="107"/>
  <c r="I58" i="107"/>
  <c r="I57" i="107"/>
  <c r="I56" i="107"/>
  <c r="I55" i="107"/>
  <c r="I54" i="107"/>
  <c r="I53" i="107"/>
  <c r="I52" i="107"/>
  <c r="I51" i="107"/>
  <c r="I50" i="107"/>
  <c r="I49" i="107"/>
  <c r="I48" i="107"/>
  <c r="I47" i="107"/>
  <c r="I46" i="107"/>
  <c r="I45" i="107"/>
  <c r="I44" i="107"/>
  <c r="I43" i="107"/>
  <c r="I42" i="107"/>
  <c r="I41" i="107"/>
  <c r="I40" i="107"/>
  <c r="I39" i="107"/>
  <c r="I38" i="107"/>
  <c r="I37" i="107"/>
  <c r="I36" i="107"/>
  <c r="I35" i="107"/>
  <c r="I34" i="107"/>
  <c r="I33" i="107"/>
  <c r="I32" i="107"/>
  <c r="I31" i="107"/>
  <c r="I30" i="107"/>
  <c r="I29" i="107"/>
  <c r="I28" i="107"/>
  <c r="I27" i="107"/>
  <c r="I26" i="107"/>
  <c r="I25" i="107"/>
  <c r="I24" i="107"/>
  <c r="I23" i="107"/>
  <c r="I22" i="107"/>
  <c r="I21" i="107"/>
  <c r="I20" i="107"/>
  <c r="I19" i="107"/>
  <c r="I18" i="107"/>
  <c r="I17" i="107"/>
  <c r="I16" i="107"/>
  <c r="I15" i="107"/>
  <c r="I14" i="107"/>
  <c r="I13" i="107"/>
  <c r="I12" i="107"/>
  <c r="I11" i="107"/>
  <c r="I10" i="107"/>
  <c r="I9" i="107"/>
  <c r="I8" i="107"/>
  <c r="I7" i="107"/>
  <c r="I96" i="106"/>
  <c r="I95" i="106"/>
  <c r="I94" i="106"/>
  <c r="I93" i="106"/>
  <c r="I92" i="106"/>
  <c r="I91" i="106"/>
  <c r="I90" i="106"/>
  <c r="I89" i="106"/>
  <c r="I88" i="106"/>
  <c r="I87" i="106"/>
  <c r="I86" i="106"/>
  <c r="I85" i="106"/>
  <c r="I84" i="106"/>
  <c r="I83" i="106"/>
  <c r="I82" i="106"/>
  <c r="I81" i="106"/>
  <c r="I80" i="106"/>
  <c r="I79" i="106"/>
  <c r="I78" i="106"/>
  <c r="I77" i="106"/>
  <c r="I76" i="106"/>
  <c r="I75" i="106"/>
  <c r="I74" i="106"/>
  <c r="I73" i="106"/>
  <c r="I72" i="106"/>
  <c r="I71" i="106"/>
  <c r="I70" i="106"/>
  <c r="I69" i="106"/>
  <c r="I68" i="106"/>
  <c r="I67" i="106"/>
  <c r="I66" i="106"/>
  <c r="I65" i="106"/>
  <c r="I64" i="106"/>
  <c r="I63" i="106"/>
  <c r="I62" i="106"/>
  <c r="I61" i="106"/>
  <c r="I60" i="106"/>
  <c r="I59" i="106"/>
  <c r="I58" i="106"/>
  <c r="I57" i="106"/>
  <c r="I56" i="106"/>
  <c r="I55" i="106"/>
  <c r="I54" i="106"/>
  <c r="I53" i="106"/>
  <c r="I52" i="106"/>
  <c r="I51" i="106"/>
  <c r="I50" i="106"/>
  <c r="I49" i="106"/>
  <c r="I48" i="106"/>
  <c r="I47" i="106"/>
  <c r="I46" i="106"/>
  <c r="I45" i="106"/>
  <c r="I44" i="106"/>
  <c r="I43" i="106"/>
  <c r="I42" i="106"/>
  <c r="I41" i="106"/>
  <c r="I40" i="106"/>
  <c r="I39" i="106"/>
  <c r="I38" i="106"/>
  <c r="I37" i="106"/>
  <c r="I36" i="106"/>
  <c r="I35" i="106"/>
  <c r="I34" i="106"/>
  <c r="I33" i="106"/>
  <c r="I32" i="106"/>
  <c r="I31" i="106"/>
  <c r="I30" i="106"/>
  <c r="I29" i="106"/>
  <c r="I28" i="106"/>
  <c r="I27" i="106"/>
  <c r="I26" i="106"/>
  <c r="I25" i="106"/>
  <c r="I24" i="106"/>
  <c r="I23" i="106"/>
  <c r="I22" i="106"/>
  <c r="I21" i="106"/>
  <c r="I20" i="106"/>
  <c r="I19" i="106"/>
  <c r="I18" i="106"/>
  <c r="I17" i="106"/>
  <c r="I16" i="106"/>
  <c r="I15" i="106"/>
  <c r="I14" i="106"/>
  <c r="I13" i="106"/>
  <c r="I12" i="106"/>
  <c r="I11" i="106"/>
  <c r="I10" i="106"/>
  <c r="I9" i="106"/>
  <c r="I8" i="106"/>
  <c r="I7" i="106"/>
  <c r="I96" i="102"/>
  <c r="I95" i="102"/>
  <c r="I94" i="102"/>
  <c r="I93" i="102"/>
  <c r="I92" i="102"/>
  <c r="I91" i="102"/>
  <c r="I90" i="102"/>
  <c r="I89" i="102"/>
  <c r="I88" i="102"/>
  <c r="I87" i="102"/>
  <c r="I86" i="102"/>
  <c r="I85" i="102"/>
  <c r="I84" i="102"/>
  <c r="I83" i="102"/>
  <c r="I82" i="102"/>
  <c r="I81" i="102"/>
  <c r="I80" i="102"/>
  <c r="I79" i="102"/>
  <c r="I78" i="102"/>
  <c r="I77" i="102"/>
  <c r="I76" i="102"/>
  <c r="I75" i="102"/>
  <c r="I74" i="102"/>
  <c r="I73" i="102"/>
  <c r="I72" i="102"/>
  <c r="I71" i="102"/>
  <c r="I70" i="102"/>
  <c r="I69" i="102"/>
  <c r="I68" i="102"/>
  <c r="I67" i="102"/>
  <c r="I66" i="102"/>
  <c r="I65" i="102"/>
  <c r="I64" i="102"/>
  <c r="I63" i="102"/>
  <c r="I62" i="102"/>
  <c r="I61" i="102"/>
  <c r="I60" i="102"/>
  <c r="I59" i="102"/>
  <c r="I58" i="102"/>
  <c r="I57" i="102"/>
  <c r="I56" i="102"/>
  <c r="I55" i="102"/>
  <c r="I54" i="102"/>
  <c r="I53" i="102"/>
  <c r="I52" i="102"/>
  <c r="I51" i="102"/>
  <c r="I50" i="102"/>
  <c r="I49" i="102"/>
  <c r="I48" i="102"/>
  <c r="I47" i="102"/>
  <c r="I46" i="102"/>
  <c r="I45" i="102"/>
  <c r="I44" i="102"/>
  <c r="I43" i="102"/>
  <c r="I42" i="102"/>
  <c r="I41" i="102"/>
  <c r="I40" i="102"/>
  <c r="I39" i="102"/>
  <c r="I38" i="102"/>
  <c r="I37" i="102"/>
  <c r="I36" i="102"/>
  <c r="I35" i="102"/>
  <c r="I34" i="102"/>
  <c r="I33" i="102"/>
  <c r="I32" i="102"/>
  <c r="I31" i="102"/>
  <c r="I30" i="102"/>
  <c r="I29" i="102"/>
  <c r="I28" i="102"/>
  <c r="I27" i="102"/>
  <c r="I26" i="102"/>
  <c r="I25" i="102"/>
  <c r="I24" i="102"/>
  <c r="I23" i="102"/>
  <c r="I22" i="102"/>
  <c r="I21" i="102"/>
  <c r="I20" i="102"/>
  <c r="I19" i="102"/>
  <c r="I18" i="102"/>
  <c r="I17" i="102"/>
  <c r="I16" i="102"/>
  <c r="I15" i="102"/>
  <c r="I14" i="102"/>
  <c r="I13" i="102"/>
  <c r="I12" i="102"/>
  <c r="I11" i="102"/>
  <c r="I10" i="102"/>
  <c r="I9" i="102"/>
  <c r="I8" i="102"/>
  <c r="I7" i="102"/>
  <c r="I96" i="101"/>
  <c r="I95" i="101"/>
  <c r="I94" i="101"/>
  <c r="I93" i="101"/>
  <c r="I92" i="101"/>
  <c r="I91" i="101"/>
  <c r="I90" i="101"/>
  <c r="I89" i="101"/>
  <c r="I88" i="101"/>
  <c r="I87" i="101"/>
  <c r="I86" i="101"/>
  <c r="I85" i="101"/>
  <c r="I84" i="101"/>
  <c r="I83" i="101"/>
  <c r="I82" i="101"/>
  <c r="I81" i="101"/>
  <c r="I80" i="101"/>
  <c r="I79" i="101"/>
  <c r="I78" i="101"/>
  <c r="I77" i="101"/>
  <c r="I75" i="101"/>
  <c r="I74" i="101"/>
  <c r="I73" i="101"/>
  <c r="I72" i="101"/>
  <c r="I71" i="101"/>
  <c r="I70" i="101"/>
  <c r="I69" i="101"/>
  <c r="I68" i="101"/>
  <c r="I67" i="101"/>
  <c r="I66" i="101"/>
  <c r="I65" i="101"/>
  <c r="I64" i="101"/>
  <c r="I63" i="101"/>
  <c r="I62" i="101"/>
  <c r="I61" i="101"/>
  <c r="I60" i="101"/>
  <c r="I59" i="101"/>
  <c r="I58" i="101"/>
  <c r="I57" i="101"/>
  <c r="I56" i="101"/>
  <c r="I55" i="101"/>
  <c r="I54" i="101"/>
  <c r="I53" i="101"/>
  <c r="I52" i="101"/>
  <c r="I51" i="101"/>
  <c r="I50" i="101"/>
  <c r="I49" i="101"/>
  <c r="I48" i="101"/>
  <c r="I47" i="101"/>
  <c r="I46" i="101"/>
  <c r="I45" i="101"/>
  <c r="I44" i="101"/>
  <c r="I43" i="101"/>
  <c r="I42" i="101"/>
  <c r="I41" i="101"/>
  <c r="I40" i="101"/>
  <c r="I39" i="101"/>
  <c r="I38" i="101"/>
  <c r="I37" i="101"/>
  <c r="I36" i="101"/>
  <c r="I35" i="101"/>
  <c r="I34" i="101"/>
  <c r="I33" i="101"/>
  <c r="I32" i="101"/>
  <c r="I31" i="101"/>
  <c r="I30" i="101"/>
  <c r="I29" i="101"/>
  <c r="I28" i="101"/>
  <c r="I27" i="101"/>
  <c r="I26" i="101"/>
  <c r="I25" i="101"/>
  <c r="I24" i="101"/>
  <c r="I23" i="101"/>
  <c r="I22" i="101"/>
  <c r="I21" i="101"/>
  <c r="I20" i="101"/>
  <c r="I19" i="101"/>
  <c r="I18" i="101"/>
  <c r="I17" i="101"/>
  <c r="I16" i="101"/>
  <c r="I15" i="101"/>
  <c r="I14" i="101"/>
  <c r="I13" i="101"/>
  <c r="I12" i="101"/>
  <c r="I11" i="101"/>
  <c r="I10" i="101"/>
  <c r="I9" i="101"/>
  <c r="I8" i="101"/>
  <c r="I7" i="101"/>
  <c r="I96" i="103"/>
  <c r="I95" i="103"/>
  <c r="I94" i="103"/>
  <c r="I93" i="103"/>
  <c r="I92" i="103"/>
  <c r="I91" i="103"/>
  <c r="I90" i="103"/>
  <c r="I89" i="103"/>
  <c r="I88" i="103"/>
  <c r="I87" i="103"/>
  <c r="I86" i="103"/>
  <c r="I85" i="103"/>
  <c r="I84" i="103"/>
  <c r="I83" i="103"/>
  <c r="I82" i="103"/>
  <c r="I81" i="103"/>
  <c r="I80" i="103"/>
  <c r="I79" i="103"/>
  <c r="I78" i="103"/>
  <c r="I77" i="103"/>
  <c r="I76" i="103"/>
  <c r="I75" i="103"/>
  <c r="I74" i="103"/>
  <c r="I73" i="103"/>
  <c r="I72" i="103"/>
  <c r="I71" i="103"/>
  <c r="I70" i="103"/>
  <c r="I69" i="103"/>
  <c r="I68" i="103"/>
  <c r="I67" i="103"/>
  <c r="I66" i="103"/>
  <c r="I65" i="103"/>
  <c r="I64" i="103"/>
  <c r="I63" i="103"/>
  <c r="I62" i="103"/>
  <c r="I61" i="103"/>
  <c r="I60" i="103"/>
  <c r="I59" i="103"/>
  <c r="I58" i="103"/>
  <c r="I57" i="103"/>
  <c r="I56" i="103"/>
  <c r="I55" i="103"/>
  <c r="I54" i="103"/>
  <c r="I53" i="103"/>
  <c r="I52" i="103"/>
  <c r="I51" i="103"/>
  <c r="I50" i="103"/>
  <c r="I49" i="103"/>
  <c r="I48" i="103"/>
  <c r="I47" i="103"/>
  <c r="I46" i="103"/>
  <c r="I45" i="103"/>
  <c r="I44" i="103"/>
  <c r="I43" i="103"/>
  <c r="I42" i="103"/>
  <c r="I41" i="103"/>
  <c r="I40" i="103"/>
  <c r="I39" i="103"/>
  <c r="I38" i="103"/>
  <c r="I37" i="103"/>
  <c r="I36" i="103"/>
  <c r="I35" i="103"/>
  <c r="I34" i="103"/>
  <c r="I33" i="103"/>
  <c r="I32" i="103"/>
  <c r="I31" i="103"/>
  <c r="I30" i="103"/>
  <c r="I29" i="103"/>
  <c r="I28" i="103"/>
  <c r="I27" i="103"/>
  <c r="I26" i="103"/>
  <c r="I25" i="103"/>
  <c r="I24" i="103"/>
  <c r="I23" i="103"/>
  <c r="I22" i="103"/>
  <c r="I21" i="103"/>
  <c r="I20" i="103"/>
  <c r="I19" i="103"/>
  <c r="I18" i="103"/>
  <c r="I17" i="103"/>
  <c r="I16" i="103"/>
  <c r="I15" i="103"/>
  <c r="I14" i="103"/>
  <c r="I13" i="103"/>
  <c r="I12" i="103"/>
  <c r="I11" i="103"/>
  <c r="I10" i="103"/>
  <c r="I9" i="103"/>
  <c r="I8" i="103"/>
  <c r="I7" i="103"/>
  <c r="I96" i="116"/>
  <c r="I95" i="116"/>
  <c r="I94" i="116"/>
  <c r="I93" i="116"/>
  <c r="I92" i="116"/>
  <c r="I91" i="116"/>
  <c r="I90" i="116"/>
  <c r="I89" i="116"/>
  <c r="I88" i="116"/>
  <c r="I87" i="116"/>
  <c r="I86" i="116"/>
  <c r="I85" i="116"/>
  <c r="I84" i="116"/>
  <c r="I83" i="116"/>
  <c r="I82" i="116"/>
  <c r="I81" i="116"/>
  <c r="I80" i="116"/>
  <c r="I79" i="116"/>
  <c r="I78" i="116"/>
  <c r="I77" i="116"/>
  <c r="I76" i="116"/>
  <c r="I75" i="116"/>
  <c r="I74" i="116"/>
  <c r="I73" i="116"/>
  <c r="I72" i="116"/>
  <c r="I71" i="116"/>
  <c r="I70" i="116"/>
  <c r="I69" i="116"/>
  <c r="I68" i="116"/>
  <c r="I67" i="116"/>
  <c r="I66" i="116"/>
  <c r="I65" i="116"/>
  <c r="I64" i="116"/>
  <c r="I63" i="116"/>
  <c r="I62" i="116"/>
  <c r="I61" i="116"/>
  <c r="I60" i="116"/>
  <c r="I59" i="116"/>
  <c r="I58" i="116"/>
  <c r="I57" i="116"/>
  <c r="I56" i="116"/>
  <c r="I55" i="116"/>
  <c r="I54" i="116"/>
  <c r="I53" i="116"/>
  <c r="I52" i="116"/>
  <c r="I51" i="116"/>
  <c r="I50" i="116"/>
  <c r="I49" i="116"/>
  <c r="I48" i="116"/>
  <c r="I47" i="116"/>
  <c r="I46" i="116"/>
  <c r="I45" i="116"/>
  <c r="I44" i="116"/>
  <c r="I43" i="116"/>
  <c r="I42" i="116"/>
  <c r="I41" i="116"/>
  <c r="I40" i="116"/>
  <c r="I39" i="116"/>
  <c r="I38" i="116"/>
  <c r="I37" i="116"/>
  <c r="I36" i="116"/>
  <c r="I35" i="116"/>
  <c r="I34" i="116"/>
  <c r="I33" i="116"/>
  <c r="I32" i="116"/>
  <c r="I31" i="116"/>
  <c r="I30" i="116"/>
  <c r="I29" i="116"/>
  <c r="I28" i="116"/>
  <c r="I27" i="116"/>
  <c r="I26" i="116"/>
  <c r="I25" i="116"/>
  <c r="I24" i="116"/>
  <c r="I23" i="116"/>
  <c r="I22" i="116"/>
  <c r="I21" i="116"/>
  <c r="I20" i="116"/>
  <c r="I19" i="116"/>
  <c r="I18" i="116"/>
  <c r="I17" i="116"/>
  <c r="I16" i="116"/>
  <c r="I15" i="116"/>
  <c r="I14" i="116"/>
  <c r="I13" i="116"/>
  <c r="I12" i="116"/>
  <c r="I11" i="116"/>
  <c r="I10" i="116"/>
  <c r="I9" i="116"/>
  <c r="I8" i="116"/>
  <c r="I7" i="116"/>
  <c r="I6" i="118"/>
  <c r="I6" i="117"/>
  <c r="I6" i="121"/>
  <c r="I6" i="120"/>
  <c r="I6" i="119"/>
  <c r="I6" i="123"/>
  <c r="I6" i="125"/>
  <c r="I6" i="124"/>
  <c r="I6" i="126"/>
  <c r="I6" i="127"/>
  <c r="I6" i="128"/>
  <c r="I6" i="130"/>
  <c r="I6" i="129"/>
  <c r="I6" i="131"/>
  <c r="I6" i="108"/>
  <c r="I6" i="112"/>
  <c r="I6" i="109"/>
  <c r="I6" i="110"/>
  <c r="I6" i="113"/>
  <c r="I6" i="111"/>
  <c r="I6" i="115"/>
  <c r="I6" i="105"/>
  <c r="I6" i="114"/>
  <c r="I6" i="104"/>
  <c r="I6" i="107"/>
  <c r="I6" i="106"/>
  <c r="I6" i="102"/>
  <c r="I6" i="101"/>
  <c r="I6" i="103"/>
  <c r="I6" i="116"/>
  <c r="I21" i="47" l="1"/>
  <c r="I70" i="47"/>
  <c r="I54" i="47"/>
  <c r="I38" i="47"/>
  <c r="I56" i="47"/>
  <c r="I22" i="47"/>
  <c r="I55" i="47"/>
  <c r="I40" i="47"/>
  <c r="I7" i="47"/>
  <c r="I8" i="47"/>
  <c r="I39" i="47"/>
  <c r="I23" i="47"/>
  <c r="I71" i="47"/>
  <c r="I72" i="47"/>
  <c r="I24" i="47"/>
  <c r="I62" i="47"/>
  <c r="I30" i="47"/>
  <c r="I78" i="47"/>
  <c r="I46" i="47"/>
  <c r="I58" i="47"/>
  <c r="I75" i="47"/>
  <c r="I42" i="47"/>
  <c r="I10" i="47"/>
  <c r="I43" i="47"/>
  <c r="I76" i="47"/>
  <c r="I74" i="47"/>
  <c r="I27" i="47"/>
  <c r="I59" i="47"/>
  <c r="I11" i="47"/>
  <c r="I44" i="47"/>
  <c r="I12" i="47"/>
  <c r="I29" i="47"/>
  <c r="I45" i="47"/>
  <c r="I77" i="47"/>
  <c r="I57" i="47"/>
  <c r="I26" i="47"/>
  <c r="I14" i="47"/>
  <c r="I73" i="47"/>
  <c r="I9" i="47"/>
  <c r="I25" i="47"/>
  <c r="I41" i="47"/>
  <c r="I13" i="47"/>
  <c r="I28" i="47"/>
  <c r="I61" i="47"/>
  <c r="I47" i="47"/>
  <c r="I15" i="47"/>
  <c r="I32" i="47"/>
  <c r="I48" i="47"/>
  <c r="I64" i="47"/>
  <c r="I31" i="47"/>
  <c r="I63" i="47"/>
  <c r="I16" i="47"/>
  <c r="I33" i="47"/>
  <c r="I49" i="47"/>
  <c r="I65" i="47"/>
  <c r="I17" i="47"/>
  <c r="I34" i="47"/>
  <c r="I50" i="47"/>
  <c r="I66" i="47"/>
  <c r="I18" i="47"/>
  <c r="I35" i="47"/>
  <c r="I51" i="47"/>
  <c r="I67" i="47"/>
  <c r="I19" i="47"/>
  <c r="I36" i="47"/>
  <c r="I52" i="47"/>
  <c r="I68" i="47"/>
  <c r="I20" i="47"/>
  <c r="I37" i="47"/>
  <c r="I53" i="47"/>
  <c r="I69" i="47"/>
  <c r="I60" i="47"/>
  <c r="I79" i="47"/>
  <c r="I80" i="47"/>
  <c r="I82" i="47"/>
  <c r="I81" i="47"/>
  <c r="AI75" i="47"/>
  <c r="AI76" i="47"/>
  <c r="H97" i="111" l="1"/>
  <c r="AL62" i="108" l="1"/>
  <c r="L2" i="119" l="1"/>
  <c r="M2" i="119"/>
  <c r="N2" i="119"/>
  <c r="O2" i="119"/>
  <c r="P2" i="119"/>
  <c r="Q2" i="119"/>
  <c r="R2" i="119"/>
  <c r="S2" i="119"/>
  <c r="T2" i="119"/>
  <c r="U2" i="119"/>
  <c r="V2" i="119"/>
  <c r="W2" i="119"/>
  <c r="X2" i="119"/>
  <c r="Y2" i="119"/>
  <c r="Z2" i="119"/>
  <c r="AA2" i="119"/>
  <c r="AB2" i="119"/>
  <c r="AC2" i="119"/>
  <c r="AD2" i="119"/>
  <c r="AE2" i="119"/>
  <c r="AF2" i="119"/>
  <c r="AG2" i="119"/>
  <c r="AH2" i="119"/>
  <c r="AI2" i="119"/>
  <c r="AJ2" i="119"/>
  <c r="AK2" i="119"/>
  <c r="L3" i="119"/>
  <c r="M3" i="119"/>
  <c r="N3" i="119"/>
  <c r="O3" i="119"/>
  <c r="P3" i="119"/>
  <c r="Q3" i="119"/>
  <c r="R3" i="119"/>
  <c r="S3" i="119"/>
  <c r="T3" i="119"/>
  <c r="U3" i="119"/>
  <c r="V3" i="119"/>
  <c r="W3" i="119"/>
  <c r="X3" i="119"/>
  <c r="Y3" i="119"/>
  <c r="Z3" i="119"/>
  <c r="AA3" i="119"/>
  <c r="AB3" i="119"/>
  <c r="AC3" i="119"/>
  <c r="AD3" i="119"/>
  <c r="AE3" i="119"/>
  <c r="AF3" i="119"/>
  <c r="AG3" i="119"/>
  <c r="AH3" i="119"/>
  <c r="AI3" i="119"/>
  <c r="AJ3" i="119"/>
  <c r="AK3" i="119"/>
  <c r="AL6" i="119"/>
  <c r="AM6" i="119" s="1"/>
  <c r="AL7" i="119"/>
  <c r="AM7" i="119" s="1"/>
  <c r="AL8" i="119"/>
  <c r="AM8" i="119" s="1"/>
  <c r="AL9" i="119"/>
  <c r="AM9" i="119" s="1"/>
  <c r="AL10" i="119"/>
  <c r="AM10" i="119" s="1"/>
  <c r="AL11" i="119"/>
  <c r="AM11" i="119" s="1"/>
  <c r="AL12" i="119"/>
  <c r="AM12" i="119" s="1"/>
  <c r="AL13" i="119"/>
  <c r="AM13" i="119" s="1"/>
  <c r="AL14" i="119"/>
  <c r="AM14" i="119" s="1"/>
  <c r="AL15" i="119"/>
  <c r="AL16" i="119"/>
  <c r="AM16" i="119" s="1"/>
  <c r="AL17" i="119"/>
  <c r="AM17" i="119" s="1"/>
  <c r="AL18" i="119"/>
  <c r="AM18" i="119" s="1"/>
  <c r="AL19" i="119"/>
  <c r="AM19" i="119" s="1"/>
  <c r="AL20" i="119"/>
  <c r="AM20" i="119" s="1"/>
  <c r="AL21" i="119"/>
  <c r="AM21" i="119" s="1"/>
  <c r="AL22" i="119"/>
  <c r="AM22" i="119" s="1"/>
  <c r="AL23" i="119"/>
  <c r="AM23" i="119" s="1"/>
  <c r="AL24" i="119"/>
  <c r="AM24" i="119" s="1"/>
  <c r="AL25" i="119"/>
  <c r="AM25" i="119" s="1"/>
  <c r="AL26" i="119"/>
  <c r="AM26" i="119" s="1"/>
  <c r="AL27" i="119"/>
  <c r="AM27" i="119" s="1"/>
  <c r="H97" i="119"/>
  <c r="AL28" i="119"/>
  <c r="AM28" i="119" s="1"/>
  <c r="AL29" i="119"/>
  <c r="AM29" i="119" s="1"/>
  <c r="AL30" i="119"/>
  <c r="AM30" i="119" s="1"/>
  <c r="AL31" i="119"/>
  <c r="AM31" i="119" s="1"/>
  <c r="AL32" i="119"/>
  <c r="AM32" i="119" s="1"/>
  <c r="AL33" i="119"/>
  <c r="AM33" i="119" s="1"/>
  <c r="AL34" i="119"/>
  <c r="AM34" i="119" s="1"/>
  <c r="AL35" i="119"/>
  <c r="AM35" i="119" s="1"/>
  <c r="AL36" i="119"/>
  <c r="AM36" i="119" s="1"/>
  <c r="AL37" i="119"/>
  <c r="AM37" i="119" s="1"/>
  <c r="AL38" i="119"/>
  <c r="AM38" i="119" s="1"/>
  <c r="AL39" i="119"/>
  <c r="AM39" i="119" s="1"/>
  <c r="AL40" i="119"/>
  <c r="AM40" i="119" s="1"/>
  <c r="AL41" i="119"/>
  <c r="AM41" i="119" s="1"/>
  <c r="AL42" i="119"/>
  <c r="AM42" i="119" s="1"/>
  <c r="AL43" i="119"/>
  <c r="AM43" i="119" s="1"/>
  <c r="AL44" i="119"/>
  <c r="AM44" i="119" s="1"/>
  <c r="AL45" i="119"/>
  <c r="AM45" i="119" s="1"/>
  <c r="AL46" i="119"/>
  <c r="AM46" i="119" s="1"/>
  <c r="AL47" i="119"/>
  <c r="AM47" i="119" s="1"/>
  <c r="AL48" i="119"/>
  <c r="AM48" i="119" s="1"/>
  <c r="AL49" i="119"/>
  <c r="AM49" i="119" s="1"/>
  <c r="AL50" i="119"/>
  <c r="AM50" i="119" s="1"/>
  <c r="AL51" i="119"/>
  <c r="AM51" i="119" s="1"/>
  <c r="AL52" i="119"/>
  <c r="AM52" i="119" s="1"/>
  <c r="AL53" i="119"/>
  <c r="AM53" i="119" s="1"/>
  <c r="AL54" i="119"/>
  <c r="AM54" i="119" s="1"/>
  <c r="AL55" i="119"/>
  <c r="AM55" i="119" s="1"/>
  <c r="AL56" i="119"/>
  <c r="AM56" i="119" s="1"/>
  <c r="AL57" i="119"/>
  <c r="AM57" i="119" s="1"/>
  <c r="AL58" i="119"/>
  <c r="AM58" i="119" s="1"/>
  <c r="AL59" i="119"/>
  <c r="AM59" i="119" s="1"/>
  <c r="AL60" i="119"/>
  <c r="AM60" i="119" s="1"/>
  <c r="AL61" i="119"/>
  <c r="AM61" i="119" s="1"/>
  <c r="AL62" i="119"/>
  <c r="AM62" i="119" s="1"/>
  <c r="AL63" i="119"/>
  <c r="AM63" i="119" s="1"/>
  <c r="AL64" i="119"/>
  <c r="AM64" i="119" s="1"/>
  <c r="AL65" i="119"/>
  <c r="AM65" i="119" s="1"/>
  <c r="AL66" i="119"/>
  <c r="AM66" i="119" s="1"/>
  <c r="AL67" i="119"/>
  <c r="AM67" i="119" s="1"/>
  <c r="AL68" i="119"/>
  <c r="AM68" i="119" s="1"/>
  <c r="AL69" i="119"/>
  <c r="AM69" i="119" s="1"/>
  <c r="AL70" i="119"/>
  <c r="AM70" i="119" s="1"/>
  <c r="AL71" i="119"/>
  <c r="AM71" i="119" s="1"/>
  <c r="AL72" i="119"/>
  <c r="AM72" i="119" s="1"/>
  <c r="AL73" i="119"/>
  <c r="AM73" i="119" s="1"/>
  <c r="AL74" i="119"/>
  <c r="AM74" i="119" s="1"/>
  <c r="AL75" i="119"/>
  <c r="AM75" i="119" s="1"/>
  <c r="AL76" i="119"/>
  <c r="AM76" i="119" s="1"/>
  <c r="AL77" i="119"/>
  <c r="AM77" i="119" s="1"/>
  <c r="AL78" i="119"/>
  <c r="AM78" i="119" s="1"/>
  <c r="AL79" i="119"/>
  <c r="AM79" i="119" s="1"/>
  <c r="AL80" i="119"/>
  <c r="AM80" i="119" s="1"/>
  <c r="AL81" i="119"/>
  <c r="AM81" i="119" s="1"/>
  <c r="AL82" i="119"/>
  <c r="AM82" i="119" s="1"/>
  <c r="AL83" i="119"/>
  <c r="AM83" i="119" s="1"/>
  <c r="AL84" i="119"/>
  <c r="AM84" i="119" s="1"/>
  <c r="AL85" i="119"/>
  <c r="AM85" i="119" s="1"/>
  <c r="AL86" i="119"/>
  <c r="AM86" i="119" s="1"/>
  <c r="AL87" i="119"/>
  <c r="AM87" i="119" s="1"/>
  <c r="AL88" i="119"/>
  <c r="AM88" i="119" s="1"/>
  <c r="AL89" i="119"/>
  <c r="AM89" i="119" s="1"/>
  <c r="AL90" i="119"/>
  <c r="AM90" i="119" s="1"/>
  <c r="AL91" i="119"/>
  <c r="AM91" i="119" s="1"/>
  <c r="AL92" i="119"/>
  <c r="AM92" i="119" s="1"/>
  <c r="AL93" i="119"/>
  <c r="AM93" i="119" s="1"/>
  <c r="AL94" i="119"/>
  <c r="AM94" i="119" s="1"/>
  <c r="AL95" i="119"/>
  <c r="AM95" i="119" s="1"/>
  <c r="AL96" i="119"/>
  <c r="AM96" i="119" s="1"/>
  <c r="G97" i="119"/>
  <c r="F1" i="119" s="1"/>
  <c r="I97" i="119"/>
  <c r="B2" i="119" s="1"/>
  <c r="J97" i="119"/>
  <c r="L97" i="119"/>
  <c r="M97" i="119"/>
  <c r="O97" i="119"/>
  <c r="P97" i="119"/>
  <c r="Q97" i="119"/>
  <c r="R97" i="119"/>
  <c r="S97" i="119"/>
  <c r="T97" i="119"/>
  <c r="U97" i="119"/>
  <c r="V97" i="119"/>
  <c r="W97" i="119"/>
  <c r="X97" i="119"/>
  <c r="Y97" i="119"/>
  <c r="Z97" i="119"/>
  <c r="AA97" i="119"/>
  <c r="AB97" i="119"/>
  <c r="AC97" i="119"/>
  <c r="AD97" i="119"/>
  <c r="AE97" i="119"/>
  <c r="AF97" i="119"/>
  <c r="AG97" i="119"/>
  <c r="AH97" i="119"/>
  <c r="AI97" i="119"/>
  <c r="AJ97" i="119"/>
  <c r="AK97" i="119"/>
  <c r="L2" i="120"/>
  <c r="M2" i="120"/>
  <c r="N2" i="120"/>
  <c r="O2" i="120"/>
  <c r="P2" i="120"/>
  <c r="Q2" i="120"/>
  <c r="R2" i="120"/>
  <c r="S2" i="120"/>
  <c r="T2" i="120"/>
  <c r="U2" i="120"/>
  <c r="V2" i="120"/>
  <c r="W2" i="120"/>
  <c r="X2" i="120"/>
  <c r="Y2" i="120"/>
  <c r="Z2" i="120"/>
  <c r="AA2" i="120"/>
  <c r="AB2" i="120"/>
  <c r="AC2" i="120"/>
  <c r="AD2" i="120"/>
  <c r="AE2" i="120"/>
  <c r="AF2" i="120"/>
  <c r="AG2" i="120"/>
  <c r="AH2" i="120"/>
  <c r="AI2" i="120"/>
  <c r="AJ2" i="120"/>
  <c r="AK2" i="120"/>
  <c r="L3" i="120"/>
  <c r="M3" i="120"/>
  <c r="N3" i="120"/>
  <c r="O3" i="120"/>
  <c r="P3" i="120"/>
  <c r="Q3" i="120"/>
  <c r="R3" i="120"/>
  <c r="S3" i="120"/>
  <c r="T3" i="120"/>
  <c r="U3" i="120"/>
  <c r="V3" i="120"/>
  <c r="W3" i="120"/>
  <c r="X3" i="120"/>
  <c r="Y3" i="120"/>
  <c r="Z3" i="120"/>
  <c r="AA3" i="120"/>
  <c r="AB3" i="120"/>
  <c r="AC3" i="120"/>
  <c r="AD3" i="120"/>
  <c r="AE3" i="120"/>
  <c r="AF3" i="120"/>
  <c r="AG3" i="120"/>
  <c r="AH3" i="120"/>
  <c r="AI3" i="120"/>
  <c r="AJ3" i="120"/>
  <c r="AK3" i="120"/>
  <c r="AL6" i="120"/>
  <c r="AM6" i="120" s="1"/>
  <c r="AL7" i="120"/>
  <c r="AM7" i="120" s="1"/>
  <c r="AL8" i="120"/>
  <c r="AM8" i="120" s="1"/>
  <c r="AL9" i="120"/>
  <c r="AM9" i="120" s="1"/>
  <c r="AL10" i="120"/>
  <c r="AM10" i="120" s="1"/>
  <c r="AL11" i="120"/>
  <c r="AM11" i="120" s="1"/>
  <c r="AL12" i="120"/>
  <c r="AM12" i="120" s="1"/>
  <c r="AL13" i="120"/>
  <c r="AM13" i="120" s="1"/>
  <c r="AL14" i="120"/>
  <c r="AM14" i="120" s="1"/>
  <c r="AL15" i="120"/>
  <c r="AM15" i="120" s="1"/>
  <c r="AL16" i="120"/>
  <c r="AM16" i="120" s="1"/>
  <c r="AL17" i="120"/>
  <c r="AM17" i="120" s="1"/>
  <c r="AL18" i="120"/>
  <c r="AM18" i="120" s="1"/>
  <c r="AL19" i="120"/>
  <c r="AM19" i="120" s="1"/>
  <c r="AL20" i="120"/>
  <c r="AM20" i="120" s="1"/>
  <c r="AL21" i="120"/>
  <c r="AM21" i="120" s="1"/>
  <c r="AL22" i="120"/>
  <c r="AM22" i="120" s="1"/>
  <c r="AL23" i="120"/>
  <c r="AM23" i="120" s="1"/>
  <c r="AL24" i="120"/>
  <c r="AM24" i="120" s="1"/>
  <c r="AL25" i="120"/>
  <c r="AM25" i="120" s="1"/>
  <c r="AL26" i="120"/>
  <c r="AM26" i="120" s="1"/>
  <c r="AL27" i="120"/>
  <c r="AM27" i="120" s="1"/>
  <c r="AL28" i="120"/>
  <c r="AM28" i="120" s="1"/>
  <c r="AL29" i="120"/>
  <c r="AM29" i="120" s="1"/>
  <c r="AL30" i="120"/>
  <c r="AM30" i="120" s="1"/>
  <c r="AL31" i="120"/>
  <c r="AM31" i="120" s="1"/>
  <c r="AL32" i="120"/>
  <c r="AM32" i="120" s="1"/>
  <c r="AL33" i="120"/>
  <c r="AL34" i="120"/>
  <c r="AM34" i="120" s="1"/>
  <c r="AL35" i="120"/>
  <c r="AM35" i="120" s="1"/>
  <c r="AL36" i="120"/>
  <c r="AM36" i="120" s="1"/>
  <c r="AL37" i="120"/>
  <c r="AM37" i="120" s="1"/>
  <c r="AL38" i="120"/>
  <c r="AM38" i="120" s="1"/>
  <c r="AL39" i="120"/>
  <c r="AM39" i="120" s="1"/>
  <c r="AL40" i="120"/>
  <c r="AM40" i="120" s="1"/>
  <c r="AL41" i="120"/>
  <c r="AM41" i="120" s="1"/>
  <c r="AL42" i="120"/>
  <c r="AM42" i="120" s="1"/>
  <c r="AL43" i="120"/>
  <c r="AM43" i="120" s="1"/>
  <c r="AL44" i="120"/>
  <c r="AM44" i="120" s="1"/>
  <c r="AL45" i="120"/>
  <c r="AM45" i="120" s="1"/>
  <c r="AL46" i="120"/>
  <c r="AM46" i="120" s="1"/>
  <c r="AL47" i="120"/>
  <c r="AM47" i="120" s="1"/>
  <c r="AL48" i="120"/>
  <c r="AM48" i="120" s="1"/>
  <c r="AL49" i="120"/>
  <c r="AM49" i="120" s="1"/>
  <c r="AL50" i="120"/>
  <c r="AM50" i="120" s="1"/>
  <c r="AL51" i="120"/>
  <c r="AM51" i="120" s="1"/>
  <c r="AL52" i="120"/>
  <c r="AM52" i="120" s="1"/>
  <c r="AL53" i="120"/>
  <c r="AM53" i="120" s="1"/>
  <c r="AL54" i="120"/>
  <c r="AM54" i="120" s="1"/>
  <c r="AL55" i="120"/>
  <c r="AM55" i="120" s="1"/>
  <c r="AL56" i="120"/>
  <c r="AM56" i="120" s="1"/>
  <c r="AL57" i="120"/>
  <c r="AM57" i="120" s="1"/>
  <c r="AL58" i="120"/>
  <c r="AM58" i="120" s="1"/>
  <c r="AL59" i="120"/>
  <c r="AM59" i="120" s="1"/>
  <c r="AL60" i="120"/>
  <c r="AM60" i="120" s="1"/>
  <c r="AL61" i="120"/>
  <c r="AM61" i="120" s="1"/>
  <c r="AL62" i="120"/>
  <c r="AM62" i="120" s="1"/>
  <c r="AL63" i="120"/>
  <c r="AM63" i="120" s="1"/>
  <c r="AL64" i="120"/>
  <c r="AM64" i="120" s="1"/>
  <c r="AL65" i="120"/>
  <c r="AM65" i="120" s="1"/>
  <c r="AL66" i="120"/>
  <c r="AM66" i="120" s="1"/>
  <c r="AL67" i="120"/>
  <c r="AM67" i="120" s="1"/>
  <c r="AL68" i="120"/>
  <c r="AM68" i="120" s="1"/>
  <c r="AL69" i="120"/>
  <c r="AM69" i="120" s="1"/>
  <c r="AL70" i="120"/>
  <c r="AM70" i="120" s="1"/>
  <c r="AL71" i="120"/>
  <c r="AM71" i="120" s="1"/>
  <c r="AL72" i="120"/>
  <c r="AM72" i="120" s="1"/>
  <c r="AL73" i="120"/>
  <c r="AM73" i="120" s="1"/>
  <c r="AL74" i="120"/>
  <c r="AM74" i="120" s="1"/>
  <c r="AL75" i="120"/>
  <c r="AM75" i="120" s="1"/>
  <c r="AL76" i="120"/>
  <c r="AM76" i="120" s="1"/>
  <c r="AL77" i="120"/>
  <c r="AM77" i="120" s="1"/>
  <c r="AL78" i="120"/>
  <c r="AM78" i="120" s="1"/>
  <c r="AL79" i="120"/>
  <c r="AM79" i="120" s="1"/>
  <c r="AL80" i="120"/>
  <c r="AM80" i="120" s="1"/>
  <c r="AL81" i="120"/>
  <c r="AM81" i="120" s="1"/>
  <c r="AL82" i="120"/>
  <c r="AM82" i="120" s="1"/>
  <c r="AL83" i="120"/>
  <c r="AM83" i="120" s="1"/>
  <c r="AL84" i="120"/>
  <c r="AM84" i="120" s="1"/>
  <c r="AL85" i="120"/>
  <c r="AM85" i="120" s="1"/>
  <c r="AL86" i="120"/>
  <c r="AM86" i="120" s="1"/>
  <c r="AL87" i="120"/>
  <c r="AM87" i="120" s="1"/>
  <c r="AL88" i="120"/>
  <c r="AM88" i="120" s="1"/>
  <c r="AL89" i="120"/>
  <c r="AM89" i="120" s="1"/>
  <c r="AL90" i="120"/>
  <c r="AM90" i="120" s="1"/>
  <c r="AL91" i="120"/>
  <c r="AM91" i="120" s="1"/>
  <c r="AL92" i="120"/>
  <c r="AM92" i="120" s="1"/>
  <c r="AL93" i="120"/>
  <c r="AM93" i="120" s="1"/>
  <c r="AL94" i="120"/>
  <c r="AM94" i="120" s="1"/>
  <c r="AL95" i="120"/>
  <c r="AM95" i="120" s="1"/>
  <c r="AL96" i="120"/>
  <c r="AM96" i="120" s="1"/>
  <c r="G97" i="120"/>
  <c r="F1" i="120" s="1"/>
  <c r="I97" i="120"/>
  <c r="B2" i="120" s="1"/>
  <c r="J97" i="120"/>
  <c r="L97" i="120"/>
  <c r="M97" i="120"/>
  <c r="N97" i="120"/>
  <c r="O97" i="120"/>
  <c r="P97" i="120"/>
  <c r="Q97" i="120"/>
  <c r="R97" i="120"/>
  <c r="S97" i="120"/>
  <c r="T97" i="120"/>
  <c r="U97" i="120"/>
  <c r="V97" i="120"/>
  <c r="W97" i="120"/>
  <c r="X97" i="120"/>
  <c r="Y97" i="120"/>
  <c r="Z97" i="120"/>
  <c r="AA97" i="120"/>
  <c r="AB97" i="120"/>
  <c r="AC97" i="120"/>
  <c r="AD97" i="120"/>
  <c r="AE97" i="120"/>
  <c r="AF97" i="120"/>
  <c r="AG97" i="120"/>
  <c r="AH97" i="120"/>
  <c r="AI97" i="120"/>
  <c r="AJ97" i="120"/>
  <c r="AK97" i="120"/>
  <c r="AM15" i="119" l="1"/>
  <c r="AL2" i="119"/>
  <c r="AL3" i="119"/>
  <c r="AM33" i="120"/>
  <c r="AL3" i="120"/>
  <c r="AL2" i="120"/>
  <c r="B1" i="119"/>
  <c r="B3" i="119" s="1"/>
  <c r="AL97" i="120"/>
  <c r="AM97" i="120" s="1"/>
  <c r="A4" i="120" s="1"/>
  <c r="AL97" i="119"/>
  <c r="AM97" i="119" s="1"/>
  <c r="A4" i="119" s="1"/>
  <c r="J97" i="47" l="1"/>
  <c r="G97" i="47"/>
  <c r="AK96" i="47"/>
  <c r="AJ96" i="47"/>
  <c r="AI96" i="47"/>
  <c r="AH96" i="47"/>
  <c r="AG96" i="47"/>
  <c r="AF96" i="47"/>
  <c r="AE96" i="47"/>
  <c r="AD96" i="47"/>
  <c r="AC96" i="47"/>
  <c r="AB96" i="47"/>
  <c r="AA96" i="47"/>
  <c r="Z96" i="47"/>
  <c r="Y96" i="47"/>
  <c r="X96" i="47"/>
  <c r="W96" i="47"/>
  <c r="V96" i="47"/>
  <c r="U96" i="47"/>
  <c r="T96" i="47"/>
  <c r="S96" i="47"/>
  <c r="R96" i="47"/>
  <c r="Q96" i="47"/>
  <c r="P96" i="47"/>
  <c r="O96" i="47"/>
  <c r="N96" i="47"/>
  <c r="M96" i="47"/>
  <c r="L96" i="47"/>
  <c r="I96" i="47"/>
  <c r="H96" i="47"/>
  <c r="AK95" i="47"/>
  <c r="AJ95" i="47"/>
  <c r="AI95" i="47"/>
  <c r="AH95" i="47"/>
  <c r="AG95" i="47"/>
  <c r="AF95" i="47"/>
  <c r="AE95" i="47"/>
  <c r="AD95" i="47"/>
  <c r="AC95" i="47"/>
  <c r="AB95" i="47"/>
  <c r="AA95" i="47"/>
  <c r="Z95" i="47"/>
  <c r="Y95" i="47"/>
  <c r="X95" i="47"/>
  <c r="W95" i="47"/>
  <c r="V95" i="47"/>
  <c r="U95" i="47"/>
  <c r="T95" i="47"/>
  <c r="S95" i="47"/>
  <c r="R95" i="47"/>
  <c r="Q95" i="47"/>
  <c r="P95" i="47"/>
  <c r="O95" i="47"/>
  <c r="N95" i="47"/>
  <c r="M95" i="47"/>
  <c r="L95" i="47"/>
  <c r="I95" i="47"/>
  <c r="H95" i="47"/>
  <c r="AK94" i="47"/>
  <c r="AJ94" i="47"/>
  <c r="AI94" i="47"/>
  <c r="AH94" i="47"/>
  <c r="AG94" i="47"/>
  <c r="AF94" i="47"/>
  <c r="AE94" i="47"/>
  <c r="AD94" i="47"/>
  <c r="AC94" i="47"/>
  <c r="AB94" i="47"/>
  <c r="AA94" i="47"/>
  <c r="Z94" i="47"/>
  <c r="Y94" i="47"/>
  <c r="X94" i="47"/>
  <c r="W94" i="47"/>
  <c r="V94" i="47"/>
  <c r="U94" i="47"/>
  <c r="T94" i="47"/>
  <c r="S94" i="47"/>
  <c r="R94" i="47"/>
  <c r="Q94" i="47"/>
  <c r="P94" i="47"/>
  <c r="O94" i="47"/>
  <c r="N94" i="47"/>
  <c r="M94" i="47"/>
  <c r="L94" i="47"/>
  <c r="I94" i="47"/>
  <c r="H94" i="47"/>
  <c r="AK93" i="47"/>
  <c r="AJ93" i="47"/>
  <c r="AI93" i="47"/>
  <c r="AH93" i="47"/>
  <c r="AG93" i="47"/>
  <c r="AF93" i="47"/>
  <c r="AE93" i="47"/>
  <c r="AD93" i="47"/>
  <c r="AC93" i="47"/>
  <c r="AB93" i="47"/>
  <c r="AA93" i="47"/>
  <c r="Z93" i="47"/>
  <c r="Y93" i="47"/>
  <c r="X93" i="47"/>
  <c r="W93" i="47"/>
  <c r="V93" i="47"/>
  <c r="U93" i="47"/>
  <c r="T93" i="47"/>
  <c r="S93" i="47"/>
  <c r="R93" i="47"/>
  <c r="Q93" i="47"/>
  <c r="P93" i="47"/>
  <c r="O93" i="47"/>
  <c r="N93" i="47"/>
  <c r="M93" i="47"/>
  <c r="L93" i="47"/>
  <c r="I93" i="47"/>
  <c r="H93" i="47"/>
  <c r="AK92" i="47"/>
  <c r="AJ92" i="47"/>
  <c r="AI92" i="47"/>
  <c r="AH92" i="47"/>
  <c r="AG92" i="47"/>
  <c r="AF92" i="47"/>
  <c r="AE92" i="47"/>
  <c r="AD92" i="47"/>
  <c r="AC92" i="47"/>
  <c r="AB92" i="47"/>
  <c r="AA92" i="47"/>
  <c r="Z92" i="47"/>
  <c r="Y92" i="47"/>
  <c r="X92" i="47"/>
  <c r="W92" i="47"/>
  <c r="V92" i="47"/>
  <c r="U92" i="47"/>
  <c r="T92" i="47"/>
  <c r="S92" i="47"/>
  <c r="R92" i="47"/>
  <c r="Q92" i="47"/>
  <c r="P92" i="47"/>
  <c r="O92" i="47"/>
  <c r="N92" i="47"/>
  <c r="M92" i="47"/>
  <c r="L92" i="47"/>
  <c r="I92" i="47"/>
  <c r="H92" i="47"/>
  <c r="AK91" i="47"/>
  <c r="AJ91" i="47"/>
  <c r="AI91" i="47"/>
  <c r="AH91" i="47"/>
  <c r="AG91" i="47"/>
  <c r="AF91" i="47"/>
  <c r="AE91" i="47"/>
  <c r="AD91" i="47"/>
  <c r="AC91" i="47"/>
  <c r="AB91" i="47"/>
  <c r="AA91" i="47"/>
  <c r="Z91" i="47"/>
  <c r="Y91" i="47"/>
  <c r="X91" i="47"/>
  <c r="W91" i="47"/>
  <c r="V91" i="47"/>
  <c r="U91" i="47"/>
  <c r="T91" i="47"/>
  <c r="S91" i="47"/>
  <c r="R91" i="47"/>
  <c r="Q91" i="47"/>
  <c r="P91" i="47"/>
  <c r="O91" i="47"/>
  <c r="N91" i="47"/>
  <c r="M91" i="47"/>
  <c r="L91" i="47"/>
  <c r="I91" i="47"/>
  <c r="H91" i="47"/>
  <c r="AK90" i="47"/>
  <c r="AJ90" i="47"/>
  <c r="AI90" i="47"/>
  <c r="AH90" i="47"/>
  <c r="AG90" i="47"/>
  <c r="AF90" i="47"/>
  <c r="AE90" i="47"/>
  <c r="AD90" i="47"/>
  <c r="AC90" i="47"/>
  <c r="AB90" i="47"/>
  <c r="AA90" i="47"/>
  <c r="Z90" i="47"/>
  <c r="Y90" i="47"/>
  <c r="X90" i="47"/>
  <c r="W90" i="47"/>
  <c r="V90" i="47"/>
  <c r="U90" i="47"/>
  <c r="T90" i="47"/>
  <c r="S90" i="47"/>
  <c r="R90" i="47"/>
  <c r="Q90" i="47"/>
  <c r="P90" i="47"/>
  <c r="O90" i="47"/>
  <c r="N90" i="47"/>
  <c r="M90" i="47"/>
  <c r="L90" i="47"/>
  <c r="I90" i="47"/>
  <c r="H90" i="47"/>
  <c r="AK89" i="47"/>
  <c r="AJ89" i="47"/>
  <c r="AI89" i="47"/>
  <c r="AH89" i="47"/>
  <c r="AG89" i="47"/>
  <c r="AF89" i="47"/>
  <c r="AE89" i="47"/>
  <c r="AD89" i="47"/>
  <c r="AC89" i="47"/>
  <c r="AB89" i="47"/>
  <c r="AA89" i="47"/>
  <c r="Z89" i="47"/>
  <c r="Y89" i="47"/>
  <c r="X89" i="47"/>
  <c r="W89" i="47"/>
  <c r="V89" i="47"/>
  <c r="U89" i="47"/>
  <c r="T89" i="47"/>
  <c r="S89" i="47"/>
  <c r="R89" i="47"/>
  <c r="Q89" i="47"/>
  <c r="P89" i="47"/>
  <c r="O89" i="47"/>
  <c r="N89" i="47"/>
  <c r="M89" i="47"/>
  <c r="L89" i="47"/>
  <c r="I89" i="47"/>
  <c r="H89" i="47"/>
  <c r="AK88" i="47"/>
  <c r="AJ88" i="47"/>
  <c r="AI88" i="47"/>
  <c r="AH88" i="47"/>
  <c r="AG88" i="47"/>
  <c r="AF88" i="47"/>
  <c r="AE88" i="47"/>
  <c r="AD88" i="47"/>
  <c r="AC88" i="47"/>
  <c r="AB88" i="47"/>
  <c r="AA88" i="47"/>
  <c r="Z88" i="47"/>
  <c r="Y88" i="47"/>
  <c r="X88" i="47"/>
  <c r="W88" i="47"/>
  <c r="V88" i="47"/>
  <c r="U88" i="47"/>
  <c r="T88" i="47"/>
  <c r="S88" i="47"/>
  <c r="R88" i="47"/>
  <c r="Q88" i="47"/>
  <c r="P88" i="47"/>
  <c r="O88" i="47"/>
  <c r="N88" i="47"/>
  <c r="M88" i="47"/>
  <c r="L88" i="47"/>
  <c r="I88" i="47"/>
  <c r="H88" i="47"/>
  <c r="AK87" i="47"/>
  <c r="AJ87" i="47"/>
  <c r="AI87" i="47"/>
  <c r="AH87" i="47"/>
  <c r="AG87" i="47"/>
  <c r="AF87" i="47"/>
  <c r="AE87" i="47"/>
  <c r="AD87" i="47"/>
  <c r="AC87" i="47"/>
  <c r="AB87" i="47"/>
  <c r="AA87" i="47"/>
  <c r="Z87" i="47"/>
  <c r="Y87" i="47"/>
  <c r="X87" i="47"/>
  <c r="W87" i="47"/>
  <c r="V87" i="47"/>
  <c r="U87" i="47"/>
  <c r="T87" i="47"/>
  <c r="S87" i="47"/>
  <c r="R87" i="47"/>
  <c r="Q87" i="47"/>
  <c r="P87" i="47"/>
  <c r="O87" i="47"/>
  <c r="N87" i="47"/>
  <c r="M87" i="47"/>
  <c r="L87" i="47"/>
  <c r="I87" i="47"/>
  <c r="H87" i="47"/>
  <c r="AK86" i="47"/>
  <c r="AJ86" i="47"/>
  <c r="AI86" i="47"/>
  <c r="AH86" i="47"/>
  <c r="AG86" i="47"/>
  <c r="AF86" i="47"/>
  <c r="AE86" i="47"/>
  <c r="AD86" i="47"/>
  <c r="AC86" i="47"/>
  <c r="AB86" i="47"/>
  <c r="AA86" i="47"/>
  <c r="Z86" i="47"/>
  <c r="Y86" i="47"/>
  <c r="X86" i="47"/>
  <c r="W86" i="47"/>
  <c r="V86" i="47"/>
  <c r="U86" i="47"/>
  <c r="T86" i="47"/>
  <c r="S86" i="47"/>
  <c r="R86" i="47"/>
  <c r="Q86" i="47"/>
  <c r="P86" i="47"/>
  <c r="O86" i="47"/>
  <c r="N86" i="47"/>
  <c r="M86" i="47"/>
  <c r="L86" i="47"/>
  <c r="I86" i="47"/>
  <c r="H86" i="47"/>
  <c r="AK85" i="47"/>
  <c r="AJ85" i="47"/>
  <c r="AI85" i="47"/>
  <c r="AH85" i="47"/>
  <c r="AG85" i="47"/>
  <c r="AF85" i="47"/>
  <c r="AE85" i="47"/>
  <c r="AD85" i="47"/>
  <c r="AC85" i="47"/>
  <c r="AB85" i="47"/>
  <c r="AA85" i="47"/>
  <c r="Z85" i="47"/>
  <c r="Y85" i="47"/>
  <c r="X85" i="47"/>
  <c r="W85" i="47"/>
  <c r="V85" i="47"/>
  <c r="U85" i="47"/>
  <c r="T85" i="47"/>
  <c r="S85" i="47"/>
  <c r="R85" i="47"/>
  <c r="Q85" i="47"/>
  <c r="P85" i="47"/>
  <c r="O85" i="47"/>
  <c r="N85" i="47"/>
  <c r="M85" i="47"/>
  <c r="L85" i="47"/>
  <c r="I85" i="47"/>
  <c r="H85" i="47"/>
  <c r="AK84" i="47"/>
  <c r="AJ84" i="47"/>
  <c r="AI84" i="47"/>
  <c r="AH84" i="47"/>
  <c r="AG84" i="47"/>
  <c r="AF84" i="47"/>
  <c r="AE84" i="47"/>
  <c r="AD84" i="47"/>
  <c r="AC84" i="47"/>
  <c r="AB84" i="47"/>
  <c r="AA84" i="47"/>
  <c r="Z84" i="47"/>
  <c r="Y84" i="47"/>
  <c r="X84" i="47"/>
  <c r="W84" i="47"/>
  <c r="V84" i="47"/>
  <c r="U84" i="47"/>
  <c r="T84" i="47"/>
  <c r="S84" i="47"/>
  <c r="R84" i="47"/>
  <c r="Q84" i="47"/>
  <c r="P84" i="47"/>
  <c r="O84" i="47"/>
  <c r="N84" i="47"/>
  <c r="M84" i="47"/>
  <c r="L84" i="47"/>
  <c r="I84" i="47"/>
  <c r="H84" i="47"/>
  <c r="AK83" i="47"/>
  <c r="AJ83" i="47"/>
  <c r="AI83" i="47"/>
  <c r="AH83" i="47"/>
  <c r="AG83" i="47"/>
  <c r="AF83" i="47"/>
  <c r="AE83" i="47"/>
  <c r="AD83" i="47"/>
  <c r="AC83" i="47"/>
  <c r="AB83" i="47"/>
  <c r="AA83" i="47"/>
  <c r="Z83" i="47"/>
  <c r="Y83" i="47"/>
  <c r="X83" i="47"/>
  <c r="W83" i="47"/>
  <c r="V83" i="47"/>
  <c r="U83" i="47"/>
  <c r="T83" i="47"/>
  <c r="S83" i="47"/>
  <c r="R83" i="47"/>
  <c r="Q83" i="47"/>
  <c r="P83" i="47"/>
  <c r="O83" i="47"/>
  <c r="N83" i="47"/>
  <c r="M83" i="47"/>
  <c r="L83" i="47"/>
  <c r="I83" i="47"/>
  <c r="H83" i="47"/>
  <c r="AK82" i="47"/>
  <c r="AJ82" i="47"/>
  <c r="AI82" i="47"/>
  <c r="AH82" i="47"/>
  <c r="AG82" i="47"/>
  <c r="AF82" i="47"/>
  <c r="AE82" i="47"/>
  <c r="AD82" i="47"/>
  <c r="AC82" i="47"/>
  <c r="AB82" i="47"/>
  <c r="AA82" i="47"/>
  <c r="Z82" i="47"/>
  <c r="Y82" i="47"/>
  <c r="X82" i="47"/>
  <c r="W82" i="47"/>
  <c r="V82" i="47"/>
  <c r="U82" i="47"/>
  <c r="T82" i="47"/>
  <c r="S82" i="47"/>
  <c r="R82" i="47"/>
  <c r="Q82" i="47"/>
  <c r="P82" i="47"/>
  <c r="O82" i="47"/>
  <c r="N82" i="47"/>
  <c r="M82" i="47"/>
  <c r="L82" i="47"/>
  <c r="H82" i="47"/>
  <c r="AK81" i="47"/>
  <c r="AJ81" i="47"/>
  <c r="AI81" i="47"/>
  <c r="AH81" i="47"/>
  <c r="AG81" i="47"/>
  <c r="AF81" i="47"/>
  <c r="AE81" i="47"/>
  <c r="AD81" i="47"/>
  <c r="AC81" i="47"/>
  <c r="AB81" i="47"/>
  <c r="AA81" i="47"/>
  <c r="Z81" i="47"/>
  <c r="Y81" i="47"/>
  <c r="X81" i="47"/>
  <c r="W81" i="47"/>
  <c r="V81" i="47"/>
  <c r="U81" i="47"/>
  <c r="T81" i="47"/>
  <c r="S81" i="47"/>
  <c r="R81" i="47"/>
  <c r="Q81" i="47"/>
  <c r="P81" i="47"/>
  <c r="O81" i="47"/>
  <c r="N81" i="47"/>
  <c r="M81" i="47"/>
  <c r="L81" i="47"/>
  <c r="H81" i="47"/>
  <c r="AK80" i="47"/>
  <c r="AJ80" i="47"/>
  <c r="AI80" i="47"/>
  <c r="AH80" i="47"/>
  <c r="AG80" i="47"/>
  <c r="AF80" i="47"/>
  <c r="AE80" i="47"/>
  <c r="AD80" i="47"/>
  <c r="AC80" i="47"/>
  <c r="AB80" i="47"/>
  <c r="AA80" i="47"/>
  <c r="Z80" i="47"/>
  <c r="Y80" i="47"/>
  <c r="X80" i="47"/>
  <c r="W80" i="47"/>
  <c r="V80" i="47"/>
  <c r="U80" i="47"/>
  <c r="T80" i="47"/>
  <c r="S80" i="47"/>
  <c r="R80" i="47"/>
  <c r="Q80" i="47"/>
  <c r="P80" i="47"/>
  <c r="O80" i="47"/>
  <c r="N80" i="47"/>
  <c r="M80" i="47"/>
  <c r="L80" i="47"/>
  <c r="H80" i="47"/>
  <c r="AK79" i="47"/>
  <c r="AJ79" i="47"/>
  <c r="AI79" i="47"/>
  <c r="AH79" i="47"/>
  <c r="AG79" i="47"/>
  <c r="AF79" i="47"/>
  <c r="AE79" i="47"/>
  <c r="AD79" i="47"/>
  <c r="AC79" i="47"/>
  <c r="AB79" i="47"/>
  <c r="AA79" i="47"/>
  <c r="Z79" i="47"/>
  <c r="Y79" i="47"/>
  <c r="X79" i="47"/>
  <c r="W79" i="47"/>
  <c r="V79" i="47"/>
  <c r="U79" i="47"/>
  <c r="T79" i="47"/>
  <c r="S79" i="47"/>
  <c r="R79" i="47"/>
  <c r="Q79" i="47"/>
  <c r="P79" i="47"/>
  <c r="O79" i="47"/>
  <c r="N79" i="47"/>
  <c r="M79" i="47"/>
  <c r="L79" i="47"/>
  <c r="H79" i="47"/>
  <c r="AK78" i="47"/>
  <c r="AJ78" i="47"/>
  <c r="AI78" i="47"/>
  <c r="AH78" i="47"/>
  <c r="AG78" i="47"/>
  <c r="AF78" i="47"/>
  <c r="AE78" i="47"/>
  <c r="AD78" i="47"/>
  <c r="AC78" i="47"/>
  <c r="AB78" i="47"/>
  <c r="AA78" i="47"/>
  <c r="Z78" i="47"/>
  <c r="Y78" i="47"/>
  <c r="X78" i="47"/>
  <c r="W78" i="47"/>
  <c r="V78" i="47"/>
  <c r="U78" i="47"/>
  <c r="T78" i="47"/>
  <c r="S78" i="47"/>
  <c r="R78" i="47"/>
  <c r="Q78" i="47"/>
  <c r="P78" i="47"/>
  <c r="O78" i="47"/>
  <c r="N78" i="47"/>
  <c r="M78" i="47"/>
  <c r="L78" i="47"/>
  <c r="AK77" i="47"/>
  <c r="AJ77" i="47"/>
  <c r="AI77" i="47"/>
  <c r="AH77" i="47"/>
  <c r="AG77" i="47"/>
  <c r="AF77" i="47"/>
  <c r="AE77" i="47"/>
  <c r="AD77" i="47"/>
  <c r="AC77" i="47"/>
  <c r="AB77" i="47"/>
  <c r="AA77" i="47"/>
  <c r="Z77" i="47"/>
  <c r="Y77" i="47"/>
  <c r="X77" i="47"/>
  <c r="W77" i="47"/>
  <c r="V77" i="47"/>
  <c r="U77" i="47"/>
  <c r="T77" i="47"/>
  <c r="S77" i="47"/>
  <c r="R77" i="47"/>
  <c r="Q77" i="47"/>
  <c r="P77" i="47"/>
  <c r="O77" i="47"/>
  <c r="N77" i="47"/>
  <c r="M77" i="47"/>
  <c r="L77" i="47"/>
  <c r="AK76" i="47"/>
  <c r="AJ76" i="47"/>
  <c r="AH76" i="47"/>
  <c r="AG76" i="47"/>
  <c r="AF76" i="47"/>
  <c r="AE76" i="47"/>
  <c r="AD76" i="47"/>
  <c r="AC76" i="47"/>
  <c r="AB76" i="47"/>
  <c r="AA76" i="47"/>
  <c r="Z76" i="47"/>
  <c r="Y76" i="47"/>
  <c r="X76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AK75" i="47"/>
  <c r="AJ75" i="47"/>
  <c r="AH75" i="47"/>
  <c r="AG75" i="47"/>
  <c r="AF75" i="47"/>
  <c r="AE75" i="47"/>
  <c r="AD75" i="47"/>
  <c r="AC75" i="47"/>
  <c r="AB75" i="47"/>
  <c r="AA75" i="47"/>
  <c r="Z75" i="47"/>
  <c r="Y75" i="47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AK74" i="47"/>
  <c r="AJ74" i="47"/>
  <c r="AI74" i="47"/>
  <c r="AH74" i="47"/>
  <c r="AG74" i="47"/>
  <c r="AF74" i="47"/>
  <c r="AE74" i="47"/>
  <c r="AD74" i="47"/>
  <c r="AC74" i="47"/>
  <c r="AB74" i="47"/>
  <c r="AA74" i="47"/>
  <c r="Z74" i="47"/>
  <c r="Y74" i="47"/>
  <c r="X74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AK73" i="47"/>
  <c r="AJ73" i="47"/>
  <c r="AI73" i="47"/>
  <c r="AH73" i="47"/>
  <c r="AG73" i="47"/>
  <c r="AF73" i="47"/>
  <c r="AE73" i="47"/>
  <c r="AD73" i="47"/>
  <c r="AC73" i="47"/>
  <c r="AB73" i="47"/>
  <c r="AA73" i="47"/>
  <c r="Z73" i="47"/>
  <c r="Y73" i="47"/>
  <c r="X73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AK72" i="47"/>
  <c r="AJ72" i="47"/>
  <c r="AI72" i="47"/>
  <c r="AH72" i="47"/>
  <c r="AG72" i="47"/>
  <c r="AF72" i="47"/>
  <c r="AE72" i="47"/>
  <c r="AD72" i="47"/>
  <c r="AC72" i="47"/>
  <c r="AB72" i="47"/>
  <c r="AA72" i="47"/>
  <c r="Z72" i="47"/>
  <c r="Y72" i="47"/>
  <c r="X72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AK71" i="47"/>
  <c r="AJ71" i="47"/>
  <c r="AI71" i="47"/>
  <c r="AH71" i="47"/>
  <c r="AG71" i="47"/>
  <c r="AF71" i="47"/>
  <c r="AE71" i="47"/>
  <c r="AD71" i="47"/>
  <c r="AC71" i="47"/>
  <c r="AB71" i="47"/>
  <c r="AA71" i="47"/>
  <c r="Z71" i="47"/>
  <c r="Y71" i="47"/>
  <c r="X71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AK70" i="47"/>
  <c r="AJ70" i="47"/>
  <c r="AI70" i="47"/>
  <c r="AH70" i="47"/>
  <c r="AG70" i="47"/>
  <c r="AF70" i="47"/>
  <c r="AE70" i="47"/>
  <c r="AD70" i="47"/>
  <c r="AC70" i="47"/>
  <c r="AB70" i="47"/>
  <c r="AA70" i="47"/>
  <c r="Z70" i="47"/>
  <c r="Y70" i="47"/>
  <c r="X70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AK69" i="47"/>
  <c r="AJ69" i="47"/>
  <c r="AI69" i="47"/>
  <c r="AH69" i="47"/>
  <c r="AG69" i="47"/>
  <c r="AF69" i="47"/>
  <c r="AE69" i="47"/>
  <c r="AD69" i="47"/>
  <c r="AC69" i="47"/>
  <c r="AB69" i="47"/>
  <c r="AA69" i="47"/>
  <c r="Z69" i="47"/>
  <c r="Y69" i="47"/>
  <c r="X69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AK68" i="47"/>
  <c r="AJ68" i="47"/>
  <c r="AI68" i="47"/>
  <c r="AH68" i="47"/>
  <c r="AG68" i="47"/>
  <c r="AF68" i="47"/>
  <c r="AE68" i="47"/>
  <c r="AD68" i="47"/>
  <c r="AC68" i="47"/>
  <c r="AB68" i="47"/>
  <c r="AA68" i="47"/>
  <c r="Z68" i="47"/>
  <c r="Y68" i="47"/>
  <c r="X68" i="47"/>
  <c r="W68" i="47"/>
  <c r="V68" i="47"/>
  <c r="U68" i="47"/>
  <c r="T68" i="47"/>
  <c r="S68" i="47"/>
  <c r="R68" i="47"/>
  <c r="Q68" i="47"/>
  <c r="P68" i="47"/>
  <c r="O68" i="47"/>
  <c r="N68" i="47"/>
  <c r="M68" i="47"/>
  <c r="L68" i="47"/>
  <c r="AK67" i="47"/>
  <c r="AJ67" i="47"/>
  <c r="AI67" i="47"/>
  <c r="AH67" i="47"/>
  <c r="AG67" i="47"/>
  <c r="AF67" i="47"/>
  <c r="AE67" i="47"/>
  <c r="AD67" i="47"/>
  <c r="AC67" i="47"/>
  <c r="AB67" i="47"/>
  <c r="AA67" i="47"/>
  <c r="Z67" i="47"/>
  <c r="Y67" i="47"/>
  <c r="X67" i="47"/>
  <c r="W67" i="47"/>
  <c r="V67" i="47"/>
  <c r="U67" i="47"/>
  <c r="T67" i="47"/>
  <c r="S67" i="47"/>
  <c r="R67" i="47"/>
  <c r="Q67" i="47"/>
  <c r="P67" i="47"/>
  <c r="O67" i="47"/>
  <c r="N67" i="47"/>
  <c r="M67" i="47"/>
  <c r="L67" i="47"/>
  <c r="AK66" i="47"/>
  <c r="AJ66" i="47"/>
  <c r="AI66" i="47"/>
  <c r="AH66" i="47"/>
  <c r="AG66" i="47"/>
  <c r="AF66" i="47"/>
  <c r="AE66" i="47"/>
  <c r="AD66" i="47"/>
  <c r="AC66" i="47"/>
  <c r="AB66" i="47"/>
  <c r="AA66" i="47"/>
  <c r="Z66" i="47"/>
  <c r="Y66" i="47"/>
  <c r="X66" i="47"/>
  <c r="W66" i="47"/>
  <c r="V66" i="47"/>
  <c r="U66" i="47"/>
  <c r="T66" i="47"/>
  <c r="S66" i="47"/>
  <c r="R66" i="47"/>
  <c r="Q66" i="47"/>
  <c r="P66" i="47"/>
  <c r="O66" i="47"/>
  <c r="N66" i="47"/>
  <c r="M66" i="47"/>
  <c r="L66" i="47"/>
  <c r="AK65" i="47"/>
  <c r="AJ65" i="47"/>
  <c r="AI65" i="47"/>
  <c r="AH65" i="47"/>
  <c r="AG65" i="47"/>
  <c r="AF65" i="47"/>
  <c r="AE65" i="47"/>
  <c r="AD65" i="47"/>
  <c r="AC65" i="47"/>
  <c r="AB65" i="47"/>
  <c r="AA65" i="47"/>
  <c r="Z65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AK64" i="47"/>
  <c r="AJ64" i="47"/>
  <c r="AI64" i="47"/>
  <c r="AH64" i="47"/>
  <c r="AG64" i="47"/>
  <c r="AF64" i="47"/>
  <c r="AE64" i="47"/>
  <c r="AD64" i="47"/>
  <c r="AC64" i="47"/>
  <c r="AB64" i="47"/>
  <c r="AA64" i="47"/>
  <c r="Z64" i="47"/>
  <c r="Y64" i="47"/>
  <c r="X64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AK63" i="47"/>
  <c r="AJ63" i="47"/>
  <c r="AI63" i="47"/>
  <c r="AH63" i="47"/>
  <c r="AG63" i="47"/>
  <c r="AF63" i="47"/>
  <c r="AE63" i="47"/>
  <c r="AD63" i="47"/>
  <c r="AC63" i="47"/>
  <c r="AB63" i="47"/>
  <c r="AA63" i="47"/>
  <c r="Z63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AK62" i="47"/>
  <c r="AJ62" i="47"/>
  <c r="AI62" i="47"/>
  <c r="AH62" i="47"/>
  <c r="AG62" i="47"/>
  <c r="AF62" i="47"/>
  <c r="AE62" i="47"/>
  <c r="AD62" i="47"/>
  <c r="AC62" i="47"/>
  <c r="AB62" i="47"/>
  <c r="AA62" i="47"/>
  <c r="Z62" i="47"/>
  <c r="Y62" i="47"/>
  <c r="X62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AK61" i="47"/>
  <c r="AJ61" i="47"/>
  <c r="AI61" i="47"/>
  <c r="AH61" i="47"/>
  <c r="AG61" i="47"/>
  <c r="AF61" i="47"/>
  <c r="AE61" i="47"/>
  <c r="AD61" i="47"/>
  <c r="AC61" i="47"/>
  <c r="AB61" i="47"/>
  <c r="AA61" i="47"/>
  <c r="Z61" i="47"/>
  <c r="Y61" i="47"/>
  <c r="X61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AK60" i="47"/>
  <c r="AJ60" i="47"/>
  <c r="AI60" i="47"/>
  <c r="AH60" i="47"/>
  <c r="AG60" i="47"/>
  <c r="AF60" i="47"/>
  <c r="AE60" i="47"/>
  <c r="AD60" i="47"/>
  <c r="AC60" i="47"/>
  <c r="AB60" i="47"/>
  <c r="AA60" i="47"/>
  <c r="Z60" i="47"/>
  <c r="Y60" i="47"/>
  <c r="X60" i="47"/>
  <c r="W60" i="47"/>
  <c r="V60" i="47"/>
  <c r="U60" i="47"/>
  <c r="T60" i="47"/>
  <c r="S60" i="47"/>
  <c r="R60" i="47"/>
  <c r="Q60" i="47"/>
  <c r="P60" i="47"/>
  <c r="O60" i="47"/>
  <c r="N60" i="47"/>
  <c r="M60" i="47"/>
  <c r="L60" i="47"/>
  <c r="AK59" i="47"/>
  <c r="AJ59" i="47"/>
  <c r="AI59" i="47"/>
  <c r="AH59" i="47"/>
  <c r="AG59" i="47"/>
  <c r="AF59" i="47"/>
  <c r="AE59" i="47"/>
  <c r="AD59" i="47"/>
  <c r="AC59" i="47"/>
  <c r="AB59" i="47"/>
  <c r="AA59" i="47"/>
  <c r="Z59" i="47"/>
  <c r="Y59" i="47"/>
  <c r="X59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AK58" i="47"/>
  <c r="AJ58" i="47"/>
  <c r="AI58" i="47"/>
  <c r="AH58" i="47"/>
  <c r="AG58" i="47"/>
  <c r="AF58" i="47"/>
  <c r="AE58" i="47"/>
  <c r="AD58" i="47"/>
  <c r="AC58" i="47"/>
  <c r="AB58" i="47"/>
  <c r="AA58" i="47"/>
  <c r="Z58" i="47"/>
  <c r="Y58" i="47"/>
  <c r="X58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AK57" i="47"/>
  <c r="AJ57" i="47"/>
  <c r="AI57" i="47"/>
  <c r="AH57" i="47"/>
  <c r="AG57" i="47"/>
  <c r="AF57" i="47"/>
  <c r="AE57" i="47"/>
  <c r="AD57" i="47"/>
  <c r="AC57" i="47"/>
  <c r="AB57" i="47"/>
  <c r="AA57" i="47"/>
  <c r="Z57" i="47"/>
  <c r="Y57" i="47"/>
  <c r="X57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AK56" i="47"/>
  <c r="AJ56" i="47"/>
  <c r="AI56" i="47"/>
  <c r="AH56" i="47"/>
  <c r="AG56" i="47"/>
  <c r="AF56" i="47"/>
  <c r="AE56" i="47"/>
  <c r="AD56" i="47"/>
  <c r="AC56" i="47"/>
  <c r="AB56" i="47"/>
  <c r="AA56" i="47"/>
  <c r="Z56" i="47"/>
  <c r="Y56" i="47"/>
  <c r="X56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AK55" i="47"/>
  <c r="AJ55" i="47"/>
  <c r="AI55" i="47"/>
  <c r="AH55" i="47"/>
  <c r="AG55" i="47"/>
  <c r="AF55" i="47"/>
  <c r="AE55" i="47"/>
  <c r="AD55" i="47"/>
  <c r="AC55" i="47"/>
  <c r="AB55" i="47"/>
  <c r="AA55" i="47"/>
  <c r="Z55" i="47"/>
  <c r="Y55" i="47"/>
  <c r="X55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AK54" i="47"/>
  <c r="AJ54" i="47"/>
  <c r="AI54" i="47"/>
  <c r="AH54" i="47"/>
  <c r="AG54" i="47"/>
  <c r="AF54" i="47"/>
  <c r="AE54" i="47"/>
  <c r="AD54" i="47"/>
  <c r="AC54" i="47"/>
  <c r="AB54" i="47"/>
  <c r="AA54" i="47"/>
  <c r="Z54" i="47"/>
  <c r="Y54" i="47"/>
  <c r="X54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AK53" i="47"/>
  <c r="AJ53" i="47"/>
  <c r="AI53" i="47"/>
  <c r="AH53" i="47"/>
  <c r="AG53" i="47"/>
  <c r="AF53" i="47"/>
  <c r="AE53" i="47"/>
  <c r="AD53" i="47"/>
  <c r="AC53" i="47"/>
  <c r="AB53" i="47"/>
  <c r="AA53" i="47"/>
  <c r="Z53" i="47"/>
  <c r="Y53" i="47"/>
  <c r="X53" i="47"/>
  <c r="W53" i="47"/>
  <c r="V53" i="47"/>
  <c r="U53" i="47"/>
  <c r="T53" i="47"/>
  <c r="S53" i="47"/>
  <c r="R53" i="47"/>
  <c r="Q53" i="47"/>
  <c r="P53" i="47"/>
  <c r="O53" i="47"/>
  <c r="N53" i="47"/>
  <c r="M53" i="47"/>
  <c r="L53" i="47"/>
  <c r="AK52" i="47"/>
  <c r="AJ52" i="47"/>
  <c r="AI52" i="47"/>
  <c r="AH52" i="47"/>
  <c r="AG52" i="47"/>
  <c r="AF52" i="47"/>
  <c r="AE52" i="47"/>
  <c r="AD52" i="47"/>
  <c r="AC52" i="47"/>
  <c r="AB52" i="47"/>
  <c r="AA52" i="47"/>
  <c r="Z52" i="47"/>
  <c r="Y52" i="47"/>
  <c r="X52" i="47"/>
  <c r="W52" i="47"/>
  <c r="V52" i="47"/>
  <c r="U52" i="47"/>
  <c r="T52" i="47"/>
  <c r="S52" i="47"/>
  <c r="R52" i="47"/>
  <c r="Q52" i="47"/>
  <c r="P52" i="47"/>
  <c r="O52" i="47"/>
  <c r="N52" i="47"/>
  <c r="M52" i="47"/>
  <c r="L52" i="47"/>
  <c r="AK51" i="47"/>
  <c r="AJ51" i="47"/>
  <c r="AI51" i="47"/>
  <c r="AH51" i="47"/>
  <c r="AG51" i="47"/>
  <c r="AF51" i="47"/>
  <c r="AE51" i="47"/>
  <c r="AD51" i="47"/>
  <c r="AC51" i="47"/>
  <c r="AB51" i="47"/>
  <c r="AA51" i="47"/>
  <c r="Z51" i="47"/>
  <c r="Y51" i="47"/>
  <c r="X51" i="47"/>
  <c r="W51" i="47"/>
  <c r="V51" i="47"/>
  <c r="U51" i="47"/>
  <c r="T51" i="47"/>
  <c r="S51" i="47"/>
  <c r="R51" i="47"/>
  <c r="Q51" i="47"/>
  <c r="P51" i="47"/>
  <c r="O51" i="47"/>
  <c r="N51" i="47"/>
  <c r="M51" i="47"/>
  <c r="L51" i="47"/>
  <c r="AK50" i="47"/>
  <c r="AJ50" i="47"/>
  <c r="AI50" i="47"/>
  <c r="AH50" i="47"/>
  <c r="AG50" i="47"/>
  <c r="AF50" i="47"/>
  <c r="AE50" i="47"/>
  <c r="AD50" i="47"/>
  <c r="AC50" i="47"/>
  <c r="AB50" i="47"/>
  <c r="AA50" i="47"/>
  <c r="Z50" i="47"/>
  <c r="Y50" i="47"/>
  <c r="X50" i="47"/>
  <c r="W50" i="47"/>
  <c r="V50" i="47"/>
  <c r="U50" i="47"/>
  <c r="T50" i="47"/>
  <c r="S50" i="47"/>
  <c r="R50" i="47"/>
  <c r="Q50" i="47"/>
  <c r="P50" i="47"/>
  <c r="O50" i="47"/>
  <c r="N50" i="47"/>
  <c r="M50" i="47"/>
  <c r="L50" i="47"/>
  <c r="AK49" i="47"/>
  <c r="AJ49" i="47"/>
  <c r="AI49" i="47"/>
  <c r="AH49" i="47"/>
  <c r="AG49" i="47"/>
  <c r="AF49" i="47"/>
  <c r="AE49" i="47"/>
  <c r="AD49" i="47"/>
  <c r="AC49" i="47"/>
  <c r="AB49" i="47"/>
  <c r="AA49" i="47"/>
  <c r="Z49" i="47"/>
  <c r="Y49" i="47"/>
  <c r="X49" i="47"/>
  <c r="W49" i="47"/>
  <c r="V49" i="47"/>
  <c r="U49" i="47"/>
  <c r="T49" i="47"/>
  <c r="S49" i="47"/>
  <c r="R49" i="47"/>
  <c r="Q49" i="47"/>
  <c r="P49" i="47"/>
  <c r="O49" i="47"/>
  <c r="N49" i="47"/>
  <c r="M49" i="47"/>
  <c r="L49" i="47"/>
  <c r="AK48" i="47"/>
  <c r="AJ48" i="47"/>
  <c r="AI48" i="47"/>
  <c r="AH48" i="47"/>
  <c r="AG48" i="47"/>
  <c r="AF48" i="47"/>
  <c r="AE48" i="47"/>
  <c r="AD48" i="47"/>
  <c r="AC48" i="47"/>
  <c r="AB48" i="47"/>
  <c r="AA48" i="47"/>
  <c r="Z48" i="47"/>
  <c r="Y48" i="47"/>
  <c r="X48" i="47"/>
  <c r="W48" i="47"/>
  <c r="V48" i="47"/>
  <c r="U48" i="47"/>
  <c r="T48" i="47"/>
  <c r="S48" i="47"/>
  <c r="R48" i="47"/>
  <c r="Q48" i="47"/>
  <c r="P48" i="47"/>
  <c r="O48" i="47"/>
  <c r="N48" i="47"/>
  <c r="M48" i="47"/>
  <c r="L48" i="47"/>
  <c r="AK47" i="47"/>
  <c r="AJ47" i="47"/>
  <c r="AI47" i="47"/>
  <c r="AH47" i="47"/>
  <c r="AG47" i="47"/>
  <c r="AF47" i="47"/>
  <c r="AE47" i="47"/>
  <c r="AD47" i="47"/>
  <c r="AC47" i="47"/>
  <c r="AB47" i="47"/>
  <c r="AA47" i="47"/>
  <c r="Z47" i="47"/>
  <c r="Y47" i="47"/>
  <c r="X47" i="47"/>
  <c r="W47" i="47"/>
  <c r="V47" i="47"/>
  <c r="U47" i="47"/>
  <c r="T47" i="47"/>
  <c r="S47" i="47"/>
  <c r="R47" i="47"/>
  <c r="Q47" i="47"/>
  <c r="P47" i="47"/>
  <c r="O47" i="47"/>
  <c r="N47" i="47"/>
  <c r="M47" i="47"/>
  <c r="L47" i="47"/>
  <c r="AK46" i="47"/>
  <c r="AJ46" i="47"/>
  <c r="AI46" i="47"/>
  <c r="AH46" i="47"/>
  <c r="AG46" i="47"/>
  <c r="AF46" i="47"/>
  <c r="AE46" i="47"/>
  <c r="AD46" i="47"/>
  <c r="AC46" i="47"/>
  <c r="AB46" i="47"/>
  <c r="AA46" i="47"/>
  <c r="Z46" i="47"/>
  <c r="Y46" i="47"/>
  <c r="X46" i="47"/>
  <c r="W46" i="47"/>
  <c r="V46" i="47"/>
  <c r="U46" i="47"/>
  <c r="T46" i="47"/>
  <c r="S46" i="47"/>
  <c r="R46" i="47"/>
  <c r="Q46" i="47"/>
  <c r="P46" i="47"/>
  <c r="O46" i="47"/>
  <c r="N46" i="47"/>
  <c r="M46" i="47"/>
  <c r="L46" i="47"/>
  <c r="AK45" i="47"/>
  <c r="AJ45" i="47"/>
  <c r="AI45" i="47"/>
  <c r="AH45" i="47"/>
  <c r="AG45" i="47"/>
  <c r="AF45" i="47"/>
  <c r="AE45" i="47"/>
  <c r="AD45" i="47"/>
  <c r="AC45" i="47"/>
  <c r="AB45" i="47"/>
  <c r="AA45" i="47"/>
  <c r="Z45" i="47"/>
  <c r="Y45" i="47"/>
  <c r="X45" i="47"/>
  <c r="W45" i="47"/>
  <c r="V45" i="47"/>
  <c r="U45" i="47"/>
  <c r="T45" i="47"/>
  <c r="S45" i="47"/>
  <c r="R45" i="47"/>
  <c r="Q45" i="47"/>
  <c r="P45" i="47"/>
  <c r="O45" i="47"/>
  <c r="N45" i="47"/>
  <c r="M45" i="47"/>
  <c r="L45" i="47"/>
  <c r="AK44" i="47"/>
  <c r="AJ44" i="47"/>
  <c r="AI44" i="47"/>
  <c r="AH44" i="47"/>
  <c r="AG44" i="47"/>
  <c r="AF44" i="47"/>
  <c r="AE44" i="47"/>
  <c r="AD44" i="47"/>
  <c r="AC44" i="47"/>
  <c r="AB44" i="47"/>
  <c r="AA44" i="47"/>
  <c r="Z44" i="47"/>
  <c r="Y44" i="47"/>
  <c r="X44" i="47"/>
  <c r="W44" i="47"/>
  <c r="V44" i="47"/>
  <c r="U44" i="47"/>
  <c r="T44" i="47"/>
  <c r="S44" i="47"/>
  <c r="R44" i="47"/>
  <c r="Q44" i="47"/>
  <c r="P44" i="47"/>
  <c r="O44" i="47"/>
  <c r="N44" i="47"/>
  <c r="M44" i="47"/>
  <c r="L44" i="47"/>
  <c r="AK43" i="47"/>
  <c r="AJ43" i="47"/>
  <c r="AI43" i="47"/>
  <c r="AH43" i="47"/>
  <c r="AG43" i="47"/>
  <c r="AF43" i="47"/>
  <c r="AE43" i="47"/>
  <c r="AD43" i="47"/>
  <c r="AC43" i="47"/>
  <c r="AB43" i="47"/>
  <c r="AA43" i="47"/>
  <c r="Z43" i="47"/>
  <c r="Y43" i="47"/>
  <c r="X43" i="47"/>
  <c r="W43" i="47"/>
  <c r="V43" i="47"/>
  <c r="U43" i="47"/>
  <c r="T43" i="47"/>
  <c r="S43" i="47"/>
  <c r="R43" i="47"/>
  <c r="Q43" i="47"/>
  <c r="P43" i="47"/>
  <c r="O43" i="47"/>
  <c r="N43" i="47"/>
  <c r="M43" i="47"/>
  <c r="L43" i="47"/>
  <c r="AK42" i="47"/>
  <c r="AJ42" i="47"/>
  <c r="AI42" i="47"/>
  <c r="AH42" i="47"/>
  <c r="AG42" i="47"/>
  <c r="AF42" i="47"/>
  <c r="AE42" i="47"/>
  <c r="AD42" i="47"/>
  <c r="AC42" i="47"/>
  <c r="AB42" i="47"/>
  <c r="AA42" i="47"/>
  <c r="Z42" i="47"/>
  <c r="Y42" i="47"/>
  <c r="X42" i="47"/>
  <c r="W42" i="47"/>
  <c r="V42" i="47"/>
  <c r="U42" i="47"/>
  <c r="T42" i="47"/>
  <c r="S42" i="47"/>
  <c r="R42" i="47"/>
  <c r="Q42" i="47"/>
  <c r="P42" i="47"/>
  <c r="O42" i="47"/>
  <c r="N42" i="47"/>
  <c r="M42" i="47"/>
  <c r="L42" i="47"/>
  <c r="AK41" i="47"/>
  <c r="AJ41" i="47"/>
  <c r="AI41" i="47"/>
  <c r="AH41" i="47"/>
  <c r="AG41" i="47"/>
  <c r="AF41" i="47"/>
  <c r="AE41" i="47"/>
  <c r="AD41" i="47"/>
  <c r="AC41" i="47"/>
  <c r="AB41" i="47"/>
  <c r="AA41" i="47"/>
  <c r="Z41" i="47"/>
  <c r="Y41" i="47"/>
  <c r="X41" i="47"/>
  <c r="W41" i="47"/>
  <c r="V41" i="47"/>
  <c r="U41" i="47"/>
  <c r="T41" i="47"/>
  <c r="S41" i="47"/>
  <c r="R41" i="47"/>
  <c r="Q41" i="47"/>
  <c r="P41" i="47"/>
  <c r="O41" i="47"/>
  <c r="N41" i="47"/>
  <c r="M41" i="47"/>
  <c r="L41" i="47"/>
  <c r="AK40" i="47"/>
  <c r="AJ40" i="47"/>
  <c r="AI40" i="47"/>
  <c r="AH40" i="47"/>
  <c r="AG40" i="47"/>
  <c r="AF40" i="47"/>
  <c r="AE40" i="47"/>
  <c r="AD40" i="47"/>
  <c r="AC40" i="47"/>
  <c r="AB40" i="47"/>
  <c r="AA40" i="47"/>
  <c r="Z40" i="47"/>
  <c r="Y40" i="47"/>
  <c r="X40" i="47"/>
  <c r="W40" i="47"/>
  <c r="V40" i="47"/>
  <c r="U40" i="47"/>
  <c r="T40" i="47"/>
  <c r="S40" i="47"/>
  <c r="R40" i="47"/>
  <c r="Q40" i="47"/>
  <c r="P40" i="47"/>
  <c r="O40" i="47"/>
  <c r="N40" i="47"/>
  <c r="M40" i="47"/>
  <c r="L40" i="47"/>
  <c r="AK39" i="47"/>
  <c r="AJ39" i="47"/>
  <c r="AI39" i="47"/>
  <c r="AH39" i="47"/>
  <c r="AG39" i="47"/>
  <c r="AF39" i="47"/>
  <c r="AE39" i="47"/>
  <c r="AD39" i="47"/>
  <c r="AC39" i="47"/>
  <c r="AB39" i="47"/>
  <c r="AA39" i="47"/>
  <c r="Z39" i="47"/>
  <c r="Y39" i="47"/>
  <c r="X39" i="47"/>
  <c r="W39" i="47"/>
  <c r="V39" i="47"/>
  <c r="U39" i="47"/>
  <c r="T39" i="47"/>
  <c r="S39" i="47"/>
  <c r="R39" i="47"/>
  <c r="Q39" i="47"/>
  <c r="P39" i="47"/>
  <c r="O39" i="47"/>
  <c r="N39" i="47"/>
  <c r="M39" i="47"/>
  <c r="L39" i="47"/>
  <c r="AK38" i="47"/>
  <c r="AJ38" i="47"/>
  <c r="AI38" i="47"/>
  <c r="AH38" i="47"/>
  <c r="AG38" i="47"/>
  <c r="AF38" i="47"/>
  <c r="AE38" i="47"/>
  <c r="AD38" i="47"/>
  <c r="AC38" i="47"/>
  <c r="AB38" i="47"/>
  <c r="AA38" i="47"/>
  <c r="Z38" i="47"/>
  <c r="Y38" i="47"/>
  <c r="X38" i="47"/>
  <c r="W38" i="47"/>
  <c r="V38" i="47"/>
  <c r="U38" i="47"/>
  <c r="T38" i="47"/>
  <c r="S38" i="47"/>
  <c r="R38" i="47"/>
  <c r="Q38" i="47"/>
  <c r="P38" i="47"/>
  <c r="O38" i="47"/>
  <c r="N38" i="47"/>
  <c r="M38" i="47"/>
  <c r="L38" i="47"/>
  <c r="AK37" i="47"/>
  <c r="AJ37" i="47"/>
  <c r="AI37" i="47"/>
  <c r="AH37" i="47"/>
  <c r="AG37" i="47"/>
  <c r="AF37" i="47"/>
  <c r="AE37" i="47"/>
  <c r="AD37" i="47"/>
  <c r="AC37" i="47"/>
  <c r="AB37" i="47"/>
  <c r="AA37" i="47"/>
  <c r="Z37" i="47"/>
  <c r="Y37" i="47"/>
  <c r="X37" i="47"/>
  <c r="W37" i="47"/>
  <c r="V37" i="47"/>
  <c r="U37" i="47"/>
  <c r="T37" i="47"/>
  <c r="S37" i="47"/>
  <c r="R37" i="47"/>
  <c r="Q37" i="47"/>
  <c r="P37" i="47"/>
  <c r="O37" i="47"/>
  <c r="N37" i="47"/>
  <c r="M37" i="47"/>
  <c r="L37" i="47"/>
  <c r="AK36" i="47"/>
  <c r="AJ36" i="47"/>
  <c r="AI36" i="47"/>
  <c r="AH36" i="47"/>
  <c r="AG36" i="47"/>
  <c r="AF36" i="47"/>
  <c r="AE36" i="47"/>
  <c r="AD36" i="47"/>
  <c r="AC36" i="47"/>
  <c r="AB36" i="47"/>
  <c r="AA36" i="47"/>
  <c r="Z36" i="47"/>
  <c r="Y36" i="47"/>
  <c r="X36" i="47"/>
  <c r="W36" i="47"/>
  <c r="V36" i="47"/>
  <c r="U36" i="47"/>
  <c r="T36" i="47"/>
  <c r="S36" i="47"/>
  <c r="R36" i="47"/>
  <c r="Q36" i="47"/>
  <c r="P36" i="47"/>
  <c r="O36" i="47"/>
  <c r="N36" i="47"/>
  <c r="M36" i="47"/>
  <c r="L36" i="47"/>
  <c r="AK35" i="47"/>
  <c r="AJ35" i="47"/>
  <c r="AI35" i="47"/>
  <c r="AH35" i="47"/>
  <c r="AG35" i="47"/>
  <c r="AF35" i="47"/>
  <c r="AE35" i="47"/>
  <c r="AD35" i="47"/>
  <c r="AC35" i="47"/>
  <c r="AB35" i="47"/>
  <c r="AA35" i="47"/>
  <c r="Z35" i="47"/>
  <c r="Y35" i="47"/>
  <c r="X35" i="47"/>
  <c r="W35" i="47"/>
  <c r="V35" i="47"/>
  <c r="U35" i="47"/>
  <c r="T35" i="47"/>
  <c r="S35" i="47"/>
  <c r="R35" i="47"/>
  <c r="Q35" i="47"/>
  <c r="P35" i="47"/>
  <c r="O35" i="47"/>
  <c r="N35" i="47"/>
  <c r="M35" i="47"/>
  <c r="L35" i="47"/>
  <c r="AK34" i="47"/>
  <c r="AJ34" i="47"/>
  <c r="AI34" i="47"/>
  <c r="AH34" i="47"/>
  <c r="AG34" i="47"/>
  <c r="AF34" i="47"/>
  <c r="AE34" i="47"/>
  <c r="AD34" i="47"/>
  <c r="AC34" i="47"/>
  <c r="AB34" i="47"/>
  <c r="AA34" i="47"/>
  <c r="Z34" i="47"/>
  <c r="Y34" i="47"/>
  <c r="X34" i="47"/>
  <c r="W34" i="47"/>
  <c r="V34" i="47"/>
  <c r="U34" i="47"/>
  <c r="T34" i="47"/>
  <c r="S34" i="47"/>
  <c r="R34" i="47"/>
  <c r="Q34" i="47"/>
  <c r="P34" i="47"/>
  <c r="O34" i="47"/>
  <c r="N34" i="47"/>
  <c r="M34" i="47"/>
  <c r="L34" i="47"/>
  <c r="AK33" i="47"/>
  <c r="AJ33" i="47"/>
  <c r="AI33" i="47"/>
  <c r="AH33" i="47"/>
  <c r="AG33" i="47"/>
  <c r="AF33" i="47"/>
  <c r="AE33" i="47"/>
  <c r="AD33" i="47"/>
  <c r="AC33" i="47"/>
  <c r="AB33" i="47"/>
  <c r="AA33" i="47"/>
  <c r="Z33" i="47"/>
  <c r="Y33" i="47"/>
  <c r="X33" i="47"/>
  <c r="W33" i="47"/>
  <c r="V33" i="47"/>
  <c r="U33" i="47"/>
  <c r="T33" i="47"/>
  <c r="S33" i="47"/>
  <c r="R33" i="47"/>
  <c r="Q33" i="47"/>
  <c r="P33" i="47"/>
  <c r="O33" i="47"/>
  <c r="N33" i="47"/>
  <c r="M33" i="47"/>
  <c r="L33" i="47"/>
  <c r="AK32" i="47"/>
  <c r="AJ32" i="47"/>
  <c r="AI32" i="47"/>
  <c r="AH32" i="47"/>
  <c r="AG32" i="47"/>
  <c r="AF32" i="47"/>
  <c r="AE32" i="47"/>
  <c r="AD32" i="47"/>
  <c r="AC32" i="47"/>
  <c r="AB32" i="47"/>
  <c r="AA32" i="47"/>
  <c r="Z32" i="47"/>
  <c r="Y32" i="47"/>
  <c r="X32" i="47"/>
  <c r="W32" i="47"/>
  <c r="V32" i="47"/>
  <c r="U32" i="47"/>
  <c r="T32" i="47"/>
  <c r="S32" i="47"/>
  <c r="R32" i="47"/>
  <c r="Q32" i="47"/>
  <c r="P32" i="47"/>
  <c r="O32" i="47"/>
  <c r="N32" i="47"/>
  <c r="M32" i="47"/>
  <c r="L32" i="47"/>
  <c r="AK31" i="47"/>
  <c r="AJ31" i="47"/>
  <c r="AI31" i="47"/>
  <c r="AH31" i="47"/>
  <c r="AG31" i="47"/>
  <c r="AF31" i="47"/>
  <c r="AE31" i="47"/>
  <c r="AD31" i="47"/>
  <c r="AC31" i="47"/>
  <c r="AB31" i="47"/>
  <c r="AA31" i="47"/>
  <c r="Z31" i="47"/>
  <c r="Y31" i="47"/>
  <c r="X31" i="47"/>
  <c r="W31" i="47"/>
  <c r="V31" i="47"/>
  <c r="U31" i="47"/>
  <c r="T31" i="47"/>
  <c r="S31" i="47"/>
  <c r="R31" i="47"/>
  <c r="Q31" i="47"/>
  <c r="P31" i="47"/>
  <c r="O31" i="47"/>
  <c r="N31" i="47"/>
  <c r="M31" i="47"/>
  <c r="L31" i="47"/>
  <c r="AK30" i="47"/>
  <c r="AJ30" i="47"/>
  <c r="AI30" i="47"/>
  <c r="AH30" i="47"/>
  <c r="AG30" i="47"/>
  <c r="AF30" i="47"/>
  <c r="AE30" i="47"/>
  <c r="AD30" i="47"/>
  <c r="AC30" i="47"/>
  <c r="AB30" i="47"/>
  <c r="AA30" i="47"/>
  <c r="Z30" i="47"/>
  <c r="Y30" i="47"/>
  <c r="X30" i="47"/>
  <c r="W30" i="47"/>
  <c r="V30" i="47"/>
  <c r="U30" i="47"/>
  <c r="T30" i="47"/>
  <c r="S30" i="47"/>
  <c r="R30" i="47"/>
  <c r="Q30" i="47"/>
  <c r="P30" i="47"/>
  <c r="O30" i="47"/>
  <c r="N30" i="47"/>
  <c r="M30" i="47"/>
  <c r="L30" i="47"/>
  <c r="AK29" i="47"/>
  <c r="AJ29" i="47"/>
  <c r="AI29" i="47"/>
  <c r="AH29" i="47"/>
  <c r="AG29" i="47"/>
  <c r="AF29" i="47"/>
  <c r="AE29" i="47"/>
  <c r="AD29" i="47"/>
  <c r="AC29" i="47"/>
  <c r="AB29" i="47"/>
  <c r="AA29" i="47"/>
  <c r="Z29" i="47"/>
  <c r="Y29" i="47"/>
  <c r="X29" i="47"/>
  <c r="W29" i="47"/>
  <c r="V29" i="47"/>
  <c r="U29" i="47"/>
  <c r="T29" i="47"/>
  <c r="S29" i="47"/>
  <c r="R29" i="47"/>
  <c r="Q29" i="47"/>
  <c r="P29" i="47"/>
  <c r="O29" i="47"/>
  <c r="N29" i="47"/>
  <c r="M29" i="47"/>
  <c r="L29" i="47"/>
  <c r="AK28" i="47"/>
  <c r="AJ28" i="47"/>
  <c r="AI28" i="47"/>
  <c r="AH28" i="47"/>
  <c r="AG28" i="47"/>
  <c r="AF28" i="47"/>
  <c r="AE28" i="47"/>
  <c r="AD28" i="47"/>
  <c r="AC28" i="47"/>
  <c r="AB28" i="47"/>
  <c r="AA28" i="47"/>
  <c r="Z28" i="47"/>
  <c r="Y28" i="47"/>
  <c r="X28" i="47"/>
  <c r="W28" i="47"/>
  <c r="V28" i="47"/>
  <c r="U28" i="47"/>
  <c r="T28" i="47"/>
  <c r="S28" i="47"/>
  <c r="R28" i="47"/>
  <c r="Q28" i="47"/>
  <c r="P28" i="47"/>
  <c r="O28" i="47"/>
  <c r="N28" i="47"/>
  <c r="M28" i="47"/>
  <c r="L28" i="47"/>
  <c r="AK27" i="47"/>
  <c r="AJ27" i="47"/>
  <c r="AI27" i="47"/>
  <c r="AH27" i="47"/>
  <c r="AG27" i="47"/>
  <c r="AF27" i="47"/>
  <c r="AE27" i="47"/>
  <c r="AD27" i="47"/>
  <c r="AC27" i="47"/>
  <c r="AB27" i="47"/>
  <c r="AA27" i="47"/>
  <c r="Z27" i="47"/>
  <c r="Y27" i="47"/>
  <c r="X27" i="47"/>
  <c r="W27" i="47"/>
  <c r="V27" i="47"/>
  <c r="U27" i="47"/>
  <c r="T27" i="47"/>
  <c r="S27" i="47"/>
  <c r="R27" i="47"/>
  <c r="Q27" i="47"/>
  <c r="P27" i="47"/>
  <c r="O27" i="47"/>
  <c r="N27" i="47"/>
  <c r="M27" i="47"/>
  <c r="L27" i="47"/>
  <c r="AK26" i="47"/>
  <c r="AJ26" i="47"/>
  <c r="AI26" i="47"/>
  <c r="AH26" i="47"/>
  <c r="AG26" i="47"/>
  <c r="AF26" i="47"/>
  <c r="AE26" i="47"/>
  <c r="AD26" i="47"/>
  <c r="AC26" i="47"/>
  <c r="AB26" i="47"/>
  <c r="AA26" i="47"/>
  <c r="Z26" i="47"/>
  <c r="Y26" i="47"/>
  <c r="X26" i="47"/>
  <c r="W26" i="47"/>
  <c r="V26" i="47"/>
  <c r="U26" i="47"/>
  <c r="T26" i="47"/>
  <c r="S26" i="47"/>
  <c r="R26" i="47"/>
  <c r="Q26" i="47"/>
  <c r="P26" i="47"/>
  <c r="O26" i="47"/>
  <c r="N26" i="47"/>
  <c r="M26" i="47"/>
  <c r="L26" i="47"/>
  <c r="AK25" i="47"/>
  <c r="AJ25" i="47"/>
  <c r="AI25" i="47"/>
  <c r="AH25" i="47"/>
  <c r="AG25" i="47"/>
  <c r="AF25" i="47"/>
  <c r="AE25" i="47"/>
  <c r="AD25" i="47"/>
  <c r="AC25" i="47"/>
  <c r="AB25" i="47"/>
  <c r="AA25" i="47"/>
  <c r="Z25" i="47"/>
  <c r="Y25" i="47"/>
  <c r="X25" i="47"/>
  <c r="W25" i="47"/>
  <c r="V25" i="47"/>
  <c r="U25" i="47"/>
  <c r="T25" i="47"/>
  <c r="S25" i="47"/>
  <c r="R25" i="47"/>
  <c r="Q25" i="47"/>
  <c r="P25" i="47"/>
  <c r="O25" i="47"/>
  <c r="N25" i="47"/>
  <c r="M25" i="47"/>
  <c r="L25" i="47"/>
  <c r="AK24" i="47"/>
  <c r="AJ24" i="47"/>
  <c r="AI24" i="47"/>
  <c r="AH24" i="47"/>
  <c r="AG24" i="47"/>
  <c r="AF24" i="47"/>
  <c r="AE24" i="47"/>
  <c r="AD24" i="47"/>
  <c r="AC24" i="47"/>
  <c r="AB24" i="47"/>
  <c r="AA24" i="47"/>
  <c r="Z24" i="47"/>
  <c r="Y24" i="47"/>
  <c r="X24" i="47"/>
  <c r="W24" i="47"/>
  <c r="V24" i="47"/>
  <c r="U24" i="47"/>
  <c r="T24" i="47"/>
  <c r="S24" i="47"/>
  <c r="R24" i="47"/>
  <c r="Q24" i="47"/>
  <c r="P24" i="47"/>
  <c r="O24" i="47"/>
  <c r="N24" i="47"/>
  <c r="M24" i="47"/>
  <c r="L24" i="47"/>
  <c r="AK23" i="47"/>
  <c r="AJ23" i="47"/>
  <c r="AI23" i="47"/>
  <c r="AH23" i="47"/>
  <c r="AG23" i="47"/>
  <c r="AF23" i="47"/>
  <c r="AE23" i="47"/>
  <c r="AD23" i="47"/>
  <c r="AC23" i="47"/>
  <c r="AB23" i="47"/>
  <c r="AA23" i="47"/>
  <c r="Z23" i="47"/>
  <c r="Y23" i="47"/>
  <c r="X23" i="47"/>
  <c r="W23" i="47"/>
  <c r="V23" i="47"/>
  <c r="U23" i="47"/>
  <c r="T23" i="47"/>
  <c r="S23" i="47"/>
  <c r="R23" i="47"/>
  <c r="Q23" i="47"/>
  <c r="P23" i="47"/>
  <c r="O23" i="47"/>
  <c r="N23" i="47"/>
  <c r="M23" i="47"/>
  <c r="L23" i="47"/>
  <c r="AK22" i="47"/>
  <c r="AJ22" i="47"/>
  <c r="AI22" i="47"/>
  <c r="AH22" i="47"/>
  <c r="AG22" i="47"/>
  <c r="AF22" i="47"/>
  <c r="AE22" i="47"/>
  <c r="AD22" i="47"/>
  <c r="AC22" i="47"/>
  <c r="AB22" i="47"/>
  <c r="AA22" i="47"/>
  <c r="Z22" i="47"/>
  <c r="Y22" i="47"/>
  <c r="X22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AK21" i="47"/>
  <c r="AJ21" i="47"/>
  <c r="AI21" i="47"/>
  <c r="AH21" i="47"/>
  <c r="AG21" i="47"/>
  <c r="AF21" i="47"/>
  <c r="AE21" i="47"/>
  <c r="AD21" i="47"/>
  <c r="AC21" i="47"/>
  <c r="AB21" i="47"/>
  <c r="AA21" i="47"/>
  <c r="Z21" i="47"/>
  <c r="Y21" i="47"/>
  <c r="X21" i="47"/>
  <c r="W21" i="47"/>
  <c r="V21" i="47"/>
  <c r="U21" i="47"/>
  <c r="T21" i="47"/>
  <c r="S21" i="47"/>
  <c r="R21" i="47"/>
  <c r="Q21" i="47"/>
  <c r="P21" i="47"/>
  <c r="O21" i="47"/>
  <c r="N21" i="47"/>
  <c r="M21" i="47"/>
  <c r="L21" i="47"/>
  <c r="AK20" i="47"/>
  <c r="AJ20" i="47"/>
  <c r="AI20" i="47"/>
  <c r="AH20" i="47"/>
  <c r="AG20" i="47"/>
  <c r="AF20" i="47"/>
  <c r="AE20" i="47"/>
  <c r="AD20" i="47"/>
  <c r="AC20" i="47"/>
  <c r="AB20" i="47"/>
  <c r="AA20" i="47"/>
  <c r="Z20" i="47"/>
  <c r="Y20" i="47"/>
  <c r="X20" i="47"/>
  <c r="W20" i="47"/>
  <c r="V20" i="47"/>
  <c r="U20" i="47"/>
  <c r="T20" i="47"/>
  <c r="S20" i="47"/>
  <c r="R20" i="47"/>
  <c r="Q20" i="47"/>
  <c r="P20" i="47"/>
  <c r="O20" i="47"/>
  <c r="N20" i="47"/>
  <c r="M20" i="47"/>
  <c r="L20" i="47"/>
  <c r="AK19" i="47"/>
  <c r="AJ19" i="47"/>
  <c r="AI19" i="47"/>
  <c r="AH19" i="47"/>
  <c r="AG19" i="47"/>
  <c r="AF19" i="47"/>
  <c r="AE19" i="47"/>
  <c r="AD19" i="47"/>
  <c r="AC19" i="47"/>
  <c r="AB19" i="47"/>
  <c r="AA19" i="47"/>
  <c r="Z19" i="47"/>
  <c r="Y19" i="47"/>
  <c r="X19" i="47"/>
  <c r="W19" i="47"/>
  <c r="V19" i="47"/>
  <c r="U19" i="47"/>
  <c r="T19" i="47"/>
  <c r="S19" i="47"/>
  <c r="R19" i="47"/>
  <c r="Q19" i="47"/>
  <c r="P19" i="47"/>
  <c r="O19" i="47"/>
  <c r="N19" i="47"/>
  <c r="M19" i="47"/>
  <c r="L19" i="47"/>
  <c r="AK18" i="47"/>
  <c r="AJ18" i="47"/>
  <c r="AI18" i="47"/>
  <c r="AH18" i="47"/>
  <c r="AG18" i="47"/>
  <c r="AF18" i="47"/>
  <c r="AE18" i="47"/>
  <c r="AD18" i="47"/>
  <c r="AC18" i="47"/>
  <c r="AB18" i="47"/>
  <c r="AA18" i="47"/>
  <c r="Z18" i="47"/>
  <c r="Y18" i="47"/>
  <c r="X18" i="47"/>
  <c r="W18" i="47"/>
  <c r="V18" i="47"/>
  <c r="U18" i="47"/>
  <c r="T18" i="47"/>
  <c r="S18" i="47"/>
  <c r="R18" i="47"/>
  <c r="Q18" i="47"/>
  <c r="P18" i="47"/>
  <c r="O18" i="47"/>
  <c r="N18" i="47"/>
  <c r="M18" i="47"/>
  <c r="L18" i="47"/>
  <c r="AK17" i="47"/>
  <c r="AJ17" i="47"/>
  <c r="AI17" i="47"/>
  <c r="AH17" i="47"/>
  <c r="AG17" i="47"/>
  <c r="AF17" i="47"/>
  <c r="AE17" i="47"/>
  <c r="AD17" i="47"/>
  <c r="AC17" i="47"/>
  <c r="AB17" i="47"/>
  <c r="AA17" i="47"/>
  <c r="Z17" i="47"/>
  <c r="Y17" i="47"/>
  <c r="X17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AK16" i="47"/>
  <c r="AJ16" i="47"/>
  <c r="AI16" i="47"/>
  <c r="AH16" i="47"/>
  <c r="AG16" i="47"/>
  <c r="AF16" i="47"/>
  <c r="AE16" i="47"/>
  <c r="AD16" i="47"/>
  <c r="AC16" i="47"/>
  <c r="AB16" i="47"/>
  <c r="AA16" i="47"/>
  <c r="Z16" i="47"/>
  <c r="Y16" i="47"/>
  <c r="X16" i="47"/>
  <c r="W16" i="47"/>
  <c r="V16" i="47"/>
  <c r="U16" i="47"/>
  <c r="T16" i="47"/>
  <c r="S16" i="47"/>
  <c r="R16" i="47"/>
  <c r="Q16" i="47"/>
  <c r="P16" i="47"/>
  <c r="O16" i="47"/>
  <c r="N16" i="47"/>
  <c r="M16" i="47"/>
  <c r="L16" i="47"/>
  <c r="AK15" i="47"/>
  <c r="AJ15" i="47"/>
  <c r="AI15" i="47"/>
  <c r="AH15" i="47"/>
  <c r="AG15" i="47"/>
  <c r="AF15" i="47"/>
  <c r="AE15" i="47"/>
  <c r="AD15" i="47"/>
  <c r="AC15" i="47"/>
  <c r="AB15" i="47"/>
  <c r="AA15" i="47"/>
  <c r="Z15" i="47"/>
  <c r="Y15" i="47"/>
  <c r="X15" i="47"/>
  <c r="W15" i="47"/>
  <c r="V15" i="47"/>
  <c r="U15" i="47"/>
  <c r="T15" i="47"/>
  <c r="S15" i="47"/>
  <c r="R15" i="47"/>
  <c r="Q15" i="47"/>
  <c r="P15" i="47"/>
  <c r="O15" i="47"/>
  <c r="N15" i="47"/>
  <c r="M15" i="47"/>
  <c r="L15" i="47"/>
  <c r="AK14" i="47"/>
  <c r="AJ14" i="47"/>
  <c r="AI14" i="47"/>
  <c r="AH14" i="47"/>
  <c r="AG14" i="47"/>
  <c r="AF14" i="47"/>
  <c r="AE14" i="47"/>
  <c r="AD14" i="47"/>
  <c r="AC14" i="47"/>
  <c r="AB14" i="47"/>
  <c r="AA14" i="47"/>
  <c r="Z14" i="47"/>
  <c r="Y14" i="47"/>
  <c r="X14" i="47"/>
  <c r="W14" i="47"/>
  <c r="V14" i="47"/>
  <c r="U14" i="47"/>
  <c r="T14" i="47"/>
  <c r="S14" i="47"/>
  <c r="R14" i="47"/>
  <c r="Q14" i="47"/>
  <c r="P14" i="47"/>
  <c r="O14" i="47"/>
  <c r="N14" i="47"/>
  <c r="M14" i="47"/>
  <c r="L14" i="47"/>
  <c r="AK13" i="47"/>
  <c r="AJ13" i="47"/>
  <c r="AI13" i="47"/>
  <c r="AH13" i="47"/>
  <c r="AG13" i="47"/>
  <c r="AF13" i="47"/>
  <c r="AE13" i="47"/>
  <c r="AD13" i="47"/>
  <c r="AC13" i="47"/>
  <c r="AB13" i="47"/>
  <c r="AA13" i="47"/>
  <c r="Z13" i="47"/>
  <c r="Y13" i="47"/>
  <c r="X13" i="47"/>
  <c r="W13" i="47"/>
  <c r="V13" i="47"/>
  <c r="U13" i="47"/>
  <c r="T13" i="47"/>
  <c r="S13" i="47"/>
  <c r="R13" i="47"/>
  <c r="Q13" i="47"/>
  <c r="P13" i="47"/>
  <c r="O13" i="47"/>
  <c r="N13" i="47"/>
  <c r="M13" i="47"/>
  <c r="L13" i="47"/>
  <c r="AK12" i="47"/>
  <c r="AJ12" i="47"/>
  <c r="AI12" i="47"/>
  <c r="AH12" i="47"/>
  <c r="AG12" i="47"/>
  <c r="AF12" i="47"/>
  <c r="AE12" i="47"/>
  <c r="AD12" i="47"/>
  <c r="AC12" i="47"/>
  <c r="AB12" i="47"/>
  <c r="AA12" i="47"/>
  <c r="Z12" i="47"/>
  <c r="Y12" i="47"/>
  <c r="X12" i="47"/>
  <c r="W12" i="47"/>
  <c r="V12" i="47"/>
  <c r="U12" i="47"/>
  <c r="T12" i="47"/>
  <c r="S12" i="47"/>
  <c r="R12" i="47"/>
  <c r="Q12" i="47"/>
  <c r="P12" i="47"/>
  <c r="O12" i="47"/>
  <c r="N12" i="47"/>
  <c r="M12" i="47"/>
  <c r="L12" i="47"/>
  <c r="AK11" i="47"/>
  <c r="AJ11" i="47"/>
  <c r="AI11" i="47"/>
  <c r="AH11" i="47"/>
  <c r="AG11" i="47"/>
  <c r="AF11" i="47"/>
  <c r="AE11" i="47"/>
  <c r="AD11" i="47"/>
  <c r="AC11" i="47"/>
  <c r="AB11" i="47"/>
  <c r="AA11" i="47"/>
  <c r="Z11" i="47"/>
  <c r="Y11" i="47"/>
  <c r="X11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AK10" i="47"/>
  <c r="AJ10" i="47"/>
  <c r="AI10" i="47"/>
  <c r="AH10" i="47"/>
  <c r="AG10" i="47"/>
  <c r="AF10" i="47"/>
  <c r="AE10" i="47"/>
  <c r="AD10" i="47"/>
  <c r="AC10" i="47"/>
  <c r="AB10" i="47"/>
  <c r="AA10" i="47"/>
  <c r="Z10" i="47"/>
  <c r="Y10" i="47"/>
  <c r="X10" i="47"/>
  <c r="W10" i="47"/>
  <c r="V10" i="47"/>
  <c r="U10" i="47"/>
  <c r="T10" i="47"/>
  <c r="S10" i="47"/>
  <c r="R10" i="47"/>
  <c r="Q10" i="47"/>
  <c r="P10" i="47"/>
  <c r="O10" i="47"/>
  <c r="N10" i="47"/>
  <c r="M10" i="47"/>
  <c r="L10" i="47"/>
  <c r="AK9" i="47"/>
  <c r="AJ9" i="47"/>
  <c r="AI9" i="47"/>
  <c r="AH9" i="47"/>
  <c r="AG9" i="47"/>
  <c r="AF9" i="47"/>
  <c r="AE9" i="47"/>
  <c r="AD9" i="47"/>
  <c r="AC9" i="47"/>
  <c r="AB9" i="47"/>
  <c r="AA9" i="47"/>
  <c r="Z9" i="47"/>
  <c r="Y9" i="47"/>
  <c r="X9" i="47"/>
  <c r="W9" i="47"/>
  <c r="V9" i="47"/>
  <c r="U9" i="47"/>
  <c r="T9" i="47"/>
  <c r="S9" i="47"/>
  <c r="R9" i="47"/>
  <c r="Q9" i="47"/>
  <c r="P9" i="47"/>
  <c r="O9" i="47"/>
  <c r="N9" i="47"/>
  <c r="M9" i="47"/>
  <c r="L9" i="47"/>
  <c r="AK8" i="47"/>
  <c r="AJ8" i="47"/>
  <c r="AI8" i="47"/>
  <c r="AH8" i="47"/>
  <c r="AG8" i="47"/>
  <c r="AF8" i="47"/>
  <c r="AE8" i="47"/>
  <c r="AD8" i="47"/>
  <c r="AC8" i="47"/>
  <c r="AB8" i="47"/>
  <c r="AA8" i="47"/>
  <c r="Z8" i="47"/>
  <c r="Y8" i="47"/>
  <c r="X8" i="47"/>
  <c r="W8" i="47"/>
  <c r="V8" i="47"/>
  <c r="U8" i="47"/>
  <c r="T8" i="47"/>
  <c r="S8" i="47"/>
  <c r="R8" i="47"/>
  <c r="Q8" i="47"/>
  <c r="P8" i="47"/>
  <c r="O8" i="47"/>
  <c r="N8" i="47"/>
  <c r="M8" i="47"/>
  <c r="L8" i="47"/>
  <c r="AK7" i="47"/>
  <c r="AJ7" i="47"/>
  <c r="AI7" i="47"/>
  <c r="AH7" i="47"/>
  <c r="AG7" i="47"/>
  <c r="AF7" i="47"/>
  <c r="AE7" i="47"/>
  <c r="AD7" i="47"/>
  <c r="AC7" i="47"/>
  <c r="AB7" i="47"/>
  <c r="AA7" i="47"/>
  <c r="Z7" i="47"/>
  <c r="Y7" i="47"/>
  <c r="X7" i="47"/>
  <c r="W7" i="47"/>
  <c r="V7" i="47"/>
  <c r="U7" i="47"/>
  <c r="T7" i="47"/>
  <c r="S7" i="47"/>
  <c r="R7" i="47"/>
  <c r="Q7" i="47"/>
  <c r="P7" i="47"/>
  <c r="O7" i="47"/>
  <c r="N7" i="47"/>
  <c r="M7" i="47"/>
  <c r="L7" i="47"/>
  <c r="AK6" i="47"/>
  <c r="AJ6" i="47"/>
  <c r="AI6" i="47"/>
  <c r="AH6" i="47"/>
  <c r="AG6" i="47"/>
  <c r="AF6" i="47"/>
  <c r="AE6" i="47"/>
  <c r="AD6" i="47"/>
  <c r="AC6" i="47"/>
  <c r="AB6" i="47"/>
  <c r="AA6" i="47"/>
  <c r="Z6" i="47"/>
  <c r="Y6" i="47"/>
  <c r="X6" i="47"/>
  <c r="W6" i="47"/>
  <c r="V6" i="47"/>
  <c r="U6" i="47"/>
  <c r="T6" i="47"/>
  <c r="S6" i="47"/>
  <c r="R6" i="47"/>
  <c r="Q6" i="47"/>
  <c r="P6" i="47"/>
  <c r="O6" i="47"/>
  <c r="N6" i="47"/>
  <c r="M6" i="47"/>
  <c r="L6" i="47"/>
  <c r="I6" i="47"/>
  <c r="H6" i="47"/>
  <c r="F1" i="47"/>
  <c r="AK97" i="101"/>
  <c r="AJ97" i="101"/>
  <c r="AI97" i="101"/>
  <c r="AH97" i="101"/>
  <c r="AG97" i="101"/>
  <c r="AF97" i="101"/>
  <c r="AE97" i="101"/>
  <c r="AD97" i="101"/>
  <c r="AC97" i="101"/>
  <c r="AB97" i="101"/>
  <c r="AA97" i="101"/>
  <c r="Z97" i="101"/>
  <c r="Y97" i="101"/>
  <c r="X97" i="101"/>
  <c r="W97" i="101"/>
  <c r="V97" i="101"/>
  <c r="U97" i="101"/>
  <c r="T97" i="101"/>
  <c r="S97" i="101"/>
  <c r="R97" i="101"/>
  <c r="Q97" i="101"/>
  <c r="P97" i="101"/>
  <c r="O97" i="101"/>
  <c r="N97" i="101"/>
  <c r="M97" i="101"/>
  <c r="L97" i="101"/>
  <c r="J97" i="101"/>
  <c r="I97" i="101"/>
  <c r="B2" i="101" s="1"/>
  <c r="H97" i="101"/>
  <c r="G97" i="101"/>
  <c r="AL96" i="101"/>
  <c r="AM96" i="101" s="1"/>
  <c r="AL95" i="101"/>
  <c r="AM95" i="101" s="1"/>
  <c r="AL94" i="101"/>
  <c r="AM94" i="101" s="1"/>
  <c r="AL93" i="101"/>
  <c r="AM93" i="101" s="1"/>
  <c r="AL92" i="101"/>
  <c r="AM92" i="101" s="1"/>
  <c r="AL91" i="101"/>
  <c r="AM91" i="101" s="1"/>
  <c r="AL90" i="101"/>
  <c r="AM90" i="101" s="1"/>
  <c r="AL89" i="101"/>
  <c r="AM89" i="101" s="1"/>
  <c r="AL88" i="101"/>
  <c r="AM88" i="101" s="1"/>
  <c r="AL87" i="101"/>
  <c r="AM87" i="101" s="1"/>
  <c r="AL86" i="101"/>
  <c r="AM86" i="101" s="1"/>
  <c r="AL85" i="101"/>
  <c r="AM85" i="101" s="1"/>
  <c r="AL84" i="101"/>
  <c r="AM84" i="101" s="1"/>
  <c r="AL83" i="101"/>
  <c r="AM83" i="101" s="1"/>
  <c r="AL82" i="101"/>
  <c r="AM82" i="101" s="1"/>
  <c r="AL81" i="101"/>
  <c r="AM81" i="101" s="1"/>
  <c r="AL80" i="101"/>
  <c r="AM80" i="101" s="1"/>
  <c r="AL79" i="101"/>
  <c r="AM79" i="101" s="1"/>
  <c r="AL78" i="101"/>
  <c r="AM78" i="101" s="1"/>
  <c r="AL77" i="101"/>
  <c r="AM77" i="101" s="1"/>
  <c r="AL76" i="101"/>
  <c r="AM76" i="101" s="1"/>
  <c r="AL75" i="101"/>
  <c r="AM75" i="101" s="1"/>
  <c r="AL74" i="101"/>
  <c r="AM74" i="101" s="1"/>
  <c r="AL73" i="101"/>
  <c r="AM73" i="101" s="1"/>
  <c r="AL72" i="101"/>
  <c r="AM72" i="101" s="1"/>
  <c r="AL71" i="101"/>
  <c r="AM71" i="101" s="1"/>
  <c r="AL70" i="101"/>
  <c r="AM70" i="101" s="1"/>
  <c r="AL69" i="101"/>
  <c r="AM69" i="101" s="1"/>
  <c r="AL68" i="101"/>
  <c r="AM68" i="101" s="1"/>
  <c r="AL67" i="101"/>
  <c r="AM67" i="101" s="1"/>
  <c r="AL66" i="101"/>
  <c r="AM66" i="101" s="1"/>
  <c r="AL65" i="101"/>
  <c r="AM65" i="101" s="1"/>
  <c r="AL64" i="101"/>
  <c r="AM64" i="101" s="1"/>
  <c r="AL63" i="101"/>
  <c r="AM63" i="101" s="1"/>
  <c r="AL62" i="101"/>
  <c r="AM62" i="101" s="1"/>
  <c r="AL61" i="101"/>
  <c r="AM61" i="101" s="1"/>
  <c r="AL60" i="101"/>
  <c r="AM60" i="101" s="1"/>
  <c r="AL59" i="101"/>
  <c r="AM59" i="101" s="1"/>
  <c r="AL58" i="101"/>
  <c r="AM58" i="101" s="1"/>
  <c r="AL57" i="101"/>
  <c r="AM57" i="101" s="1"/>
  <c r="AL56" i="101"/>
  <c r="AM56" i="101" s="1"/>
  <c r="AL55" i="101"/>
  <c r="AM55" i="101" s="1"/>
  <c r="AL54" i="101"/>
  <c r="AM54" i="101" s="1"/>
  <c r="AL53" i="101"/>
  <c r="AM53" i="101" s="1"/>
  <c r="AL52" i="101"/>
  <c r="AM52" i="101" s="1"/>
  <c r="AL51" i="101"/>
  <c r="AM51" i="101" s="1"/>
  <c r="AL50" i="101"/>
  <c r="AM50" i="101" s="1"/>
  <c r="AL49" i="101"/>
  <c r="AM49" i="101" s="1"/>
  <c r="AL48" i="101"/>
  <c r="AM48" i="101" s="1"/>
  <c r="AL47" i="101"/>
  <c r="AM47" i="101" s="1"/>
  <c r="AL46" i="101"/>
  <c r="AM46" i="101" s="1"/>
  <c r="AL45" i="101"/>
  <c r="AM45" i="101" s="1"/>
  <c r="AL44" i="101"/>
  <c r="AM44" i="101" s="1"/>
  <c r="AL43" i="101"/>
  <c r="AM43" i="101" s="1"/>
  <c r="AL42" i="101"/>
  <c r="AM42" i="101" s="1"/>
  <c r="AL41" i="101"/>
  <c r="AM41" i="101" s="1"/>
  <c r="AL40" i="101"/>
  <c r="AM40" i="101" s="1"/>
  <c r="AL39" i="101"/>
  <c r="AM39" i="101" s="1"/>
  <c r="AL38" i="101"/>
  <c r="AM38" i="101" s="1"/>
  <c r="AL37" i="101"/>
  <c r="AM37" i="101" s="1"/>
  <c r="AL36" i="101"/>
  <c r="AM36" i="101" s="1"/>
  <c r="AL35" i="101"/>
  <c r="AM35" i="101" s="1"/>
  <c r="AL34" i="101"/>
  <c r="AM34" i="101" s="1"/>
  <c r="AL33" i="101"/>
  <c r="AM33" i="101" s="1"/>
  <c r="AL32" i="101"/>
  <c r="AM32" i="101" s="1"/>
  <c r="AL31" i="101"/>
  <c r="AM31" i="101" s="1"/>
  <c r="AL30" i="101"/>
  <c r="AM30" i="101" s="1"/>
  <c r="AL29" i="101"/>
  <c r="AM29" i="101" s="1"/>
  <c r="AL28" i="101"/>
  <c r="AL27" i="101"/>
  <c r="AM27" i="101" s="1"/>
  <c r="AL26" i="101"/>
  <c r="AM26" i="101" s="1"/>
  <c r="AL25" i="101"/>
  <c r="AM25" i="101" s="1"/>
  <c r="AL24" i="101"/>
  <c r="AM24" i="101" s="1"/>
  <c r="AL23" i="101"/>
  <c r="AM23" i="101" s="1"/>
  <c r="AL22" i="101"/>
  <c r="AM22" i="101" s="1"/>
  <c r="AL21" i="101"/>
  <c r="AM21" i="101" s="1"/>
  <c r="AL20" i="101"/>
  <c r="AM20" i="101" s="1"/>
  <c r="AL19" i="101"/>
  <c r="AM19" i="101" s="1"/>
  <c r="AL18" i="101"/>
  <c r="AM18" i="101" s="1"/>
  <c r="AL17" i="101"/>
  <c r="AM17" i="101" s="1"/>
  <c r="AL16" i="101"/>
  <c r="AM16" i="101" s="1"/>
  <c r="AL15" i="101"/>
  <c r="AM15" i="101" s="1"/>
  <c r="AL14" i="101"/>
  <c r="AM14" i="101" s="1"/>
  <c r="AL13" i="101"/>
  <c r="AM13" i="101" s="1"/>
  <c r="AL12" i="101"/>
  <c r="AM12" i="101" s="1"/>
  <c r="AL11" i="101"/>
  <c r="AL10" i="101"/>
  <c r="AM10" i="101" s="1"/>
  <c r="AL9" i="101"/>
  <c r="AM9" i="101" s="1"/>
  <c r="AL8" i="101"/>
  <c r="AM8" i="101" s="1"/>
  <c r="AL7" i="101"/>
  <c r="AM7" i="101" s="1"/>
  <c r="AL6" i="101"/>
  <c r="AM6" i="101" s="1"/>
  <c r="AK3" i="101"/>
  <c r="AJ3" i="101"/>
  <c r="AI3" i="101"/>
  <c r="AH3" i="101"/>
  <c r="AG3" i="101"/>
  <c r="AF3" i="101"/>
  <c r="AE3" i="101"/>
  <c r="AD3" i="101"/>
  <c r="AC3" i="101"/>
  <c r="AB3" i="101"/>
  <c r="AA3" i="101"/>
  <c r="Z3" i="101"/>
  <c r="Y3" i="101"/>
  <c r="X3" i="101"/>
  <c r="W3" i="101"/>
  <c r="V3" i="101"/>
  <c r="U3" i="101"/>
  <c r="T3" i="101"/>
  <c r="S3" i="101"/>
  <c r="R3" i="101"/>
  <c r="Q3" i="101"/>
  <c r="P3" i="101"/>
  <c r="O3" i="101"/>
  <c r="N3" i="101"/>
  <c r="M3" i="101"/>
  <c r="L3" i="101"/>
  <c r="AK2" i="101"/>
  <c r="AJ2" i="101"/>
  <c r="AI2" i="101"/>
  <c r="AH2" i="101"/>
  <c r="AG2" i="101"/>
  <c r="AF2" i="101"/>
  <c r="AE2" i="101"/>
  <c r="AD2" i="101"/>
  <c r="AC2" i="101"/>
  <c r="AB2" i="101"/>
  <c r="AA2" i="101"/>
  <c r="Z2" i="101"/>
  <c r="Y2" i="101"/>
  <c r="X2" i="101"/>
  <c r="W2" i="101"/>
  <c r="V2" i="101"/>
  <c r="U2" i="101"/>
  <c r="T2" i="101"/>
  <c r="S2" i="101"/>
  <c r="R2" i="101"/>
  <c r="Q2" i="101"/>
  <c r="P2" i="101"/>
  <c r="O2" i="101"/>
  <c r="N2" i="101"/>
  <c r="M2" i="101"/>
  <c r="L2" i="101"/>
  <c r="F1" i="101"/>
  <c r="AK97" i="103"/>
  <c r="AJ97" i="103"/>
  <c r="AI97" i="103"/>
  <c r="AH97" i="103"/>
  <c r="AG97" i="103"/>
  <c r="AF97" i="103"/>
  <c r="AE97" i="103"/>
  <c r="AD97" i="103"/>
  <c r="AC97" i="103"/>
  <c r="AB97" i="103"/>
  <c r="AA97" i="103"/>
  <c r="Z97" i="103"/>
  <c r="Y97" i="103"/>
  <c r="X97" i="103"/>
  <c r="W97" i="103"/>
  <c r="V97" i="103"/>
  <c r="U97" i="103"/>
  <c r="T97" i="103"/>
  <c r="S97" i="103"/>
  <c r="R97" i="103"/>
  <c r="Q97" i="103"/>
  <c r="P97" i="103"/>
  <c r="O97" i="103"/>
  <c r="N97" i="103"/>
  <c r="M97" i="103"/>
  <c r="L97" i="103"/>
  <c r="J97" i="103"/>
  <c r="I97" i="103"/>
  <c r="B2" i="103" s="1"/>
  <c r="H97" i="103"/>
  <c r="B1" i="103" s="1"/>
  <c r="G97" i="103"/>
  <c r="F1" i="103" s="1"/>
  <c r="AL96" i="103"/>
  <c r="AM96" i="103" s="1"/>
  <c r="AL95" i="103"/>
  <c r="AM95" i="103" s="1"/>
  <c r="AL94" i="103"/>
  <c r="AM94" i="103" s="1"/>
  <c r="AL93" i="103"/>
  <c r="AM93" i="103" s="1"/>
  <c r="AL92" i="103"/>
  <c r="AM92" i="103" s="1"/>
  <c r="AL91" i="103"/>
  <c r="AM91" i="103" s="1"/>
  <c r="AL90" i="103"/>
  <c r="AM90" i="103" s="1"/>
  <c r="AL89" i="103"/>
  <c r="AM89" i="103" s="1"/>
  <c r="AL88" i="103"/>
  <c r="AM88" i="103" s="1"/>
  <c r="AL87" i="103"/>
  <c r="AM87" i="103" s="1"/>
  <c r="AL86" i="103"/>
  <c r="AM86" i="103" s="1"/>
  <c r="AL85" i="103"/>
  <c r="AM85" i="103" s="1"/>
  <c r="AL84" i="103"/>
  <c r="AM84" i="103" s="1"/>
  <c r="AL83" i="103"/>
  <c r="AM83" i="103" s="1"/>
  <c r="AL82" i="103"/>
  <c r="AM82" i="103" s="1"/>
  <c r="AL81" i="103"/>
  <c r="AM81" i="103" s="1"/>
  <c r="AL80" i="103"/>
  <c r="AM80" i="103" s="1"/>
  <c r="AL79" i="103"/>
  <c r="AM79" i="103" s="1"/>
  <c r="AL78" i="103"/>
  <c r="AM78" i="103" s="1"/>
  <c r="AL77" i="103"/>
  <c r="AM77" i="103" s="1"/>
  <c r="AL76" i="103"/>
  <c r="AM76" i="103" s="1"/>
  <c r="AL75" i="103"/>
  <c r="AM75" i="103" s="1"/>
  <c r="AL74" i="103"/>
  <c r="AM74" i="103" s="1"/>
  <c r="AL73" i="103"/>
  <c r="AM73" i="103" s="1"/>
  <c r="AL72" i="103"/>
  <c r="AM72" i="103" s="1"/>
  <c r="AL71" i="103"/>
  <c r="AM71" i="103" s="1"/>
  <c r="AL70" i="103"/>
  <c r="AM70" i="103" s="1"/>
  <c r="AL69" i="103"/>
  <c r="AM69" i="103" s="1"/>
  <c r="AL68" i="103"/>
  <c r="AM68" i="103" s="1"/>
  <c r="AL67" i="103"/>
  <c r="AM67" i="103" s="1"/>
  <c r="AL66" i="103"/>
  <c r="AM66" i="103" s="1"/>
  <c r="AL65" i="103"/>
  <c r="AM65" i="103" s="1"/>
  <c r="AL64" i="103"/>
  <c r="AM64" i="103" s="1"/>
  <c r="AL63" i="103"/>
  <c r="AM63" i="103" s="1"/>
  <c r="AL62" i="103"/>
  <c r="AM62" i="103" s="1"/>
  <c r="AL61" i="103"/>
  <c r="AM61" i="103" s="1"/>
  <c r="AL60" i="103"/>
  <c r="AM60" i="103" s="1"/>
  <c r="AL59" i="103"/>
  <c r="AM59" i="103" s="1"/>
  <c r="AL58" i="103"/>
  <c r="AM58" i="103" s="1"/>
  <c r="AL57" i="103"/>
  <c r="AM57" i="103" s="1"/>
  <c r="AL56" i="103"/>
  <c r="AM56" i="103" s="1"/>
  <c r="AL55" i="103"/>
  <c r="AM55" i="103" s="1"/>
  <c r="AL54" i="103"/>
  <c r="AM54" i="103" s="1"/>
  <c r="AL53" i="103"/>
  <c r="AM53" i="103" s="1"/>
  <c r="AL52" i="103"/>
  <c r="AM52" i="103" s="1"/>
  <c r="AL51" i="103"/>
  <c r="AM51" i="103" s="1"/>
  <c r="AL50" i="103"/>
  <c r="AM50" i="103" s="1"/>
  <c r="AL49" i="103"/>
  <c r="AM49" i="103" s="1"/>
  <c r="AL48" i="103"/>
  <c r="AM48" i="103" s="1"/>
  <c r="AL47" i="103"/>
  <c r="AM47" i="103" s="1"/>
  <c r="AL46" i="103"/>
  <c r="AM46" i="103" s="1"/>
  <c r="AL45" i="103"/>
  <c r="AM45" i="103" s="1"/>
  <c r="AL44" i="103"/>
  <c r="AM44" i="103" s="1"/>
  <c r="AL43" i="103"/>
  <c r="AM43" i="103" s="1"/>
  <c r="AL42" i="103"/>
  <c r="AM42" i="103" s="1"/>
  <c r="AL41" i="103"/>
  <c r="AM41" i="103" s="1"/>
  <c r="AL40" i="103"/>
  <c r="AM40" i="103" s="1"/>
  <c r="AL39" i="103"/>
  <c r="AM39" i="103" s="1"/>
  <c r="AL38" i="103"/>
  <c r="AM38" i="103" s="1"/>
  <c r="AL37" i="103"/>
  <c r="AM37" i="103" s="1"/>
  <c r="AL36" i="103"/>
  <c r="AM36" i="103" s="1"/>
  <c r="AL35" i="103"/>
  <c r="AM35" i="103" s="1"/>
  <c r="AL34" i="103"/>
  <c r="AM34" i="103" s="1"/>
  <c r="AL33" i="103"/>
  <c r="AM33" i="103" s="1"/>
  <c r="AL32" i="103"/>
  <c r="AM32" i="103" s="1"/>
  <c r="AL31" i="103"/>
  <c r="AM31" i="103" s="1"/>
  <c r="AL30" i="103"/>
  <c r="AM30" i="103" s="1"/>
  <c r="AL29" i="103"/>
  <c r="AM29" i="103" s="1"/>
  <c r="AL28" i="103"/>
  <c r="AM28" i="103" s="1"/>
  <c r="AL27" i="103"/>
  <c r="AM27" i="103" s="1"/>
  <c r="AL26" i="103"/>
  <c r="AM26" i="103" s="1"/>
  <c r="AL25" i="103"/>
  <c r="AM25" i="103" s="1"/>
  <c r="AL24" i="103"/>
  <c r="AM24" i="103" s="1"/>
  <c r="AL23" i="103"/>
  <c r="AM23" i="103" s="1"/>
  <c r="AL22" i="103"/>
  <c r="AM22" i="103" s="1"/>
  <c r="AL21" i="103"/>
  <c r="AM21" i="103" s="1"/>
  <c r="AL20" i="103"/>
  <c r="AM20" i="103" s="1"/>
  <c r="AL19" i="103"/>
  <c r="AM19" i="103" s="1"/>
  <c r="AL18" i="103"/>
  <c r="AM18" i="103" s="1"/>
  <c r="AL17" i="103"/>
  <c r="AM17" i="103" s="1"/>
  <c r="AL16" i="103"/>
  <c r="AM16" i="103" s="1"/>
  <c r="AL15" i="103"/>
  <c r="AM15" i="103" s="1"/>
  <c r="AL14" i="103"/>
  <c r="AM14" i="103" s="1"/>
  <c r="AL13" i="103"/>
  <c r="AM13" i="103" s="1"/>
  <c r="AL12" i="103"/>
  <c r="AM12" i="103" s="1"/>
  <c r="AL11" i="103"/>
  <c r="AM11" i="103" s="1"/>
  <c r="AL10" i="103"/>
  <c r="AM10" i="103" s="1"/>
  <c r="AL9" i="103"/>
  <c r="AM9" i="103" s="1"/>
  <c r="AL8" i="103"/>
  <c r="AM8" i="103" s="1"/>
  <c r="AL7" i="103"/>
  <c r="AM7" i="103" s="1"/>
  <c r="AL6" i="103"/>
  <c r="AK3" i="103"/>
  <c r="AJ3" i="103"/>
  <c r="AI3" i="103"/>
  <c r="AH3" i="103"/>
  <c r="AG3" i="103"/>
  <c r="AF3" i="103"/>
  <c r="AE3" i="103"/>
  <c r="AD3" i="103"/>
  <c r="AC3" i="103"/>
  <c r="AB3" i="103"/>
  <c r="AA3" i="103"/>
  <c r="Z3" i="103"/>
  <c r="Y3" i="103"/>
  <c r="X3" i="103"/>
  <c r="W3" i="103"/>
  <c r="V3" i="103"/>
  <c r="U3" i="103"/>
  <c r="T3" i="103"/>
  <c r="S3" i="103"/>
  <c r="R3" i="103"/>
  <c r="Q3" i="103"/>
  <c r="P3" i="103"/>
  <c r="O3" i="103"/>
  <c r="N3" i="103"/>
  <c r="M3" i="103"/>
  <c r="L3" i="103"/>
  <c r="AK2" i="103"/>
  <c r="AJ2" i="103"/>
  <c r="AI2" i="103"/>
  <c r="AH2" i="103"/>
  <c r="AG2" i="103"/>
  <c r="AF2" i="103"/>
  <c r="AE2" i="103"/>
  <c r="AD2" i="103"/>
  <c r="AC2" i="103"/>
  <c r="AB2" i="103"/>
  <c r="AA2" i="103"/>
  <c r="Z2" i="103"/>
  <c r="Y2" i="103"/>
  <c r="X2" i="103"/>
  <c r="W2" i="103"/>
  <c r="V2" i="103"/>
  <c r="U2" i="103"/>
  <c r="T2" i="103"/>
  <c r="S2" i="103"/>
  <c r="R2" i="103"/>
  <c r="Q2" i="103"/>
  <c r="P2" i="103"/>
  <c r="O2" i="103"/>
  <c r="N2" i="103"/>
  <c r="M2" i="103"/>
  <c r="L2" i="103"/>
  <c r="AK97" i="102"/>
  <c r="AJ97" i="102"/>
  <c r="AI97" i="102"/>
  <c r="AH97" i="102"/>
  <c r="AG97" i="102"/>
  <c r="AF97" i="102"/>
  <c r="AE97" i="102"/>
  <c r="AD97" i="102"/>
  <c r="AC97" i="102"/>
  <c r="AB97" i="102"/>
  <c r="AA97" i="102"/>
  <c r="Z97" i="102"/>
  <c r="Y97" i="102"/>
  <c r="X97" i="102"/>
  <c r="W97" i="102"/>
  <c r="V97" i="102"/>
  <c r="U97" i="102"/>
  <c r="T97" i="102"/>
  <c r="S97" i="102"/>
  <c r="R97" i="102"/>
  <c r="Q97" i="102"/>
  <c r="P97" i="102"/>
  <c r="O97" i="102"/>
  <c r="N97" i="102"/>
  <c r="M97" i="102"/>
  <c r="L97" i="102"/>
  <c r="J97" i="102"/>
  <c r="I97" i="102"/>
  <c r="B2" i="102" s="1"/>
  <c r="G97" i="102"/>
  <c r="F1" i="102" s="1"/>
  <c r="AL96" i="102"/>
  <c r="AM96" i="102" s="1"/>
  <c r="AL95" i="102"/>
  <c r="AM95" i="102" s="1"/>
  <c r="AL94" i="102"/>
  <c r="AM94" i="102" s="1"/>
  <c r="AL93" i="102"/>
  <c r="AM93" i="102" s="1"/>
  <c r="AL92" i="102"/>
  <c r="AM92" i="102" s="1"/>
  <c r="AL91" i="102"/>
  <c r="AM91" i="102" s="1"/>
  <c r="AL90" i="102"/>
  <c r="AM90" i="102" s="1"/>
  <c r="AL89" i="102"/>
  <c r="AM89" i="102" s="1"/>
  <c r="AL88" i="102"/>
  <c r="AM88" i="102" s="1"/>
  <c r="AL87" i="102"/>
  <c r="AM87" i="102" s="1"/>
  <c r="AL86" i="102"/>
  <c r="AM86" i="102" s="1"/>
  <c r="AL85" i="102"/>
  <c r="AM85" i="102" s="1"/>
  <c r="AL84" i="102"/>
  <c r="AM84" i="102" s="1"/>
  <c r="AL83" i="102"/>
  <c r="AM83" i="102" s="1"/>
  <c r="AL82" i="102"/>
  <c r="AM82" i="102" s="1"/>
  <c r="AL81" i="102"/>
  <c r="AM81" i="102" s="1"/>
  <c r="AL80" i="102"/>
  <c r="AM80" i="102" s="1"/>
  <c r="AL79" i="102"/>
  <c r="AM79" i="102" s="1"/>
  <c r="AL78" i="102"/>
  <c r="AM78" i="102" s="1"/>
  <c r="AL77" i="102"/>
  <c r="AM77" i="102" s="1"/>
  <c r="AL76" i="102"/>
  <c r="AM76" i="102" s="1"/>
  <c r="AL75" i="102"/>
  <c r="AM75" i="102" s="1"/>
  <c r="AL74" i="102"/>
  <c r="AM74" i="102" s="1"/>
  <c r="AL73" i="102"/>
  <c r="AM73" i="102" s="1"/>
  <c r="AL72" i="102"/>
  <c r="AM72" i="102" s="1"/>
  <c r="AL71" i="102"/>
  <c r="AM71" i="102" s="1"/>
  <c r="AL70" i="102"/>
  <c r="AM70" i="102" s="1"/>
  <c r="AL69" i="102"/>
  <c r="AM69" i="102" s="1"/>
  <c r="AL68" i="102"/>
  <c r="AM68" i="102" s="1"/>
  <c r="AL67" i="102"/>
  <c r="AM67" i="102" s="1"/>
  <c r="AL66" i="102"/>
  <c r="AM66" i="102" s="1"/>
  <c r="AL65" i="102"/>
  <c r="AM65" i="102" s="1"/>
  <c r="AL64" i="102"/>
  <c r="AM64" i="102" s="1"/>
  <c r="AL63" i="102"/>
  <c r="AM63" i="102" s="1"/>
  <c r="AL62" i="102"/>
  <c r="AM62" i="102" s="1"/>
  <c r="AL61" i="102"/>
  <c r="AM61" i="102" s="1"/>
  <c r="AL60" i="102"/>
  <c r="AL59" i="102"/>
  <c r="AM59" i="102" s="1"/>
  <c r="AL58" i="102"/>
  <c r="AM58" i="102" s="1"/>
  <c r="AL57" i="102"/>
  <c r="AM57" i="102" s="1"/>
  <c r="AL56" i="102"/>
  <c r="AM56" i="102" s="1"/>
  <c r="AL55" i="102"/>
  <c r="AM55" i="102" s="1"/>
  <c r="AL54" i="102"/>
  <c r="AM54" i="102" s="1"/>
  <c r="AL53" i="102"/>
  <c r="AM53" i="102" s="1"/>
  <c r="AL52" i="102"/>
  <c r="AM52" i="102" s="1"/>
  <c r="AL51" i="102"/>
  <c r="AM51" i="102" s="1"/>
  <c r="AL50" i="102"/>
  <c r="AM50" i="102" s="1"/>
  <c r="AL49" i="102"/>
  <c r="AM49" i="102" s="1"/>
  <c r="AL48" i="102"/>
  <c r="AM48" i="102" s="1"/>
  <c r="AL47" i="102"/>
  <c r="AM47" i="102" s="1"/>
  <c r="AL46" i="102"/>
  <c r="AM46" i="102" s="1"/>
  <c r="AL45" i="102"/>
  <c r="AM45" i="102" s="1"/>
  <c r="AL44" i="102"/>
  <c r="AM44" i="102" s="1"/>
  <c r="AL43" i="102"/>
  <c r="AM43" i="102" s="1"/>
  <c r="AL42" i="102"/>
  <c r="AM42" i="102" s="1"/>
  <c r="AL41" i="102"/>
  <c r="AM41" i="102" s="1"/>
  <c r="AL40" i="102"/>
  <c r="AM40" i="102" s="1"/>
  <c r="AL39" i="102"/>
  <c r="AM39" i="102" s="1"/>
  <c r="AL38" i="102"/>
  <c r="AM38" i="102" s="1"/>
  <c r="AL37" i="102"/>
  <c r="AM37" i="102" s="1"/>
  <c r="AL36" i="102"/>
  <c r="AM36" i="102" s="1"/>
  <c r="AL35" i="102"/>
  <c r="AM35" i="102" s="1"/>
  <c r="AL34" i="102"/>
  <c r="AM34" i="102" s="1"/>
  <c r="AL33" i="102"/>
  <c r="AM33" i="102" s="1"/>
  <c r="AL32" i="102"/>
  <c r="AM32" i="102" s="1"/>
  <c r="AL31" i="102"/>
  <c r="AM31" i="102" s="1"/>
  <c r="AL30" i="102"/>
  <c r="AM30" i="102" s="1"/>
  <c r="AL29" i="102"/>
  <c r="AM29" i="102" s="1"/>
  <c r="AL28" i="102"/>
  <c r="AM28" i="102" s="1"/>
  <c r="AL27" i="102"/>
  <c r="AM27" i="102" s="1"/>
  <c r="AL26" i="102"/>
  <c r="AM26" i="102" s="1"/>
  <c r="AL25" i="102"/>
  <c r="AM25" i="102" s="1"/>
  <c r="AL24" i="102"/>
  <c r="AM24" i="102" s="1"/>
  <c r="AL23" i="102"/>
  <c r="AM23" i="102" s="1"/>
  <c r="AL22" i="102"/>
  <c r="AM22" i="102" s="1"/>
  <c r="AL21" i="102"/>
  <c r="AM21" i="102" s="1"/>
  <c r="AL20" i="102"/>
  <c r="AM20" i="102" s="1"/>
  <c r="AL19" i="102"/>
  <c r="AM19" i="102" s="1"/>
  <c r="AL18" i="102"/>
  <c r="AM18" i="102" s="1"/>
  <c r="AL17" i="102"/>
  <c r="AM17" i="102" s="1"/>
  <c r="AL16" i="102"/>
  <c r="AM16" i="102" s="1"/>
  <c r="AL15" i="102"/>
  <c r="AM15" i="102" s="1"/>
  <c r="AL14" i="102"/>
  <c r="AM14" i="102" s="1"/>
  <c r="AL13" i="102"/>
  <c r="AM13" i="102" s="1"/>
  <c r="AL12" i="102"/>
  <c r="AM12" i="102" s="1"/>
  <c r="AL11" i="102"/>
  <c r="AM11" i="102" s="1"/>
  <c r="AL10" i="102"/>
  <c r="AM10" i="102" s="1"/>
  <c r="AL9" i="102"/>
  <c r="AM9" i="102" s="1"/>
  <c r="AL8" i="102"/>
  <c r="AM8" i="102" s="1"/>
  <c r="AL7" i="102"/>
  <c r="AM7" i="102" s="1"/>
  <c r="AL6" i="102"/>
  <c r="AM6" i="102" s="1"/>
  <c r="AK3" i="102"/>
  <c r="AJ3" i="102"/>
  <c r="AI3" i="102"/>
  <c r="AH3" i="102"/>
  <c r="AG3" i="102"/>
  <c r="AF3" i="102"/>
  <c r="AE3" i="102"/>
  <c r="AD3" i="102"/>
  <c r="AC3" i="102"/>
  <c r="AB3" i="102"/>
  <c r="AA3" i="102"/>
  <c r="Z3" i="102"/>
  <c r="Y3" i="102"/>
  <c r="X3" i="102"/>
  <c r="W3" i="102"/>
  <c r="V3" i="102"/>
  <c r="U3" i="102"/>
  <c r="T3" i="102"/>
  <c r="S3" i="102"/>
  <c r="R3" i="102"/>
  <c r="Q3" i="102"/>
  <c r="P3" i="102"/>
  <c r="O3" i="102"/>
  <c r="N3" i="102"/>
  <c r="M3" i="102"/>
  <c r="L3" i="102"/>
  <c r="AK2" i="102"/>
  <c r="AJ2" i="102"/>
  <c r="AI2" i="102"/>
  <c r="AH2" i="102"/>
  <c r="AG2" i="102"/>
  <c r="AF2" i="102"/>
  <c r="AE2" i="102"/>
  <c r="AD2" i="102"/>
  <c r="AC2" i="102"/>
  <c r="AB2" i="102"/>
  <c r="AA2" i="102"/>
  <c r="Z2" i="102"/>
  <c r="Y2" i="102"/>
  <c r="X2" i="102"/>
  <c r="W2" i="102"/>
  <c r="V2" i="102"/>
  <c r="U2" i="102"/>
  <c r="T2" i="102"/>
  <c r="S2" i="102"/>
  <c r="R2" i="102"/>
  <c r="Q2" i="102"/>
  <c r="P2" i="102"/>
  <c r="O2" i="102"/>
  <c r="N2" i="102"/>
  <c r="M2" i="102"/>
  <c r="L2" i="102"/>
  <c r="AK97" i="106"/>
  <c r="AJ97" i="106"/>
  <c r="AI97" i="106"/>
  <c r="AH97" i="106"/>
  <c r="AG97" i="106"/>
  <c r="AF97" i="106"/>
  <c r="AE97" i="106"/>
  <c r="AD97" i="106"/>
  <c r="AC97" i="106"/>
  <c r="AB97" i="106"/>
  <c r="AA97" i="106"/>
  <c r="Z97" i="106"/>
  <c r="Y97" i="106"/>
  <c r="X97" i="106"/>
  <c r="W97" i="106"/>
  <c r="V97" i="106"/>
  <c r="U97" i="106"/>
  <c r="T97" i="106"/>
  <c r="S97" i="106"/>
  <c r="R97" i="106"/>
  <c r="Q97" i="106"/>
  <c r="P97" i="106"/>
  <c r="O97" i="106"/>
  <c r="N97" i="106"/>
  <c r="M97" i="106"/>
  <c r="L97" i="106"/>
  <c r="J97" i="106"/>
  <c r="I97" i="106"/>
  <c r="B2" i="106" s="1"/>
  <c r="H97" i="106"/>
  <c r="G97" i="106"/>
  <c r="AL96" i="106"/>
  <c r="AM96" i="106" s="1"/>
  <c r="AL95" i="106"/>
  <c r="AM95" i="106" s="1"/>
  <c r="AL94" i="106"/>
  <c r="AM94" i="106" s="1"/>
  <c r="AL93" i="106"/>
  <c r="AM93" i="106" s="1"/>
  <c r="AL92" i="106"/>
  <c r="AM92" i="106" s="1"/>
  <c r="AL91" i="106"/>
  <c r="AM91" i="106" s="1"/>
  <c r="AL90" i="106"/>
  <c r="AM90" i="106" s="1"/>
  <c r="AL89" i="106"/>
  <c r="AM89" i="106" s="1"/>
  <c r="AL88" i="106"/>
  <c r="AM88" i="106" s="1"/>
  <c r="AL87" i="106"/>
  <c r="AM87" i="106" s="1"/>
  <c r="AL86" i="106"/>
  <c r="AM86" i="106" s="1"/>
  <c r="AL85" i="106"/>
  <c r="AM85" i="106" s="1"/>
  <c r="AL84" i="106"/>
  <c r="AM84" i="106" s="1"/>
  <c r="AL83" i="106"/>
  <c r="AM83" i="106" s="1"/>
  <c r="AL82" i="106"/>
  <c r="AM82" i="106" s="1"/>
  <c r="AL81" i="106"/>
  <c r="AM81" i="106" s="1"/>
  <c r="AL80" i="106"/>
  <c r="AM80" i="106" s="1"/>
  <c r="AL79" i="106"/>
  <c r="AM79" i="106" s="1"/>
  <c r="AL78" i="106"/>
  <c r="AM78" i="106" s="1"/>
  <c r="AL77" i="106"/>
  <c r="AM77" i="106" s="1"/>
  <c r="AL76" i="106"/>
  <c r="AM76" i="106" s="1"/>
  <c r="AL75" i="106"/>
  <c r="AM75" i="106" s="1"/>
  <c r="AL74" i="106"/>
  <c r="AM74" i="106" s="1"/>
  <c r="AL73" i="106"/>
  <c r="AM73" i="106" s="1"/>
  <c r="AL72" i="106"/>
  <c r="AM72" i="106" s="1"/>
  <c r="AL71" i="106"/>
  <c r="AM71" i="106" s="1"/>
  <c r="AL70" i="106"/>
  <c r="AM70" i="106" s="1"/>
  <c r="AL69" i="106"/>
  <c r="AM69" i="106" s="1"/>
  <c r="AL68" i="106"/>
  <c r="AM68" i="106" s="1"/>
  <c r="AL67" i="106"/>
  <c r="AM67" i="106" s="1"/>
  <c r="AL66" i="106"/>
  <c r="AM66" i="106" s="1"/>
  <c r="AL65" i="106"/>
  <c r="AM65" i="106" s="1"/>
  <c r="AL64" i="106"/>
  <c r="AM64" i="106" s="1"/>
  <c r="AL63" i="106"/>
  <c r="AM63" i="106" s="1"/>
  <c r="AL62" i="106"/>
  <c r="AM62" i="106" s="1"/>
  <c r="AL61" i="106"/>
  <c r="AM61" i="106" s="1"/>
  <c r="AL60" i="106"/>
  <c r="AM60" i="106" s="1"/>
  <c r="AL59" i="106"/>
  <c r="AM59" i="106" s="1"/>
  <c r="AL58" i="106"/>
  <c r="AM58" i="106" s="1"/>
  <c r="AL57" i="106"/>
  <c r="AM57" i="106" s="1"/>
  <c r="AL56" i="106"/>
  <c r="AM56" i="106" s="1"/>
  <c r="AL55" i="106"/>
  <c r="AM55" i="106" s="1"/>
  <c r="AL54" i="106"/>
  <c r="AM54" i="106" s="1"/>
  <c r="AL53" i="106"/>
  <c r="AM53" i="106" s="1"/>
  <c r="AL52" i="106"/>
  <c r="AM52" i="106" s="1"/>
  <c r="AL51" i="106"/>
  <c r="AM51" i="106" s="1"/>
  <c r="AL50" i="106"/>
  <c r="AM50" i="106" s="1"/>
  <c r="AL49" i="106"/>
  <c r="AM49" i="106" s="1"/>
  <c r="AL48" i="106"/>
  <c r="AM48" i="106" s="1"/>
  <c r="AL47" i="106"/>
  <c r="AM47" i="106" s="1"/>
  <c r="AL46" i="106"/>
  <c r="AM46" i="106" s="1"/>
  <c r="AL45" i="106"/>
  <c r="AM45" i="106" s="1"/>
  <c r="AL44" i="106"/>
  <c r="AM44" i="106" s="1"/>
  <c r="AL43" i="106"/>
  <c r="AM43" i="106" s="1"/>
  <c r="AL42" i="106"/>
  <c r="AM42" i="106" s="1"/>
  <c r="AL41" i="106"/>
  <c r="AM41" i="106" s="1"/>
  <c r="AL40" i="106"/>
  <c r="AL39" i="106"/>
  <c r="AM39" i="106" s="1"/>
  <c r="AL38" i="106"/>
  <c r="AL37" i="106"/>
  <c r="AM37" i="106" s="1"/>
  <c r="AL36" i="106"/>
  <c r="AM36" i="106" s="1"/>
  <c r="AL35" i="106"/>
  <c r="AM35" i="106" s="1"/>
  <c r="AL34" i="106"/>
  <c r="AM34" i="106" s="1"/>
  <c r="AL33" i="106"/>
  <c r="AM33" i="106" s="1"/>
  <c r="AL32" i="106"/>
  <c r="AM32" i="106" s="1"/>
  <c r="AL31" i="106"/>
  <c r="AM31" i="106" s="1"/>
  <c r="AL30" i="106"/>
  <c r="AM30" i="106" s="1"/>
  <c r="AL29" i="106"/>
  <c r="AM29" i="106" s="1"/>
  <c r="AL28" i="106"/>
  <c r="AL27" i="106"/>
  <c r="AM27" i="106" s="1"/>
  <c r="AL26" i="106"/>
  <c r="AM26" i="106" s="1"/>
  <c r="AL25" i="106"/>
  <c r="AM25" i="106" s="1"/>
  <c r="AL24" i="106"/>
  <c r="AL23" i="106"/>
  <c r="AM23" i="106" s="1"/>
  <c r="AL22" i="106"/>
  <c r="AM22" i="106" s="1"/>
  <c r="AL21" i="106"/>
  <c r="AM21" i="106" s="1"/>
  <c r="AL20" i="106"/>
  <c r="AM20" i="106" s="1"/>
  <c r="AL19" i="106"/>
  <c r="AM19" i="106" s="1"/>
  <c r="AL18" i="106"/>
  <c r="AM18" i="106" s="1"/>
  <c r="AL17" i="106"/>
  <c r="AM17" i="106" s="1"/>
  <c r="AL16" i="106"/>
  <c r="AM16" i="106" s="1"/>
  <c r="AL15" i="106"/>
  <c r="AM15" i="106" s="1"/>
  <c r="AL14" i="106"/>
  <c r="AM14" i="106" s="1"/>
  <c r="AL13" i="106"/>
  <c r="AM13" i="106" s="1"/>
  <c r="AL12" i="106"/>
  <c r="AM12" i="106" s="1"/>
  <c r="AL11" i="106"/>
  <c r="AM11" i="106" s="1"/>
  <c r="AL10" i="106"/>
  <c r="AM10" i="106" s="1"/>
  <c r="AL9" i="106"/>
  <c r="AM9" i="106" s="1"/>
  <c r="AL8" i="106"/>
  <c r="AM8" i="106" s="1"/>
  <c r="AL7" i="106"/>
  <c r="AM7" i="106" s="1"/>
  <c r="AL6" i="106"/>
  <c r="AM6" i="106" s="1"/>
  <c r="AK3" i="106"/>
  <c r="AJ3" i="106"/>
  <c r="AI3" i="106"/>
  <c r="AH3" i="106"/>
  <c r="AG3" i="106"/>
  <c r="AF3" i="106"/>
  <c r="AE3" i="106"/>
  <c r="AD3" i="106"/>
  <c r="AC3" i="106"/>
  <c r="AB3" i="106"/>
  <c r="AA3" i="106"/>
  <c r="Z3" i="106"/>
  <c r="Y3" i="106"/>
  <c r="X3" i="106"/>
  <c r="W3" i="106"/>
  <c r="V3" i="106"/>
  <c r="U3" i="106"/>
  <c r="T3" i="106"/>
  <c r="S3" i="106"/>
  <c r="R3" i="106"/>
  <c r="Q3" i="106"/>
  <c r="P3" i="106"/>
  <c r="O3" i="106"/>
  <c r="N3" i="106"/>
  <c r="M3" i="106"/>
  <c r="L3" i="106"/>
  <c r="AK2" i="106"/>
  <c r="AJ2" i="106"/>
  <c r="AI2" i="106"/>
  <c r="AH2" i="106"/>
  <c r="AG2" i="106"/>
  <c r="AF2" i="106"/>
  <c r="AE2" i="106"/>
  <c r="AD2" i="106"/>
  <c r="AC2" i="106"/>
  <c r="AB2" i="106"/>
  <c r="AA2" i="106"/>
  <c r="Z2" i="106"/>
  <c r="Y2" i="106"/>
  <c r="X2" i="106"/>
  <c r="W2" i="106"/>
  <c r="V2" i="106"/>
  <c r="U2" i="106"/>
  <c r="T2" i="106"/>
  <c r="S2" i="106"/>
  <c r="R2" i="106"/>
  <c r="Q2" i="106"/>
  <c r="P2" i="106"/>
  <c r="O2" i="106"/>
  <c r="N2" i="106"/>
  <c r="M2" i="106"/>
  <c r="L2" i="106"/>
  <c r="F1" i="106"/>
  <c r="AK97" i="107"/>
  <c r="AJ97" i="107"/>
  <c r="AI97" i="107"/>
  <c r="AH97" i="107"/>
  <c r="AG97" i="107"/>
  <c r="AF97" i="107"/>
  <c r="AE97" i="107"/>
  <c r="AD97" i="107"/>
  <c r="AC97" i="107"/>
  <c r="AB97" i="107"/>
  <c r="AA97" i="107"/>
  <c r="Z97" i="107"/>
  <c r="Y97" i="107"/>
  <c r="X97" i="107"/>
  <c r="W97" i="107"/>
  <c r="V97" i="107"/>
  <c r="U97" i="107"/>
  <c r="T97" i="107"/>
  <c r="S97" i="107"/>
  <c r="R97" i="107"/>
  <c r="Q97" i="107"/>
  <c r="P97" i="107"/>
  <c r="O97" i="107"/>
  <c r="N97" i="107"/>
  <c r="M97" i="107"/>
  <c r="L97" i="107"/>
  <c r="J97" i="107"/>
  <c r="I97" i="107"/>
  <c r="B2" i="107" s="1"/>
  <c r="H97" i="107"/>
  <c r="B1" i="107" s="1"/>
  <c r="G97" i="107"/>
  <c r="AL96" i="107"/>
  <c r="AM96" i="107" s="1"/>
  <c r="AL95" i="107"/>
  <c r="AM95" i="107" s="1"/>
  <c r="AL94" i="107"/>
  <c r="AM94" i="107" s="1"/>
  <c r="AL93" i="107"/>
  <c r="AM93" i="107" s="1"/>
  <c r="AL92" i="107"/>
  <c r="AM92" i="107" s="1"/>
  <c r="AL91" i="107"/>
  <c r="AM91" i="107" s="1"/>
  <c r="AL90" i="107"/>
  <c r="AM90" i="107" s="1"/>
  <c r="AL89" i="107"/>
  <c r="AM89" i="107" s="1"/>
  <c r="AL88" i="107"/>
  <c r="AM88" i="107" s="1"/>
  <c r="AL87" i="107"/>
  <c r="AM87" i="107" s="1"/>
  <c r="AL86" i="107"/>
  <c r="AM86" i="107" s="1"/>
  <c r="AL85" i="107"/>
  <c r="AM85" i="107" s="1"/>
  <c r="AL84" i="107"/>
  <c r="AM84" i="107" s="1"/>
  <c r="AL83" i="107"/>
  <c r="AM83" i="107" s="1"/>
  <c r="AL82" i="107"/>
  <c r="AM82" i="107" s="1"/>
  <c r="AL81" i="107"/>
  <c r="AM81" i="107" s="1"/>
  <c r="AL80" i="107"/>
  <c r="AM80" i="107" s="1"/>
  <c r="AL79" i="107"/>
  <c r="AM79" i="107" s="1"/>
  <c r="AL78" i="107"/>
  <c r="AM78" i="107" s="1"/>
  <c r="AL77" i="107"/>
  <c r="AM77" i="107" s="1"/>
  <c r="AL76" i="107"/>
  <c r="AM76" i="107" s="1"/>
  <c r="AL75" i="107"/>
  <c r="AM75" i="107" s="1"/>
  <c r="AL74" i="107"/>
  <c r="AM74" i="107" s="1"/>
  <c r="AL73" i="107"/>
  <c r="AM73" i="107" s="1"/>
  <c r="AL72" i="107"/>
  <c r="AM72" i="107" s="1"/>
  <c r="AL71" i="107"/>
  <c r="AM71" i="107" s="1"/>
  <c r="AL70" i="107"/>
  <c r="AM70" i="107" s="1"/>
  <c r="AL69" i="107"/>
  <c r="AM69" i="107" s="1"/>
  <c r="AL68" i="107"/>
  <c r="AM68" i="107" s="1"/>
  <c r="AL67" i="107"/>
  <c r="AM67" i="107" s="1"/>
  <c r="AL66" i="107"/>
  <c r="AM66" i="107" s="1"/>
  <c r="AL65" i="107"/>
  <c r="AM65" i="107" s="1"/>
  <c r="AL64" i="107"/>
  <c r="AM64" i="107" s="1"/>
  <c r="AL63" i="107"/>
  <c r="AM63" i="107" s="1"/>
  <c r="AL62" i="107"/>
  <c r="AM62" i="107" s="1"/>
  <c r="AL61" i="107"/>
  <c r="AM61" i="107" s="1"/>
  <c r="AL60" i="107"/>
  <c r="AL59" i="107"/>
  <c r="AM59" i="107" s="1"/>
  <c r="AL58" i="107"/>
  <c r="AM58" i="107" s="1"/>
  <c r="AL57" i="107"/>
  <c r="AM57" i="107" s="1"/>
  <c r="AL56" i="107"/>
  <c r="AM56" i="107" s="1"/>
  <c r="AL55" i="107"/>
  <c r="AM55" i="107" s="1"/>
  <c r="AL54" i="107"/>
  <c r="AM54" i="107" s="1"/>
  <c r="AL53" i="107"/>
  <c r="AM53" i="107" s="1"/>
  <c r="AL52" i="107"/>
  <c r="AM52" i="107" s="1"/>
  <c r="AL51" i="107"/>
  <c r="AM51" i="107" s="1"/>
  <c r="AL50" i="107"/>
  <c r="AM50" i="107" s="1"/>
  <c r="AL49" i="107"/>
  <c r="AM49" i="107" s="1"/>
  <c r="AL48" i="107"/>
  <c r="AM48" i="107" s="1"/>
  <c r="AL47" i="107"/>
  <c r="AM47" i="107" s="1"/>
  <c r="AL46" i="107"/>
  <c r="AM46" i="107" s="1"/>
  <c r="AL45" i="107"/>
  <c r="AM45" i="107" s="1"/>
  <c r="AL44" i="107"/>
  <c r="AM44" i="107" s="1"/>
  <c r="AL43" i="107"/>
  <c r="AM43" i="107" s="1"/>
  <c r="AL42" i="107"/>
  <c r="AM42" i="107" s="1"/>
  <c r="AL41" i="107"/>
  <c r="AM41" i="107" s="1"/>
  <c r="AL40" i="107"/>
  <c r="AL39" i="107"/>
  <c r="AM39" i="107" s="1"/>
  <c r="AL38" i="107"/>
  <c r="AM38" i="107" s="1"/>
  <c r="AL37" i="107"/>
  <c r="AM37" i="107" s="1"/>
  <c r="AL36" i="107"/>
  <c r="AM36" i="107" s="1"/>
  <c r="AL35" i="107"/>
  <c r="AM35" i="107" s="1"/>
  <c r="AL34" i="107"/>
  <c r="AM34" i="107" s="1"/>
  <c r="AL33" i="107"/>
  <c r="AM33" i="107" s="1"/>
  <c r="AL32" i="107"/>
  <c r="AM32" i="107" s="1"/>
  <c r="AL31" i="107"/>
  <c r="AM31" i="107" s="1"/>
  <c r="AL30" i="107"/>
  <c r="AM30" i="107" s="1"/>
  <c r="AL29" i="107"/>
  <c r="AM29" i="107" s="1"/>
  <c r="AL28" i="107"/>
  <c r="AM28" i="107" s="1"/>
  <c r="AL27" i="107"/>
  <c r="AM27" i="107" s="1"/>
  <c r="AL26" i="107"/>
  <c r="AM26" i="107" s="1"/>
  <c r="AL25" i="107"/>
  <c r="AM25" i="107" s="1"/>
  <c r="AL24" i="107"/>
  <c r="AM24" i="107" s="1"/>
  <c r="AL23" i="107"/>
  <c r="AM23" i="107" s="1"/>
  <c r="AL22" i="107"/>
  <c r="AM22" i="107" s="1"/>
  <c r="AL21" i="107"/>
  <c r="AM21" i="107" s="1"/>
  <c r="AL20" i="107"/>
  <c r="AM20" i="107" s="1"/>
  <c r="AL19" i="107"/>
  <c r="AM19" i="107" s="1"/>
  <c r="AL18" i="107"/>
  <c r="AM18" i="107" s="1"/>
  <c r="AL17" i="107"/>
  <c r="AM17" i="107" s="1"/>
  <c r="AL16" i="107"/>
  <c r="AM16" i="107" s="1"/>
  <c r="AL15" i="107"/>
  <c r="AM15" i="107" s="1"/>
  <c r="AL14" i="107"/>
  <c r="AM14" i="107" s="1"/>
  <c r="AL13" i="107"/>
  <c r="AM13" i="107" s="1"/>
  <c r="AL12" i="107"/>
  <c r="AM12" i="107" s="1"/>
  <c r="AL11" i="107"/>
  <c r="AM11" i="107" s="1"/>
  <c r="AL10" i="107"/>
  <c r="AM10" i="107" s="1"/>
  <c r="AL9" i="107"/>
  <c r="AM9" i="107" s="1"/>
  <c r="AL8" i="107"/>
  <c r="AM8" i="107" s="1"/>
  <c r="AL7" i="107"/>
  <c r="AM7" i="107" s="1"/>
  <c r="AL6" i="107"/>
  <c r="AM6" i="107" s="1"/>
  <c r="AK3" i="107"/>
  <c r="AJ3" i="107"/>
  <c r="AI3" i="107"/>
  <c r="AH3" i="107"/>
  <c r="AG3" i="107"/>
  <c r="AF3" i="107"/>
  <c r="AE3" i="107"/>
  <c r="AD3" i="107"/>
  <c r="AC3" i="107"/>
  <c r="AB3" i="107"/>
  <c r="AA3" i="107"/>
  <c r="Z3" i="107"/>
  <c r="Y3" i="107"/>
  <c r="X3" i="107"/>
  <c r="W3" i="107"/>
  <c r="V3" i="107"/>
  <c r="U3" i="107"/>
  <c r="T3" i="107"/>
  <c r="S3" i="107"/>
  <c r="R3" i="107"/>
  <c r="Q3" i="107"/>
  <c r="P3" i="107"/>
  <c r="O3" i="107"/>
  <c r="N3" i="107"/>
  <c r="M3" i="107"/>
  <c r="L3" i="107"/>
  <c r="AK2" i="107"/>
  <c r="AJ2" i="107"/>
  <c r="AI2" i="107"/>
  <c r="AH2" i="107"/>
  <c r="AG2" i="107"/>
  <c r="AF2" i="107"/>
  <c r="AE2" i="107"/>
  <c r="AD2" i="107"/>
  <c r="AC2" i="107"/>
  <c r="AB2" i="107"/>
  <c r="AA2" i="107"/>
  <c r="Z2" i="107"/>
  <c r="Y2" i="107"/>
  <c r="X2" i="107"/>
  <c r="W2" i="107"/>
  <c r="V2" i="107"/>
  <c r="U2" i="107"/>
  <c r="T2" i="107"/>
  <c r="S2" i="107"/>
  <c r="R2" i="107"/>
  <c r="Q2" i="107"/>
  <c r="P2" i="107"/>
  <c r="O2" i="107"/>
  <c r="N2" i="107"/>
  <c r="M2" i="107"/>
  <c r="L2" i="107"/>
  <c r="F1" i="107"/>
  <c r="AK97" i="105"/>
  <c r="AJ97" i="105"/>
  <c r="AI97" i="105"/>
  <c r="AH97" i="105"/>
  <c r="AG97" i="105"/>
  <c r="AF97" i="105"/>
  <c r="AE97" i="105"/>
  <c r="AD97" i="105"/>
  <c r="AC97" i="105"/>
  <c r="AB97" i="105"/>
  <c r="AA97" i="105"/>
  <c r="Z97" i="105"/>
  <c r="Y97" i="105"/>
  <c r="X97" i="105"/>
  <c r="W97" i="105"/>
  <c r="V97" i="105"/>
  <c r="U97" i="105"/>
  <c r="T97" i="105"/>
  <c r="S97" i="105"/>
  <c r="R97" i="105"/>
  <c r="Q97" i="105"/>
  <c r="P97" i="105"/>
  <c r="O97" i="105"/>
  <c r="N97" i="105"/>
  <c r="M97" i="105"/>
  <c r="L97" i="105"/>
  <c r="J97" i="105"/>
  <c r="I97" i="105"/>
  <c r="B2" i="105" s="1"/>
  <c r="G97" i="105"/>
  <c r="F1" i="105" s="1"/>
  <c r="AL96" i="105"/>
  <c r="AM96" i="105" s="1"/>
  <c r="AL95" i="105"/>
  <c r="AM95" i="105" s="1"/>
  <c r="AL94" i="105"/>
  <c r="AM94" i="105" s="1"/>
  <c r="AL93" i="105"/>
  <c r="AM93" i="105" s="1"/>
  <c r="AL92" i="105"/>
  <c r="AM92" i="105" s="1"/>
  <c r="AL91" i="105"/>
  <c r="AM91" i="105" s="1"/>
  <c r="AL90" i="105"/>
  <c r="AM90" i="105" s="1"/>
  <c r="AL89" i="105"/>
  <c r="AM89" i="105" s="1"/>
  <c r="AL88" i="105"/>
  <c r="AM88" i="105" s="1"/>
  <c r="AL87" i="105"/>
  <c r="AM87" i="105" s="1"/>
  <c r="AL86" i="105"/>
  <c r="AM86" i="105" s="1"/>
  <c r="AL85" i="105"/>
  <c r="AM85" i="105" s="1"/>
  <c r="AL84" i="105"/>
  <c r="AM84" i="105" s="1"/>
  <c r="AL83" i="105"/>
  <c r="AM83" i="105" s="1"/>
  <c r="AL82" i="105"/>
  <c r="AM82" i="105" s="1"/>
  <c r="AL81" i="105"/>
  <c r="AM81" i="105" s="1"/>
  <c r="AL80" i="105"/>
  <c r="AM80" i="105" s="1"/>
  <c r="AL79" i="105"/>
  <c r="AM79" i="105" s="1"/>
  <c r="AL78" i="105"/>
  <c r="AM78" i="105" s="1"/>
  <c r="AL77" i="105"/>
  <c r="AM77" i="105" s="1"/>
  <c r="AL76" i="105"/>
  <c r="AM76" i="105" s="1"/>
  <c r="AL75" i="105"/>
  <c r="AM75" i="105" s="1"/>
  <c r="AL74" i="105"/>
  <c r="AM74" i="105" s="1"/>
  <c r="AL73" i="105"/>
  <c r="AM73" i="105" s="1"/>
  <c r="AL72" i="105"/>
  <c r="AM72" i="105" s="1"/>
  <c r="AL71" i="105"/>
  <c r="AM71" i="105" s="1"/>
  <c r="AL70" i="105"/>
  <c r="AM70" i="105" s="1"/>
  <c r="AL69" i="105"/>
  <c r="AM69" i="105" s="1"/>
  <c r="AL68" i="105"/>
  <c r="AM68" i="105" s="1"/>
  <c r="AL67" i="105"/>
  <c r="AM67" i="105" s="1"/>
  <c r="AL66" i="105"/>
  <c r="AM66" i="105" s="1"/>
  <c r="AL65" i="105"/>
  <c r="AM65" i="105" s="1"/>
  <c r="AL64" i="105"/>
  <c r="AM64" i="105" s="1"/>
  <c r="AL63" i="105"/>
  <c r="AM63" i="105" s="1"/>
  <c r="AL62" i="105"/>
  <c r="AM62" i="105" s="1"/>
  <c r="AL61" i="105"/>
  <c r="AM61" i="105" s="1"/>
  <c r="AL60" i="105"/>
  <c r="AM60" i="105" s="1"/>
  <c r="AL59" i="105"/>
  <c r="AM59" i="105" s="1"/>
  <c r="AL58" i="105"/>
  <c r="AM58" i="105" s="1"/>
  <c r="AL57" i="105"/>
  <c r="AM57" i="105" s="1"/>
  <c r="AL56" i="105"/>
  <c r="AM56" i="105" s="1"/>
  <c r="AL55" i="105"/>
  <c r="AM55" i="105" s="1"/>
  <c r="AL54" i="105"/>
  <c r="AM54" i="105" s="1"/>
  <c r="AL53" i="105"/>
  <c r="AM53" i="105" s="1"/>
  <c r="AL52" i="105"/>
  <c r="AM52" i="105" s="1"/>
  <c r="AL51" i="105"/>
  <c r="AM51" i="105" s="1"/>
  <c r="AL50" i="105"/>
  <c r="AM50" i="105" s="1"/>
  <c r="AL49" i="105"/>
  <c r="AM49" i="105" s="1"/>
  <c r="AL48" i="105"/>
  <c r="AM48" i="105" s="1"/>
  <c r="AL47" i="105"/>
  <c r="AM47" i="105" s="1"/>
  <c r="AL46" i="105"/>
  <c r="AM46" i="105" s="1"/>
  <c r="AL45" i="105"/>
  <c r="AL44" i="105"/>
  <c r="AM44" i="105" s="1"/>
  <c r="AL43" i="105"/>
  <c r="AM43" i="105" s="1"/>
  <c r="AL42" i="105"/>
  <c r="AM42" i="105" s="1"/>
  <c r="AL41" i="105"/>
  <c r="AM41" i="105" s="1"/>
  <c r="AL40" i="105"/>
  <c r="AM40" i="105" s="1"/>
  <c r="AL39" i="105"/>
  <c r="AM39" i="105" s="1"/>
  <c r="AL38" i="105"/>
  <c r="AM38" i="105" s="1"/>
  <c r="AL37" i="105"/>
  <c r="AM37" i="105" s="1"/>
  <c r="AL36" i="105"/>
  <c r="AM36" i="105" s="1"/>
  <c r="AL35" i="105"/>
  <c r="AM35" i="105" s="1"/>
  <c r="AL34" i="105"/>
  <c r="AM34" i="105" s="1"/>
  <c r="AL33" i="105"/>
  <c r="AM33" i="105" s="1"/>
  <c r="AL32" i="105"/>
  <c r="AM32" i="105" s="1"/>
  <c r="AL31" i="105"/>
  <c r="AM31" i="105" s="1"/>
  <c r="AL30" i="105"/>
  <c r="AM30" i="105" s="1"/>
  <c r="AL29" i="105"/>
  <c r="AM29" i="105" s="1"/>
  <c r="AL28" i="105"/>
  <c r="AL27" i="105"/>
  <c r="AM27" i="105" s="1"/>
  <c r="AL26" i="105"/>
  <c r="AM26" i="105" s="1"/>
  <c r="AL25" i="105"/>
  <c r="AM25" i="105" s="1"/>
  <c r="AL24" i="105"/>
  <c r="AM24" i="105" s="1"/>
  <c r="AL23" i="105"/>
  <c r="AL22" i="105"/>
  <c r="AM22" i="105" s="1"/>
  <c r="AL21" i="105"/>
  <c r="AM21" i="105" s="1"/>
  <c r="AL20" i="105"/>
  <c r="AM20" i="105" s="1"/>
  <c r="AL19" i="105"/>
  <c r="AM19" i="105" s="1"/>
  <c r="AL18" i="105"/>
  <c r="AM18" i="105" s="1"/>
  <c r="AL17" i="105"/>
  <c r="AM17" i="105" s="1"/>
  <c r="AL16" i="105"/>
  <c r="AM16" i="105" s="1"/>
  <c r="AL15" i="105"/>
  <c r="AM15" i="105" s="1"/>
  <c r="AL14" i="105"/>
  <c r="AM14" i="105" s="1"/>
  <c r="AL13" i="105"/>
  <c r="AM13" i="105" s="1"/>
  <c r="AL12" i="105"/>
  <c r="AM12" i="105" s="1"/>
  <c r="AL11" i="105"/>
  <c r="AM11" i="105" s="1"/>
  <c r="AL10" i="105"/>
  <c r="AM10" i="105" s="1"/>
  <c r="AL9" i="105"/>
  <c r="AM9" i="105" s="1"/>
  <c r="AL8" i="105"/>
  <c r="AM8" i="105" s="1"/>
  <c r="AL7" i="105"/>
  <c r="AM7" i="105" s="1"/>
  <c r="AL6" i="105"/>
  <c r="AM6" i="105" s="1"/>
  <c r="AK3" i="105"/>
  <c r="AJ3" i="105"/>
  <c r="AI3" i="105"/>
  <c r="AH3" i="105"/>
  <c r="AG3" i="105"/>
  <c r="AF3" i="105"/>
  <c r="AE3" i="105"/>
  <c r="AD3" i="105"/>
  <c r="AC3" i="105"/>
  <c r="AB3" i="105"/>
  <c r="AA3" i="105"/>
  <c r="Z3" i="105"/>
  <c r="Y3" i="105"/>
  <c r="X3" i="105"/>
  <c r="W3" i="105"/>
  <c r="V3" i="105"/>
  <c r="U3" i="105"/>
  <c r="T3" i="105"/>
  <c r="S3" i="105"/>
  <c r="R3" i="105"/>
  <c r="Q3" i="105"/>
  <c r="P3" i="105"/>
  <c r="O3" i="105"/>
  <c r="N3" i="105"/>
  <c r="M3" i="105"/>
  <c r="L3" i="105"/>
  <c r="AK2" i="105"/>
  <c r="AJ2" i="105"/>
  <c r="AI2" i="105"/>
  <c r="AH2" i="105"/>
  <c r="AG2" i="105"/>
  <c r="AF2" i="105"/>
  <c r="AE2" i="105"/>
  <c r="AD2" i="105"/>
  <c r="AC2" i="105"/>
  <c r="AB2" i="105"/>
  <c r="AA2" i="105"/>
  <c r="Z2" i="105"/>
  <c r="Y2" i="105"/>
  <c r="X2" i="105"/>
  <c r="W2" i="105"/>
  <c r="V2" i="105"/>
  <c r="U2" i="105"/>
  <c r="T2" i="105"/>
  <c r="S2" i="105"/>
  <c r="R2" i="105"/>
  <c r="Q2" i="105"/>
  <c r="P2" i="105"/>
  <c r="O2" i="105"/>
  <c r="N2" i="105"/>
  <c r="M2" i="105"/>
  <c r="L2" i="105"/>
  <c r="AK97" i="104"/>
  <c r="AJ97" i="104"/>
  <c r="AI97" i="104"/>
  <c r="AH97" i="104"/>
  <c r="AG97" i="104"/>
  <c r="AF97" i="104"/>
  <c r="AE97" i="104"/>
  <c r="AD97" i="104"/>
  <c r="AC97" i="104"/>
  <c r="AB97" i="104"/>
  <c r="AA97" i="104"/>
  <c r="Z97" i="104"/>
  <c r="Y97" i="104"/>
  <c r="X97" i="104"/>
  <c r="W97" i="104"/>
  <c r="V97" i="104"/>
  <c r="U97" i="104"/>
  <c r="T97" i="104"/>
  <c r="S97" i="104"/>
  <c r="R97" i="104"/>
  <c r="Q97" i="104"/>
  <c r="P97" i="104"/>
  <c r="O97" i="104"/>
  <c r="N97" i="104"/>
  <c r="M97" i="104"/>
  <c r="L97" i="104"/>
  <c r="J97" i="104"/>
  <c r="I97" i="104"/>
  <c r="B2" i="104" s="1"/>
  <c r="G97" i="104"/>
  <c r="F1" i="104" s="1"/>
  <c r="AL96" i="104"/>
  <c r="AM96" i="104" s="1"/>
  <c r="AL95" i="104"/>
  <c r="AM95" i="104" s="1"/>
  <c r="AL94" i="104"/>
  <c r="AM94" i="104" s="1"/>
  <c r="AL93" i="104"/>
  <c r="AM93" i="104" s="1"/>
  <c r="AL92" i="104"/>
  <c r="AM92" i="104" s="1"/>
  <c r="AL91" i="104"/>
  <c r="AM91" i="104" s="1"/>
  <c r="AL90" i="104"/>
  <c r="AM90" i="104" s="1"/>
  <c r="AL89" i="104"/>
  <c r="AM89" i="104" s="1"/>
  <c r="AL88" i="104"/>
  <c r="AM88" i="104" s="1"/>
  <c r="AL87" i="104"/>
  <c r="AM87" i="104" s="1"/>
  <c r="AL86" i="104"/>
  <c r="AM86" i="104" s="1"/>
  <c r="AL85" i="104"/>
  <c r="AM85" i="104" s="1"/>
  <c r="AL84" i="104"/>
  <c r="AM84" i="104" s="1"/>
  <c r="AL83" i="104"/>
  <c r="AM83" i="104" s="1"/>
  <c r="AL82" i="104"/>
  <c r="AM82" i="104" s="1"/>
  <c r="AL81" i="104"/>
  <c r="AM81" i="104" s="1"/>
  <c r="AL80" i="104"/>
  <c r="AM80" i="104" s="1"/>
  <c r="AL79" i="104"/>
  <c r="AM79" i="104" s="1"/>
  <c r="AL78" i="104"/>
  <c r="AM78" i="104" s="1"/>
  <c r="AL77" i="104"/>
  <c r="AM77" i="104" s="1"/>
  <c r="AL76" i="104"/>
  <c r="AM76" i="104" s="1"/>
  <c r="AL75" i="104"/>
  <c r="AM75" i="104" s="1"/>
  <c r="AL74" i="104"/>
  <c r="AM74" i="104" s="1"/>
  <c r="AL73" i="104"/>
  <c r="AM73" i="104" s="1"/>
  <c r="AL72" i="104"/>
  <c r="AM72" i="104" s="1"/>
  <c r="AL71" i="104"/>
  <c r="AM71" i="104" s="1"/>
  <c r="AL70" i="104"/>
  <c r="AM70" i="104" s="1"/>
  <c r="AL69" i="104"/>
  <c r="AM69" i="104" s="1"/>
  <c r="AL68" i="104"/>
  <c r="AM68" i="104" s="1"/>
  <c r="AL67" i="104"/>
  <c r="AM67" i="104" s="1"/>
  <c r="AL66" i="104"/>
  <c r="AM66" i="104" s="1"/>
  <c r="AL65" i="104"/>
  <c r="AM65" i="104" s="1"/>
  <c r="AL64" i="104"/>
  <c r="AM64" i="104" s="1"/>
  <c r="AL63" i="104"/>
  <c r="AM63" i="104" s="1"/>
  <c r="AL62" i="104"/>
  <c r="AM62" i="104" s="1"/>
  <c r="AL61" i="104"/>
  <c r="AM61" i="104" s="1"/>
  <c r="AL60" i="104"/>
  <c r="AL59" i="104"/>
  <c r="AM59" i="104" s="1"/>
  <c r="AL58" i="104"/>
  <c r="AM58" i="104" s="1"/>
  <c r="AL57" i="104"/>
  <c r="AM57" i="104" s="1"/>
  <c r="AL56" i="104"/>
  <c r="AM56" i="104" s="1"/>
  <c r="AL55" i="104"/>
  <c r="AM55" i="104" s="1"/>
  <c r="AL54" i="104"/>
  <c r="AM54" i="104" s="1"/>
  <c r="AL53" i="104"/>
  <c r="AM53" i="104" s="1"/>
  <c r="AL52" i="104"/>
  <c r="AM52" i="104" s="1"/>
  <c r="AL51" i="104"/>
  <c r="AM51" i="104" s="1"/>
  <c r="AL50" i="104"/>
  <c r="AM50" i="104" s="1"/>
  <c r="AL49" i="104"/>
  <c r="AM49" i="104" s="1"/>
  <c r="AL48" i="104"/>
  <c r="AM48" i="104" s="1"/>
  <c r="AL47" i="104"/>
  <c r="AM47" i="104" s="1"/>
  <c r="AL46" i="104"/>
  <c r="AM46" i="104" s="1"/>
  <c r="AL45" i="104"/>
  <c r="AM45" i="104" s="1"/>
  <c r="AL44" i="104"/>
  <c r="AM44" i="104" s="1"/>
  <c r="AL43" i="104"/>
  <c r="AM43" i="104" s="1"/>
  <c r="AL42" i="104"/>
  <c r="AM42" i="104" s="1"/>
  <c r="AL41" i="104"/>
  <c r="AM41" i="104" s="1"/>
  <c r="AL40" i="104"/>
  <c r="AM40" i="104" s="1"/>
  <c r="AL39" i="104"/>
  <c r="AM39" i="104" s="1"/>
  <c r="AL38" i="104"/>
  <c r="AM38" i="104" s="1"/>
  <c r="AL37" i="104"/>
  <c r="AM37" i="104" s="1"/>
  <c r="AL36" i="104"/>
  <c r="AM36" i="104" s="1"/>
  <c r="AL35" i="104"/>
  <c r="AM35" i="104" s="1"/>
  <c r="AL34" i="104"/>
  <c r="AM34" i="104" s="1"/>
  <c r="AL33" i="104"/>
  <c r="AM33" i="104" s="1"/>
  <c r="AL32" i="104"/>
  <c r="AM32" i="104" s="1"/>
  <c r="AL31" i="104"/>
  <c r="AM31" i="104" s="1"/>
  <c r="AL30" i="104"/>
  <c r="AM30" i="104" s="1"/>
  <c r="AL29" i="104"/>
  <c r="AM29" i="104" s="1"/>
  <c r="AL28" i="104"/>
  <c r="AM28" i="104" s="1"/>
  <c r="AL27" i="104"/>
  <c r="AM27" i="104" s="1"/>
  <c r="AL26" i="104"/>
  <c r="AM26" i="104" s="1"/>
  <c r="AL25" i="104"/>
  <c r="AM25" i="104" s="1"/>
  <c r="AL24" i="104"/>
  <c r="AM24" i="104" s="1"/>
  <c r="AL23" i="104"/>
  <c r="AM23" i="104" s="1"/>
  <c r="AL22" i="104"/>
  <c r="AM22" i="104" s="1"/>
  <c r="AL21" i="104"/>
  <c r="AM21" i="104" s="1"/>
  <c r="AL20" i="104"/>
  <c r="AM20" i="104" s="1"/>
  <c r="AL19" i="104"/>
  <c r="AM19" i="104" s="1"/>
  <c r="AL18" i="104"/>
  <c r="AM18" i="104" s="1"/>
  <c r="AL17" i="104"/>
  <c r="AM17" i="104" s="1"/>
  <c r="AL16" i="104"/>
  <c r="AM16" i="104" s="1"/>
  <c r="AL15" i="104"/>
  <c r="AM15" i="104" s="1"/>
  <c r="AL14" i="104"/>
  <c r="AM14" i="104" s="1"/>
  <c r="AL13" i="104"/>
  <c r="AM13" i="104" s="1"/>
  <c r="AL12" i="104"/>
  <c r="AM12" i="104" s="1"/>
  <c r="AL11" i="104"/>
  <c r="AM11" i="104" s="1"/>
  <c r="AL10" i="104"/>
  <c r="AM10" i="104" s="1"/>
  <c r="AL9" i="104"/>
  <c r="AM9" i="104" s="1"/>
  <c r="AL8" i="104"/>
  <c r="AM8" i="104" s="1"/>
  <c r="AL7" i="104"/>
  <c r="AM7" i="104" s="1"/>
  <c r="AL6" i="104"/>
  <c r="AM6" i="104" s="1"/>
  <c r="AK3" i="104"/>
  <c r="AJ3" i="104"/>
  <c r="AI3" i="104"/>
  <c r="AH3" i="104"/>
  <c r="AG3" i="104"/>
  <c r="AF3" i="104"/>
  <c r="AE3" i="104"/>
  <c r="AD3" i="104"/>
  <c r="AC3" i="104"/>
  <c r="AB3" i="104"/>
  <c r="AA3" i="104"/>
  <c r="Z3" i="104"/>
  <c r="Y3" i="104"/>
  <c r="X3" i="104"/>
  <c r="W3" i="104"/>
  <c r="V3" i="104"/>
  <c r="U3" i="104"/>
  <c r="T3" i="104"/>
  <c r="S3" i="104"/>
  <c r="R3" i="104"/>
  <c r="Q3" i="104"/>
  <c r="P3" i="104"/>
  <c r="O3" i="104"/>
  <c r="N3" i="104"/>
  <c r="M3" i="104"/>
  <c r="L3" i="104"/>
  <c r="AK2" i="104"/>
  <c r="AJ2" i="104"/>
  <c r="AI2" i="104"/>
  <c r="AH2" i="104"/>
  <c r="AG2" i="104"/>
  <c r="AF2" i="104"/>
  <c r="AE2" i="104"/>
  <c r="AD2" i="104"/>
  <c r="AC2" i="104"/>
  <c r="AB2" i="104"/>
  <c r="AA2" i="104"/>
  <c r="Z2" i="104"/>
  <c r="Y2" i="104"/>
  <c r="X2" i="104"/>
  <c r="W2" i="104"/>
  <c r="V2" i="104"/>
  <c r="U2" i="104"/>
  <c r="T2" i="104"/>
  <c r="S2" i="104"/>
  <c r="R2" i="104"/>
  <c r="Q2" i="104"/>
  <c r="P2" i="104"/>
  <c r="O2" i="104"/>
  <c r="N2" i="104"/>
  <c r="M2" i="104"/>
  <c r="L2" i="104"/>
  <c r="AK97" i="115"/>
  <c r="AJ97" i="115"/>
  <c r="AI97" i="115"/>
  <c r="AH97" i="115"/>
  <c r="AG97" i="115"/>
  <c r="AF97" i="115"/>
  <c r="AE97" i="115"/>
  <c r="AD97" i="115"/>
  <c r="AC97" i="115"/>
  <c r="AB97" i="115"/>
  <c r="AA97" i="115"/>
  <c r="Z97" i="115"/>
  <c r="Y97" i="115"/>
  <c r="X97" i="115"/>
  <c r="W97" i="115"/>
  <c r="V97" i="115"/>
  <c r="U97" i="115"/>
  <c r="T97" i="115"/>
  <c r="S97" i="115"/>
  <c r="R97" i="115"/>
  <c r="Q97" i="115"/>
  <c r="P97" i="115"/>
  <c r="O97" i="115"/>
  <c r="N97" i="115"/>
  <c r="M97" i="115"/>
  <c r="L97" i="115"/>
  <c r="J97" i="115"/>
  <c r="I97" i="115"/>
  <c r="B2" i="115" s="1"/>
  <c r="H97" i="115"/>
  <c r="B1" i="115" s="1"/>
  <c r="M1" i="115" s="1"/>
  <c r="G97" i="115"/>
  <c r="F1" i="115" s="1"/>
  <c r="AL96" i="115"/>
  <c r="AM96" i="115" s="1"/>
  <c r="AL95" i="115"/>
  <c r="AM95" i="115" s="1"/>
  <c r="AL94" i="115"/>
  <c r="AM94" i="115" s="1"/>
  <c r="AL93" i="115"/>
  <c r="AM93" i="115" s="1"/>
  <c r="AL92" i="115"/>
  <c r="AM92" i="115" s="1"/>
  <c r="AL91" i="115"/>
  <c r="AM91" i="115" s="1"/>
  <c r="AL90" i="115"/>
  <c r="AM90" i="115" s="1"/>
  <c r="AL89" i="115"/>
  <c r="AM89" i="115" s="1"/>
  <c r="AL88" i="115"/>
  <c r="AM88" i="115" s="1"/>
  <c r="AL87" i="115"/>
  <c r="AM87" i="115" s="1"/>
  <c r="AL86" i="115"/>
  <c r="AM86" i="115" s="1"/>
  <c r="AL85" i="115"/>
  <c r="AM85" i="115" s="1"/>
  <c r="AL84" i="115"/>
  <c r="AM84" i="115" s="1"/>
  <c r="AL83" i="115"/>
  <c r="AM83" i="115" s="1"/>
  <c r="AL82" i="115"/>
  <c r="AM82" i="115" s="1"/>
  <c r="AL81" i="115"/>
  <c r="AM81" i="115" s="1"/>
  <c r="AL80" i="115"/>
  <c r="AM80" i="115" s="1"/>
  <c r="AL79" i="115"/>
  <c r="AM79" i="115" s="1"/>
  <c r="AL78" i="115"/>
  <c r="AM78" i="115" s="1"/>
  <c r="AL77" i="115"/>
  <c r="AM77" i="115" s="1"/>
  <c r="AL76" i="115"/>
  <c r="AM76" i="115" s="1"/>
  <c r="AL75" i="115"/>
  <c r="AM75" i="115" s="1"/>
  <c r="AL74" i="115"/>
  <c r="AM74" i="115" s="1"/>
  <c r="AL73" i="115"/>
  <c r="AM73" i="115" s="1"/>
  <c r="AL72" i="115"/>
  <c r="AM72" i="115" s="1"/>
  <c r="AL71" i="115"/>
  <c r="AM71" i="115" s="1"/>
  <c r="AL70" i="115"/>
  <c r="AM70" i="115" s="1"/>
  <c r="AL69" i="115"/>
  <c r="AM69" i="115" s="1"/>
  <c r="AL68" i="115"/>
  <c r="AM68" i="115" s="1"/>
  <c r="AL67" i="115"/>
  <c r="AM67" i="115" s="1"/>
  <c r="AL66" i="115"/>
  <c r="AM66" i="115" s="1"/>
  <c r="AL65" i="115"/>
  <c r="AM65" i="115" s="1"/>
  <c r="AL64" i="115"/>
  <c r="AM64" i="115" s="1"/>
  <c r="AL63" i="115"/>
  <c r="AM63" i="115" s="1"/>
  <c r="AL62" i="115"/>
  <c r="AM62" i="115" s="1"/>
  <c r="AL61" i="115"/>
  <c r="AM61" i="115" s="1"/>
  <c r="AL60" i="115"/>
  <c r="AM60" i="115" s="1"/>
  <c r="AL59" i="115"/>
  <c r="AM59" i="115" s="1"/>
  <c r="AL58" i="115"/>
  <c r="AM58" i="115" s="1"/>
  <c r="AL57" i="115"/>
  <c r="AM57" i="115" s="1"/>
  <c r="AL56" i="115"/>
  <c r="AM56" i="115" s="1"/>
  <c r="AL55" i="115"/>
  <c r="AM55" i="115" s="1"/>
  <c r="AL54" i="115"/>
  <c r="AM54" i="115" s="1"/>
  <c r="AL53" i="115"/>
  <c r="AM53" i="115" s="1"/>
  <c r="AL52" i="115"/>
  <c r="AM52" i="115" s="1"/>
  <c r="AL51" i="115"/>
  <c r="AM51" i="115" s="1"/>
  <c r="AL50" i="115"/>
  <c r="AM50" i="115" s="1"/>
  <c r="AL49" i="115"/>
  <c r="AM49" i="115" s="1"/>
  <c r="AL48" i="115"/>
  <c r="AM48" i="115" s="1"/>
  <c r="AL47" i="115"/>
  <c r="AM47" i="115" s="1"/>
  <c r="AL46" i="115"/>
  <c r="AM46" i="115" s="1"/>
  <c r="AL45" i="115"/>
  <c r="AM45" i="115" s="1"/>
  <c r="AL44" i="115"/>
  <c r="AM44" i="115" s="1"/>
  <c r="AL43" i="115"/>
  <c r="AM43" i="115" s="1"/>
  <c r="AL42" i="115"/>
  <c r="AM42" i="115" s="1"/>
  <c r="AL41" i="115"/>
  <c r="AM41" i="115" s="1"/>
  <c r="AL40" i="115"/>
  <c r="AM40" i="115" s="1"/>
  <c r="AL39" i="115"/>
  <c r="AM39" i="115" s="1"/>
  <c r="AL38" i="115"/>
  <c r="AM38" i="115" s="1"/>
  <c r="AL37" i="115"/>
  <c r="AM37" i="115" s="1"/>
  <c r="AL36" i="115"/>
  <c r="AM36" i="115" s="1"/>
  <c r="AL35" i="115"/>
  <c r="AM35" i="115" s="1"/>
  <c r="AL34" i="115"/>
  <c r="AM34" i="115" s="1"/>
  <c r="AL33" i="115"/>
  <c r="AM33" i="115" s="1"/>
  <c r="AL32" i="115"/>
  <c r="AM32" i="115" s="1"/>
  <c r="AL31" i="115"/>
  <c r="AM31" i="115" s="1"/>
  <c r="AL30" i="115"/>
  <c r="AM30" i="115" s="1"/>
  <c r="AL29" i="115"/>
  <c r="AM29" i="115" s="1"/>
  <c r="AL28" i="115"/>
  <c r="AM28" i="115" s="1"/>
  <c r="AL27" i="115"/>
  <c r="AM27" i="115" s="1"/>
  <c r="AL26" i="115"/>
  <c r="AM26" i="115" s="1"/>
  <c r="AL25" i="115"/>
  <c r="AM25" i="115" s="1"/>
  <c r="AL24" i="115"/>
  <c r="AL23" i="115"/>
  <c r="AM23" i="115" s="1"/>
  <c r="AL22" i="115"/>
  <c r="AM22" i="115" s="1"/>
  <c r="AL21" i="115"/>
  <c r="AM21" i="115" s="1"/>
  <c r="AL20" i="115"/>
  <c r="AM20" i="115" s="1"/>
  <c r="AL19" i="115"/>
  <c r="AM19" i="115" s="1"/>
  <c r="AL18" i="115"/>
  <c r="AM18" i="115" s="1"/>
  <c r="AL17" i="115"/>
  <c r="AM17" i="115" s="1"/>
  <c r="AL16" i="115"/>
  <c r="AM16" i="115" s="1"/>
  <c r="AL15" i="115"/>
  <c r="AM15" i="115" s="1"/>
  <c r="AL14" i="115"/>
  <c r="AM14" i="115" s="1"/>
  <c r="AL13" i="115"/>
  <c r="AM13" i="115" s="1"/>
  <c r="AL12" i="115"/>
  <c r="AL11" i="115"/>
  <c r="AM11" i="115" s="1"/>
  <c r="AL10" i="115"/>
  <c r="AM10" i="115" s="1"/>
  <c r="AL9" i="115"/>
  <c r="AM9" i="115" s="1"/>
  <c r="AL8" i="115"/>
  <c r="AM8" i="115" s="1"/>
  <c r="AL7" i="115"/>
  <c r="AM7" i="115" s="1"/>
  <c r="AL6" i="115"/>
  <c r="AM6" i="115" s="1"/>
  <c r="AK3" i="115"/>
  <c r="AJ3" i="115"/>
  <c r="AI3" i="115"/>
  <c r="AH3" i="115"/>
  <c r="AG3" i="115"/>
  <c r="AF3" i="115"/>
  <c r="AE3" i="115"/>
  <c r="AD3" i="115"/>
  <c r="AC3" i="115"/>
  <c r="AB3" i="115"/>
  <c r="AA3" i="115"/>
  <c r="Z3" i="115"/>
  <c r="Y3" i="115"/>
  <c r="X3" i="115"/>
  <c r="W3" i="115"/>
  <c r="V3" i="115"/>
  <c r="U3" i="115"/>
  <c r="T3" i="115"/>
  <c r="S3" i="115"/>
  <c r="R3" i="115"/>
  <c r="Q3" i="115"/>
  <c r="P3" i="115"/>
  <c r="O3" i="115"/>
  <c r="N3" i="115"/>
  <c r="M3" i="115"/>
  <c r="L3" i="115"/>
  <c r="AK2" i="115"/>
  <c r="AJ2" i="115"/>
  <c r="AI2" i="115"/>
  <c r="AH2" i="115"/>
  <c r="AG2" i="115"/>
  <c r="AF2" i="115"/>
  <c r="AE2" i="115"/>
  <c r="AD2" i="115"/>
  <c r="AC2" i="115"/>
  <c r="AB2" i="115"/>
  <c r="AA2" i="115"/>
  <c r="Z2" i="115"/>
  <c r="Y2" i="115"/>
  <c r="X2" i="115"/>
  <c r="W2" i="115"/>
  <c r="V2" i="115"/>
  <c r="U2" i="115"/>
  <c r="T2" i="115"/>
  <c r="S2" i="115"/>
  <c r="R2" i="115"/>
  <c r="Q2" i="115"/>
  <c r="P2" i="115"/>
  <c r="O2" i="115"/>
  <c r="N2" i="115"/>
  <c r="M2" i="115"/>
  <c r="L2" i="115"/>
  <c r="AK97" i="114"/>
  <c r="AJ97" i="114"/>
  <c r="AI97" i="114"/>
  <c r="AH97" i="114"/>
  <c r="AG97" i="114"/>
  <c r="AF97" i="114"/>
  <c r="AE97" i="114"/>
  <c r="AD97" i="114"/>
  <c r="AC97" i="114"/>
  <c r="AB97" i="114"/>
  <c r="AA97" i="114"/>
  <c r="Z97" i="114"/>
  <c r="Y97" i="114"/>
  <c r="X97" i="114"/>
  <c r="W97" i="114"/>
  <c r="V97" i="114"/>
  <c r="U97" i="114"/>
  <c r="T97" i="114"/>
  <c r="S97" i="114"/>
  <c r="R97" i="114"/>
  <c r="Q97" i="114"/>
  <c r="P97" i="114"/>
  <c r="O97" i="114"/>
  <c r="N97" i="114"/>
  <c r="M97" i="114"/>
  <c r="L97" i="114"/>
  <c r="J97" i="114"/>
  <c r="I97" i="114"/>
  <c r="B2" i="114" s="1"/>
  <c r="H97" i="114"/>
  <c r="G97" i="114"/>
  <c r="F1" i="114" s="1"/>
  <c r="AL96" i="114"/>
  <c r="AM96" i="114" s="1"/>
  <c r="AL95" i="114"/>
  <c r="AM95" i="114" s="1"/>
  <c r="AL94" i="114"/>
  <c r="AM94" i="114" s="1"/>
  <c r="AL93" i="114"/>
  <c r="AM93" i="114" s="1"/>
  <c r="AL92" i="114"/>
  <c r="AM92" i="114" s="1"/>
  <c r="AL91" i="114"/>
  <c r="AM91" i="114" s="1"/>
  <c r="AL90" i="114"/>
  <c r="AM90" i="114" s="1"/>
  <c r="AL89" i="114"/>
  <c r="AM89" i="114" s="1"/>
  <c r="AL88" i="114"/>
  <c r="AM88" i="114" s="1"/>
  <c r="AL87" i="114"/>
  <c r="AM87" i="114" s="1"/>
  <c r="AL86" i="114"/>
  <c r="AM86" i="114" s="1"/>
  <c r="AL85" i="114"/>
  <c r="AM85" i="114" s="1"/>
  <c r="AL84" i="114"/>
  <c r="AM84" i="114" s="1"/>
  <c r="AL83" i="114"/>
  <c r="AM83" i="114" s="1"/>
  <c r="AL82" i="114"/>
  <c r="AM82" i="114" s="1"/>
  <c r="AL81" i="114"/>
  <c r="AM81" i="114" s="1"/>
  <c r="AL80" i="114"/>
  <c r="AM80" i="114" s="1"/>
  <c r="AL79" i="114"/>
  <c r="AM79" i="114" s="1"/>
  <c r="AL78" i="114"/>
  <c r="AM78" i="114" s="1"/>
  <c r="AL77" i="114"/>
  <c r="AM77" i="114" s="1"/>
  <c r="AL76" i="114"/>
  <c r="AM76" i="114" s="1"/>
  <c r="AL75" i="114"/>
  <c r="AM75" i="114" s="1"/>
  <c r="AL74" i="114"/>
  <c r="AM74" i="114" s="1"/>
  <c r="AL73" i="114"/>
  <c r="AM73" i="114" s="1"/>
  <c r="AL72" i="114"/>
  <c r="AM72" i="114" s="1"/>
  <c r="AL71" i="114"/>
  <c r="AM71" i="114" s="1"/>
  <c r="AL70" i="114"/>
  <c r="AM70" i="114" s="1"/>
  <c r="AL69" i="114"/>
  <c r="AM69" i="114" s="1"/>
  <c r="AL68" i="114"/>
  <c r="AM68" i="114" s="1"/>
  <c r="AL67" i="114"/>
  <c r="AM67" i="114" s="1"/>
  <c r="AL66" i="114"/>
  <c r="AM66" i="114" s="1"/>
  <c r="AL65" i="114"/>
  <c r="AM65" i="114" s="1"/>
  <c r="AL64" i="114"/>
  <c r="AM64" i="114" s="1"/>
  <c r="AL63" i="114"/>
  <c r="AM63" i="114" s="1"/>
  <c r="AL62" i="114"/>
  <c r="AM62" i="114" s="1"/>
  <c r="AL61" i="114"/>
  <c r="AM61" i="114" s="1"/>
  <c r="AL60" i="114"/>
  <c r="AM60" i="114" s="1"/>
  <c r="AL59" i="114"/>
  <c r="AM59" i="114" s="1"/>
  <c r="AL58" i="114"/>
  <c r="AM58" i="114" s="1"/>
  <c r="AL57" i="114"/>
  <c r="AM57" i="114" s="1"/>
  <c r="AL56" i="114"/>
  <c r="AM56" i="114" s="1"/>
  <c r="AL55" i="114"/>
  <c r="AM55" i="114" s="1"/>
  <c r="AL54" i="114"/>
  <c r="AM54" i="114" s="1"/>
  <c r="AL53" i="114"/>
  <c r="AM53" i="114" s="1"/>
  <c r="AL52" i="114"/>
  <c r="AM52" i="114" s="1"/>
  <c r="AL51" i="114"/>
  <c r="AM51" i="114" s="1"/>
  <c r="AL50" i="114"/>
  <c r="AM50" i="114" s="1"/>
  <c r="AL49" i="114"/>
  <c r="AM49" i="114" s="1"/>
  <c r="AL48" i="114"/>
  <c r="AM48" i="114" s="1"/>
  <c r="AL47" i="114"/>
  <c r="AM47" i="114" s="1"/>
  <c r="AL46" i="114"/>
  <c r="AM46" i="114" s="1"/>
  <c r="AL45" i="114"/>
  <c r="AM45" i="114" s="1"/>
  <c r="AL44" i="114"/>
  <c r="AM44" i="114" s="1"/>
  <c r="AL43" i="114"/>
  <c r="AM43" i="114" s="1"/>
  <c r="AL42" i="114"/>
  <c r="AM42" i="114" s="1"/>
  <c r="AL41" i="114"/>
  <c r="AM41" i="114" s="1"/>
  <c r="AL40" i="114"/>
  <c r="AM40" i="114" s="1"/>
  <c r="AL39" i="114"/>
  <c r="AL38" i="114"/>
  <c r="AL37" i="114"/>
  <c r="AM37" i="114" s="1"/>
  <c r="AL36" i="114"/>
  <c r="AM36" i="114" s="1"/>
  <c r="AL35" i="114"/>
  <c r="AM35" i="114" s="1"/>
  <c r="AL34" i="114"/>
  <c r="AM34" i="114" s="1"/>
  <c r="AL33" i="114"/>
  <c r="AM33" i="114" s="1"/>
  <c r="AL32" i="114"/>
  <c r="AM32" i="114" s="1"/>
  <c r="AL31" i="114"/>
  <c r="AM31" i="114" s="1"/>
  <c r="AL30" i="114"/>
  <c r="AM30" i="114" s="1"/>
  <c r="AL29" i="114"/>
  <c r="AM29" i="114" s="1"/>
  <c r="AL28" i="114"/>
  <c r="AM28" i="114" s="1"/>
  <c r="AL27" i="114"/>
  <c r="AM27" i="114" s="1"/>
  <c r="AL26" i="114"/>
  <c r="AM26" i="114" s="1"/>
  <c r="AL25" i="114"/>
  <c r="AM25" i="114" s="1"/>
  <c r="AL24" i="114"/>
  <c r="AM24" i="114" s="1"/>
  <c r="AL23" i="114"/>
  <c r="AM23" i="114" s="1"/>
  <c r="AL22" i="114"/>
  <c r="AL21" i="114"/>
  <c r="AM21" i="114" s="1"/>
  <c r="AL20" i="114"/>
  <c r="AM20" i="114" s="1"/>
  <c r="AL19" i="114"/>
  <c r="AM19" i="114" s="1"/>
  <c r="AL18" i="114"/>
  <c r="AM18" i="114" s="1"/>
  <c r="AL17" i="114"/>
  <c r="AM17" i="114" s="1"/>
  <c r="AL16" i="114"/>
  <c r="AM16" i="114" s="1"/>
  <c r="AL15" i="114"/>
  <c r="AM15" i="114" s="1"/>
  <c r="AL14" i="114"/>
  <c r="AM14" i="114" s="1"/>
  <c r="AL13" i="114"/>
  <c r="AM13" i="114" s="1"/>
  <c r="AL12" i="114"/>
  <c r="AM12" i="114" s="1"/>
  <c r="AL11" i="114"/>
  <c r="AM11" i="114" s="1"/>
  <c r="AL10" i="114"/>
  <c r="AM10" i="114" s="1"/>
  <c r="AL9" i="114"/>
  <c r="AM9" i="114" s="1"/>
  <c r="AL8" i="114"/>
  <c r="AM8" i="114" s="1"/>
  <c r="AL7" i="114"/>
  <c r="AM7" i="114" s="1"/>
  <c r="AL6" i="114"/>
  <c r="AM6" i="114" s="1"/>
  <c r="AK3" i="114"/>
  <c r="AJ3" i="114"/>
  <c r="AI3" i="114"/>
  <c r="AH3" i="114"/>
  <c r="AG3" i="114"/>
  <c r="AF3" i="114"/>
  <c r="AE3" i="114"/>
  <c r="AD3" i="114"/>
  <c r="AC3" i="114"/>
  <c r="AB3" i="114"/>
  <c r="AA3" i="114"/>
  <c r="Z3" i="114"/>
  <c r="Y3" i="114"/>
  <c r="X3" i="114"/>
  <c r="W3" i="114"/>
  <c r="V3" i="114"/>
  <c r="U3" i="114"/>
  <c r="T3" i="114"/>
  <c r="S3" i="114"/>
  <c r="R3" i="114"/>
  <c r="Q3" i="114"/>
  <c r="P3" i="114"/>
  <c r="O3" i="114"/>
  <c r="N3" i="114"/>
  <c r="M3" i="114"/>
  <c r="L3" i="114"/>
  <c r="AK2" i="114"/>
  <c r="AJ2" i="114"/>
  <c r="AI2" i="114"/>
  <c r="AH2" i="114"/>
  <c r="AG2" i="114"/>
  <c r="AF2" i="114"/>
  <c r="AE2" i="114"/>
  <c r="AD2" i="114"/>
  <c r="AC2" i="114"/>
  <c r="AB2" i="114"/>
  <c r="AA2" i="114"/>
  <c r="Z2" i="114"/>
  <c r="Y2" i="114"/>
  <c r="X2" i="114"/>
  <c r="W2" i="114"/>
  <c r="V2" i="114"/>
  <c r="U2" i="114"/>
  <c r="T2" i="114"/>
  <c r="S2" i="114"/>
  <c r="R2" i="114"/>
  <c r="Q2" i="114"/>
  <c r="P2" i="114"/>
  <c r="O2" i="114"/>
  <c r="N2" i="114"/>
  <c r="M2" i="114"/>
  <c r="L2" i="114"/>
  <c r="AK97" i="113"/>
  <c r="AJ97" i="113"/>
  <c r="AI97" i="113"/>
  <c r="AH97" i="113"/>
  <c r="AG97" i="113"/>
  <c r="AF97" i="113"/>
  <c r="AE97" i="113"/>
  <c r="AD97" i="113"/>
  <c r="AC97" i="113"/>
  <c r="AB97" i="113"/>
  <c r="AA97" i="113"/>
  <c r="Z97" i="113"/>
  <c r="Y97" i="113"/>
  <c r="X97" i="113"/>
  <c r="W97" i="113"/>
  <c r="V97" i="113"/>
  <c r="U97" i="113"/>
  <c r="T97" i="113"/>
  <c r="S97" i="113"/>
  <c r="R97" i="113"/>
  <c r="Q97" i="113"/>
  <c r="P97" i="113"/>
  <c r="O97" i="113"/>
  <c r="N97" i="113"/>
  <c r="M97" i="113"/>
  <c r="L97" i="113"/>
  <c r="J97" i="113"/>
  <c r="I97" i="113"/>
  <c r="B2" i="113" s="1"/>
  <c r="H97" i="113"/>
  <c r="G97" i="113"/>
  <c r="F1" i="113" s="1"/>
  <c r="AL96" i="113"/>
  <c r="AM96" i="113" s="1"/>
  <c r="AL95" i="113"/>
  <c r="AM95" i="113" s="1"/>
  <c r="AL94" i="113"/>
  <c r="AM94" i="113" s="1"/>
  <c r="AL93" i="113"/>
  <c r="AM93" i="113" s="1"/>
  <c r="AL92" i="113"/>
  <c r="AM92" i="113" s="1"/>
  <c r="AL91" i="113"/>
  <c r="AM91" i="113" s="1"/>
  <c r="AL90" i="113"/>
  <c r="AM90" i="113" s="1"/>
  <c r="AL89" i="113"/>
  <c r="AM89" i="113" s="1"/>
  <c r="AL88" i="113"/>
  <c r="AM88" i="113" s="1"/>
  <c r="AL87" i="113"/>
  <c r="AM87" i="113" s="1"/>
  <c r="AL86" i="113"/>
  <c r="AM86" i="113" s="1"/>
  <c r="AL85" i="113"/>
  <c r="AM85" i="113" s="1"/>
  <c r="AL84" i="113"/>
  <c r="AM84" i="113" s="1"/>
  <c r="AL83" i="113"/>
  <c r="AM83" i="113" s="1"/>
  <c r="AL82" i="113"/>
  <c r="AM82" i="113" s="1"/>
  <c r="AL81" i="113"/>
  <c r="AM81" i="113" s="1"/>
  <c r="AL80" i="113"/>
  <c r="AM80" i="113" s="1"/>
  <c r="AL79" i="113"/>
  <c r="AM79" i="113" s="1"/>
  <c r="AL78" i="113"/>
  <c r="AM78" i="113" s="1"/>
  <c r="AL77" i="113"/>
  <c r="AM77" i="113" s="1"/>
  <c r="AL76" i="113"/>
  <c r="AM76" i="113" s="1"/>
  <c r="AL75" i="113"/>
  <c r="AM75" i="113" s="1"/>
  <c r="AL74" i="113"/>
  <c r="AM74" i="113" s="1"/>
  <c r="AL73" i="113"/>
  <c r="AM73" i="113" s="1"/>
  <c r="AL72" i="113"/>
  <c r="AM72" i="113" s="1"/>
  <c r="AL71" i="113"/>
  <c r="AM71" i="113" s="1"/>
  <c r="AL70" i="113"/>
  <c r="AM70" i="113" s="1"/>
  <c r="AL69" i="113"/>
  <c r="AM69" i="113" s="1"/>
  <c r="AL68" i="113"/>
  <c r="AM68" i="113" s="1"/>
  <c r="AL67" i="113"/>
  <c r="AM67" i="113" s="1"/>
  <c r="AL66" i="113"/>
  <c r="AM66" i="113" s="1"/>
  <c r="AL65" i="113"/>
  <c r="AM65" i="113" s="1"/>
  <c r="AL64" i="113"/>
  <c r="AM64" i="113" s="1"/>
  <c r="AL63" i="113"/>
  <c r="AM63" i="113" s="1"/>
  <c r="AL62" i="113"/>
  <c r="AM62" i="113" s="1"/>
  <c r="AL61" i="113"/>
  <c r="AM61" i="113" s="1"/>
  <c r="AL60" i="113"/>
  <c r="AM60" i="113" s="1"/>
  <c r="AL59" i="113"/>
  <c r="AM59" i="113" s="1"/>
  <c r="AL58" i="113"/>
  <c r="AM58" i="113" s="1"/>
  <c r="AL57" i="113"/>
  <c r="AM57" i="113" s="1"/>
  <c r="AL56" i="113"/>
  <c r="AM56" i="113" s="1"/>
  <c r="AL55" i="113"/>
  <c r="AM55" i="113" s="1"/>
  <c r="AL54" i="113"/>
  <c r="AM54" i="113" s="1"/>
  <c r="AL53" i="113"/>
  <c r="AM53" i="113" s="1"/>
  <c r="AL52" i="113"/>
  <c r="AM52" i="113" s="1"/>
  <c r="AL51" i="113"/>
  <c r="AM51" i="113" s="1"/>
  <c r="AL50" i="113"/>
  <c r="AM50" i="113" s="1"/>
  <c r="AL49" i="113"/>
  <c r="AM49" i="113" s="1"/>
  <c r="AL48" i="113"/>
  <c r="AM48" i="113" s="1"/>
  <c r="AL47" i="113"/>
  <c r="AM47" i="113" s="1"/>
  <c r="AL46" i="113"/>
  <c r="AM46" i="113" s="1"/>
  <c r="AL45" i="113"/>
  <c r="AM45" i="113" s="1"/>
  <c r="AL44" i="113"/>
  <c r="AM44" i="113" s="1"/>
  <c r="AL43" i="113"/>
  <c r="AM43" i="113" s="1"/>
  <c r="AL42" i="113"/>
  <c r="AM42" i="113" s="1"/>
  <c r="AL41" i="113"/>
  <c r="AM41" i="113" s="1"/>
  <c r="AL40" i="113"/>
  <c r="AL39" i="113"/>
  <c r="AM39" i="113" s="1"/>
  <c r="AL38" i="113"/>
  <c r="AM38" i="113" s="1"/>
  <c r="AL37" i="113"/>
  <c r="AM37" i="113" s="1"/>
  <c r="AL36" i="113"/>
  <c r="AM36" i="113" s="1"/>
  <c r="AL35" i="113"/>
  <c r="AM35" i="113" s="1"/>
  <c r="AL34" i="113"/>
  <c r="AM34" i="113" s="1"/>
  <c r="AL33" i="113"/>
  <c r="AM33" i="113" s="1"/>
  <c r="AL32" i="113"/>
  <c r="AM32" i="113" s="1"/>
  <c r="AL31" i="113"/>
  <c r="AM31" i="113" s="1"/>
  <c r="AL30" i="113"/>
  <c r="AM30" i="113" s="1"/>
  <c r="AL29" i="113"/>
  <c r="AM29" i="113" s="1"/>
  <c r="AL28" i="113"/>
  <c r="AM28" i="113" s="1"/>
  <c r="AL27" i="113"/>
  <c r="AM27" i="113" s="1"/>
  <c r="AL26" i="113"/>
  <c r="AM26" i="113" s="1"/>
  <c r="AL25" i="113"/>
  <c r="AM25" i="113" s="1"/>
  <c r="AL24" i="113"/>
  <c r="AM24" i="113" s="1"/>
  <c r="AL23" i="113"/>
  <c r="AM23" i="113" s="1"/>
  <c r="AL22" i="113"/>
  <c r="AM22" i="113" s="1"/>
  <c r="AL21" i="113"/>
  <c r="AM21" i="113" s="1"/>
  <c r="AL20" i="113"/>
  <c r="AM20" i="113" s="1"/>
  <c r="AL19" i="113"/>
  <c r="AL18" i="113"/>
  <c r="AM18" i="113" s="1"/>
  <c r="AL17" i="113"/>
  <c r="AM17" i="113" s="1"/>
  <c r="AL16" i="113"/>
  <c r="AM16" i="113" s="1"/>
  <c r="AL15" i="113"/>
  <c r="AM15" i="113" s="1"/>
  <c r="AL14" i="113"/>
  <c r="AM14" i="113" s="1"/>
  <c r="AL13" i="113"/>
  <c r="AM13" i="113" s="1"/>
  <c r="AL12" i="113"/>
  <c r="AM12" i="113" s="1"/>
  <c r="AL11" i="113"/>
  <c r="AM11" i="113" s="1"/>
  <c r="AL10" i="113"/>
  <c r="AM10" i="113" s="1"/>
  <c r="AL9" i="113"/>
  <c r="AM9" i="113" s="1"/>
  <c r="AL8" i="113"/>
  <c r="AM8" i="113" s="1"/>
  <c r="AL7" i="113"/>
  <c r="AM7" i="113" s="1"/>
  <c r="AL6" i="113"/>
  <c r="AM6" i="113" s="1"/>
  <c r="AK3" i="113"/>
  <c r="AJ3" i="113"/>
  <c r="AI3" i="113"/>
  <c r="AH3" i="113"/>
  <c r="AG3" i="113"/>
  <c r="AF3" i="113"/>
  <c r="AE3" i="113"/>
  <c r="AD3" i="113"/>
  <c r="AC3" i="113"/>
  <c r="AB3" i="113"/>
  <c r="AA3" i="113"/>
  <c r="Z3" i="113"/>
  <c r="Y3" i="113"/>
  <c r="X3" i="113"/>
  <c r="W3" i="113"/>
  <c r="V3" i="113"/>
  <c r="U3" i="113"/>
  <c r="T3" i="113"/>
  <c r="S3" i="113"/>
  <c r="R3" i="113"/>
  <c r="Q3" i="113"/>
  <c r="P3" i="113"/>
  <c r="O3" i="113"/>
  <c r="N3" i="113"/>
  <c r="M3" i="113"/>
  <c r="L3" i="113"/>
  <c r="AK2" i="113"/>
  <c r="AJ2" i="113"/>
  <c r="AI2" i="113"/>
  <c r="AH2" i="113"/>
  <c r="AG2" i="113"/>
  <c r="AF2" i="113"/>
  <c r="AE2" i="113"/>
  <c r="AD2" i="113"/>
  <c r="AC2" i="113"/>
  <c r="AB2" i="113"/>
  <c r="AA2" i="113"/>
  <c r="Z2" i="113"/>
  <c r="Y2" i="113"/>
  <c r="X2" i="113"/>
  <c r="W2" i="113"/>
  <c r="V2" i="113"/>
  <c r="U2" i="113"/>
  <c r="T2" i="113"/>
  <c r="S2" i="113"/>
  <c r="R2" i="113"/>
  <c r="Q2" i="113"/>
  <c r="P2" i="113"/>
  <c r="O2" i="113"/>
  <c r="N2" i="113"/>
  <c r="M2" i="113"/>
  <c r="L2" i="113"/>
  <c r="AK97" i="111"/>
  <c r="AJ97" i="111"/>
  <c r="AI97" i="111"/>
  <c r="AH97" i="111"/>
  <c r="AG97" i="111"/>
  <c r="AF97" i="111"/>
  <c r="AE97" i="111"/>
  <c r="AD97" i="111"/>
  <c r="AC97" i="111"/>
  <c r="AB97" i="111"/>
  <c r="AA97" i="111"/>
  <c r="Z97" i="111"/>
  <c r="Y97" i="111"/>
  <c r="X97" i="111"/>
  <c r="W97" i="111"/>
  <c r="V97" i="111"/>
  <c r="U97" i="111"/>
  <c r="T97" i="111"/>
  <c r="S97" i="111"/>
  <c r="R97" i="111"/>
  <c r="Q97" i="111"/>
  <c r="P97" i="111"/>
  <c r="O97" i="111"/>
  <c r="N97" i="111"/>
  <c r="M97" i="111"/>
  <c r="L97" i="111"/>
  <c r="J97" i="111"/>
  <c r="I97" i="111"/>
  <c r="B1" i="111"/>
  <c r="G97" i="111"/>
  <c r="F1" i="111" s="1"/>
  <c r="AL96" i="111"/>
  <c r="AM96" i="111" s="1"/>
  <c r="AL95" i="111"/>
  <c r="AM95" i="111" s="1"/>
  <c r="AL94" i="111"/>
  <c r="AM94" i="111" s="1"/>
  <c r="AL93" i="111"/>
  <c r="AM93" i="111" s="1"/>
  <c r="AL92" i="111"/>
  <c r="AM92" i="111" s="1"/>
  <c r="AL91" i="111"/>
  <c r="AM91" i="111" s="1"/>
  <c r="AL90" i="111"/>
  <c r="AM90" i="111" s="1"/>
  <c r="AL89" i="111"/>
  <c r="AM89" i="111" s="1"/>
  <c r="AL88" i="111"/>
  <c r="AM88" i="111" s="1"/>
  <c r="AL87" i="111"/>
  <c r="AM87" i="111" s="1"/>
  <c r="AL86" i="111"/>
  <c r="AM86" i="111" s="1"/>
  <c r="AL85" i="111"/>
  <c r="AM85" i="111" s="1"/>
  <c r="AL84" i="111"/>
  <c r="AM84" i="111" s="1"/>
  <c r="AL83" i="111"/>
  <c r="AM83" i="111" s="1"/>
  <c r="AL82" i="111"/>
  <c r="AM82" i="111" s="1"/>
  <c r="AL81" i="111"/>
  <c r="AM81" i="111" s="1"/>
  <c r="AL80" i="111"/>
  <c r="AM80" i="111" s="1"/>
  <c r="AL79" i="111"/>
  <c r="AM79" i="111" s="1"/>
  <c r="AL78" i="111"/>
  <c r="AM78" i="111" s="1"/>
  <c r="AL77" i="111"/>
  <c r="AM77" i="111" s="1"/>
  <c r="AL76" i="111"/>
  <c r="AM76" i="111" s="1"/>
  <c r="AL75" i="111"/>
  <c r="AM75" i="111" s="1"/>
  <c r="AL74" i="111"/>
  <c r="AM74" i="111" s="1"/>
  <c r="AL73" i="111"/>
  <c r="AM73" i="111" s="1"/>
  <c r="AL72" i="111"/>
  <c r="AM72" i="111" s="1"/>
  <c r="AL71" i="111"/>
  <c r="AM71" i="111" s="1"/>
  <c r="AL70" i="111"/>
  <c r="AM70" i="111" s="1"/>
  <c r="AL69" i="111"/>
  <c r="AM69" i="111" s="1"/>
  <c r="AL68" i="111"/>
  <c r="AL67" i="111"/>
  <c r="AM67" i="111" s="1"/>
  <c r="AL66" i="111"/>
  <c r="AM66" i="111" s="1"/>
  <c r="AL65" i="111"/>
  <c r="AM65" i="111" s="1"/>
  <c r="AL64" i="111"/>
  <c r="AM64" i="111" s="1"/>
  <c r="AL63" i="111"/>
  <c r="AM63" i="111" s="1"/>
  <c r="AL62" i="111"/>
  <c r="AM62" i="111" s="1"/>
  <c r="AL61" i="111"/>
  <c r="AM61" i="111" s="1"/>
  <c r="AL60" i="111"/>
  <c r="AL59" i="111"/>
  <c r="AM59" i="111" s="1"/>
  <c r="AL58" i="111"/>
  <c r="AM58" i="111" s="1"/>
  <c r="AL57" i="111"/>
  <c r="AM57" i="111" s="1"/>
  <c r="AL56" i="111"/>
  <c r="AM56" i="111" s="1"/>
  <c r="AL55" i="111"/>
  <c r="AM55" i="111" s="1"/>
  <c r="AL54" i="111"/>
  <c r="AM54" i="111" s="1"/>
  <c r="AL53" i="111"/>
  <c r="AM53" i="111" s="1"/>
  <c r="AL52" i="111"/>
  <c r="AM52" i="111" s="1"/>
  <c r="AL51" i="111"/>
  <c r="AM51" i="111" s="1"/>
  <c r="AL50" i="111"/>
  <c r="AM50" i="111" s="1"/>
  <c r="AL49" i="111"/>
  <c r="AM49" i="111" s="1"/>
  <c r="AL48" i="111"/>
  <c r="AM48" i="111" s="1"/>
  <c r="AL47" i="111"/>
  <c r="AM47" i="111" s="1"/>
  <c r="AL46" i="111"/>
  <c r="AM46" i="111" s="1"/>
  <c r="AL45" i="111"/>
  <c r="AM45" i="111" s="1"/>
  <c r="AL44" i="111"/>
  <c r="AM44" i="111" s="1"/>
  <c r="AL43" i="111"/>
  <c r="AM43" i="111" s="1"/>
  <c r="AL42" i="111"/>
  <c r="AM42" i="111" s="1"/>
  <c r="AL41" i="111"/>
  <c r="AM41" i="111" s="1"/>
  <c r="AL40" i="111"/>
  <c r="AM40" i="111" s="1"/>
  <c r="AL39" i="111"/>
  <c r="AM39" i="111" s="1"/>
  <c r="AL38" i="111"/>
  <c r="AM38" i="111" s="1"/>
  <c r="AL37" i="111"/>
  <c r="AM37" i="111" s="1"/>
  <c r="AL36" i="111"/>
  <c r="AM36" i="111" s="1"/>
  <c r="AL35" i="111"/>
  <c r="AM35" i="111" s="1"/>
  <c r="AL34" i="111"/>
  <c r="AM34" i="111" s="1"/>
  <c r="AL33" i="111"/>
  <c r="AM33" i="111" s="1"/>
  <c r="AL32" i="111"/>
  <c r="AM32" i="111" s="1"/>
  <c r="AL31" i="111"/>
  <c r="AM31" i="111" s="1"/>
  <c r="AL30" i="111"/>
  <c r="AM30" i="111" s="1"/>
  <c r="AL29" i="111"/>
  <c r="AM29" i="111" s="1"/>
  <c r="AL28" i="111"/>
  <c r="AM28" i="111" s="1"/>
  <c r="AL27" i="111"/>
  <c r="AM27" i="111" s="1"/>
  <c r="AL26" i="111"/>
  <c r="AM26" i="111" s="1"/>
  <c r="AL25" i="111"/>
  <c r="AM25" i="111" s="1"/>
  <c r="AL24" i="111"/>
  <c r="AM24" i="111" s="1"/>
  <c r="AL23" i="111"/>
  <c r="AM23" i="111" s="1"/>
  <c r="AL22" i="111"/>
  <c r="AM22" i="111" s="1"/>
  <c r="AL21" i="111"/>
  <c r="AM21" i="111" s="1"/>
  <c r="AL20" i="111"/>
  <c r="AM20" i="111" s="1"/>
  <c r="AL19" i="111"/>
  <c r="AM19" i="111" s="1"/>
  <c r="AL18" i="111"/>
  <c r="AM18" i="111" s="1"/>
  <c r="AL17" i="111"/>
  <c r="AM17" i="111" s="1"/>
  <c r="AL16" i="111"/>
  <c r="AM16" i="111" s="1"/>
  <c r="AL15" i="111"/>
  <c r="AM15" i="111" s="1"/>
  <c r="AL14" i="111"/>
  <c r="AM14" i="111" s="1"/>
  <c r="AL13" i="111"/>
  <c r="AM13" i="111" s="1"/>
  <c r="AL12" i="111"/>
  <c r="AM12" i="111" s="1"/>
  <c r="AL11" i="111"/>
  <c r="AM11" i="111" s="1"/>
  <c r="AL10" i="111"/>
  <c r="AM10" i="111" s="1"/>
  <c r="AL9" i="111"/>
  <c r="AM9" i="111" s="1"/>
  <c r="AL8" i="111"/>
  <c r="AM8" i="111" s="1"/>
  <c r="AL7" i="111"/>
  <c r="AM7" i="111" s="1"/>
  <c r="AL6" i="111"/>
  <c r="AM6" i="111" s="1"/>
  <c r="AK3" i="111"/>
  <c r="AJ3" i="111"/>
  <c r="AI3" i="111"/>
  <c r="AH3" i="111"/>
  <c r="AG3" i="111"/>
  <c r="AF3" i="111"/>
  <c r="AE3" i="111"/>
  <c r="AD3" i="111"/>
  <c r="AC3" i="111"/>
  <c r="AB3" i="111"/>
  <c r="AA3" i="111"/>
  <c r="Z3" i="111"/>
  <c r="Y3" i="111"/>
  <c r="X3" i="111"/>
  <c r="W3" i="111"/>
  <c r="V3" i="111"/>
  <c r="U3" i="111"/>
  <c r="T3" i="111"/>
  <c r="S3" i="111"/>
  <c r="R3" i="111"/>
  <c r="Q3" i="111"/>
  <c r="P3" i="111"/>
  <c r="O3" i="111"/>
  <c r="N3" i="111"/>
  <c r="M3" i="111"/>
  <c r="L3" i="111"/>
  <c r="AK2" i="111"/>
  <c r="AJ2" i="111"/>
  <c r="AI2" i="111"/>
  <c r="AH2" i="111"/>
  <c r="AG2" i="111"/>
  <c r="AF2" i="111"/>
  <c r="AE2" i="111"/>
  <c r="AD2" i="111"/>
  <c r="AC2" i="111"/>
  <c r="AB2" i="111"/>
  <c r="AA2" i="111"/>
  <c r="Z2" i="111"/>
  <c r="Y2" i="111"/>
  <c r="X2" i="111"/>
  <c r="W2" i="111"/>
  <c r="V2" i="111"/>
  <c r="U2" i="111"/>
  <c r="T2" i="111"/>
  <c r="S2" i="111"/>
  <c r="R2" i="111"/>
  <c r="Q2" i="111"/>
  <c r="P2" i="111"/>
  <c r="O2" i="111"/>
  <c r="N2" i="111"/>
  <c r="M2" i="111"/>
  <c r="L2" i="111"/>
  <c r="AK97" i="110"/>
  <c r="AJ97" i="110"/>
  <c r="AI97" i="110"/>
  <c r="AH97" i="110"/>
  <c r="AG97" i="110"/>
  <c r="AF97" i="110"/>
  <c r="AE97" i="110"/>
  <c r="AD97" i="110"/>
  <c r="AC97" i="110"/>
  <c r="AB97" i="110"/>
  <c r="AA97" i="110"/>
  <c r="Z97" i="110"/>
  <c r="Y97" i="110"/>
  <c r="X97" i="110"/>
  <c r="W97" i="110"/>
  <c r="V97" i="110"/>
  <c r="U97" i="110"/>
  <c r="T97" i="110"/>
  <c r="S97" i="110"/>
  <c r="R97" i="110"/>
  <c r="Q97" i="110"/>
  <c r="P97" i="110"/>
  <c r="O97" i="110"/>
  <c r="N97" i="110"/>
  <c r="M97" i="110"/>
  <c r="L97" i="110"/>
  <c r="J97" i="110"/>
  <c r="I97" i="110"/>
  <c r="B2" i="110" s="1"/>
  <c r="H97" i="110"/>
  <c r="B1" i="110" s="1"/>
  <c r="G97" i="110"/>
  <c r="F1" i="110" s="1"/>
  <c r="AL96" i="110"/>
  <c r="AM96" i="110" s="1"/>
  <c r="AL95" i="110"/>
  <c r="AM95" i="110" s="1"/>
  <c r="AL94" i="110"/>
  <c r="AM94" i="110" s="1"/>
  <c r="AL93" i="110"/>
  <c r="AM93" i="110" s="1"/>
  <c r="AL92" i="110"/>
  <c r="AM92" i="110" s="1"/>
  <c r="AL91" i="110"/>
  <c r="AM91" i="110" s="1"/>
  <c r="AL90" i="110"/>
  <c r="AM90" i="110" s="1"/>
  <c r="AL89" i="110"/>
  <c r="AM89" i="110" s="1"/>
  <c r="AL88" i="110"/>
  <c r="AM88" i="110" s="1"/>
  <c r="AL87" i="110"/>
  <c r="AM87" i="110" s="1"/>
  <c r="AL86" i="110"/>
  <c r="AM86" i="110" s="1"/>
  <c r="AL85" i="110"/>
  <c r="AM85" i="110" s="1"/>
  <c r="AL84" i="110"/>
  <c r="AM84" i="110" s="1"/>
  <c r="AL83" i="110"/>
  <c r="AM83" i="110" s="1"/>
  <c r="AL82" i="110"/>
  <c r="AM82" i="110" s="1"/>
  <c r="AL81" i="110"/>
  <c r="AM81" i="110" s="1"/>
  <c r="AL80" i="110"/>
  <c r="AM80" i="110" s="1"/>
  <c r="AL79" i="110"/>
  <c r="AM79" i="110" s="1"/>
  <c r="AL78" i="110"/>
  <c r="AM78" i="110" s="1"/>
  <c r="AL77" i="110"/>
  <c r="AM77" i="110" s="1"/>
  <c r="AL76" i="110"/>
  <c r="AM76" i="110" s="1"/>
  <c r="AL75" i="110"/>
  <c r="AM75" i="110" s="1"/>
  <c r="AL74" i="110"/>
  <c r="AM74" i="110" s="1"/>
  <c r="AL73" i="110"/>
  <c r="AM73" i="110" s="1"/>
  <c r="AL72" i="110"/>
  <c r="AM72" i="110" s="1"/>
  <c r="AL71" i="110"/>
  <c r="AM71" i="110" s="1"/>
  <c r="AL70" i="110"/>
  <c r="AM70" i="110" s="1"/>
  <c r="AL69" i="110"/>
  <c r="AM69" i="110" s="1"/>
  <c r="AL68" i="110"/>
  <c r="AM68" i="110" s="1"/>
  <c r="AL67" i="110"/>
  <c r="AM67" i="110" s="1"/>
  <c r="AL66" i="110"/>
  <c r="AM66" i="110" s="1"/>
  <c r="AL65" i="110"/>
  <c r="AM65" i="110" s="1"/>
  <c r="AL64" i="110"/>
  <c r="AM64" i="110" s="1"/>
  <c r="AL63" i="110"/>
  <c r="AM63" i="110" s="1"/>
  <c r="AL62" i="110"/>
  <c r="AM62" i="110" s="1"/>
  <c r="AL61" i="110"/>
  <c r="AM61" i="110" s="1"/>
  <c r="AL60" i="110"/>
  <c r="AM60" i="110" s="1"/>
  <c r="AL59" i="110"/>
  <c r="AM59" i="110" s="1"/>
  <c r="AL58" i="110"/>
  <c r="AM58" i="110" s="1"/>
  <c r="AL57" i="110"/>
  <c r="AM57" i="110" s="1"/>
  <c r="AL56" i="110"/>
  <c r="AM56" i="110" s="1"/>
  <c r="AL55" i="110"/>
  <c r="AM55" i="110" s="1"/>
  <c r="AL54" i="110"/>
  <c r="AM54" i="110" s="1"/>
  <c r="AL53" i="110"/>
  <c r="AM53" i="110" s="1"/>
  <c r="AL52" i="110"/>
  <c r="AM52" i="110" s="1"/>
  <c r="AL51" i="110"/>
  <c r="AM51" i="110" s="1"/>
  <c r="AL50" i="110"/>
  <c r="AM50" i="110" s="1"/>
  <c r="AL49" i="110"/>
  <c r="AM49" i="110" s="1"/>
  <c r="AL48" i="110"/>
  <c r="AM48" i="110" s="1"/>
  <c r="AL47" i="110"/>
  <c r="AM47" i="110" s="1"/>
  <c r="AL46" i="110"/>
  <c r="AM46" i="110" s="1"/>
  <c r="AL45" i="110"/>
  <c r="AM45" i="110" s="1"/>
  <c r="AL44" i="110"/>
  <c r="AM44" i="110" s="1"/>
  <c r="AL43" i="110"/>
  <c r="AM43" i="110" s="1"/>
  <c r="AL42" i="110"/>
  <c r="AM42" i="110" s="1"/>
  <c r="AL41" i="110"/>
  <c r="AM41" i="110" s="1"/>
  <c r="AL40" i="110"/>
  <c r="AM40" i="110" s="1"/>
  <c r="AL39" i="110"/>
  <c r="AM39" i="110" s="1"/>
  <c r="AL38" i="110"/>
  <c r="AM38" i="110" s="1"/>
  <c r="AL37" i="110"/>
  <c r="AM37" i="110" s="1"/>
  <c r="AL36" i="110"/>
  <c r="AM36" i="110" s="1"/>
  <c r="AL35" i="110"/>
  <c r="AM35" i="110" s="1"/>
  <c r="AL34" i="110"/>
  <c r="AM34" i="110" s="1"/>
  <c r="AL33" i="110"/>
  <c r="AL32" i="110"/>
  <c r="AM32" i="110" s="1"/>
  <c r="AL31" i="110"/>
  <c r="AM31" i="110" s="1"/>
  <c r="AL30" i="110"/>
  <c r="AM30" i="110" s="1"/>
  <c r="AL29" i="110"/>
  <c r="AM29" i="110" s="1"/>
  <c r="AL28" i="110"/>
  <c r="AM28" i="110" s="1"/>
  <c r="AL27" i="110"/>
  <c r="AM27" i="110" s="1"/>
  <c r="AL26" i="110"/>
  <c r="AM26" i="110" s="1"/>
  <c r="AL25" i="110"/>
  <c r="AM25" i="110" s="1"/>
  <c r="AL24" i="110"/>
  <c r="AM24" i="110" s="1"/>
  <c r="AL23" i="110"/>
  <c r="AM23" i="110" s="1"/>
  <c r="AL22" i="110"/>
  <c r="AM22" i="110" s="1"/>
  <c r="AL21" i="110"/>
  <c r="AM21" i="110" s="1"/>
  <c r="AL20" i="110"/>
  <c r="AM20" i="110" s="1"/>
  <c r="AL19" i="110"/>
  <c r="AM19" i="110" s="1"/>
  <c r="AL18" i="110"/>
  <c r="AM18" i="110" s="1"/>
  <c r="AL17" i="110"/>
  <c r="AM17" i="110" s="1"/>
  <c r="AL16" i="110"/>
  <c r="AM16" i="110" s="1"/>
  <c r="AL15" i="110"/>
  <c r="AM15" i="110" s="1"/>
  <c r="AL14" i="110"/>
  <c r="AM14" i="110" s="1"/>
  <c r="AL13" i="110"/>
  <c r="AM13" i="110" s="1"/>
  <c r="AL12" i="110"/>
  <c r="AM12" i="110" s="1"/>
  <c r="AL11" i="110"/>
  <c r="AM11" i="110" s="1"/>
  <c r="AL10" i="110"/>
  <c r="AM10" i="110" s="1"/>
  <c r="AL9" i="110"/>
  <c r="AM9" i="110" s="1"/>
  <c r="AL8" i="110"/>
  <c r="AM8" i="110" s="1"/>
  <c r="AL7" i="110"/>
  <c r="AM7" i="110" s="1"/>
  <c r="AL6" i="110"/>
  <c r="AM6" i="110" s="1"/>
  <c r="AK3" i="110"/>
  <c r="AJ3" i="110"/>
  <c r="AI3" i="110"/>
  <c r="AH3" i="110"/>
  <c r="AG3" i="110"/>
  <c r="AF3" i="110"/>
  <c r="AE3" i="110"/>
  <c r="AD3" i="110"/>
  <c r="AC3" i="110"/>
  <c r="AB3" i="110"/>
  <c r="AA3" i="110"/>
  <c r="Z3" i="110"/>
  <c r="Y3" i="110"/>
  <c r="X3" i="110"/>
  <c r="W3" i="110"/>
  <c r="V3" i="110"/>
  <c r="U3" i="110"/>
  <c r="T3" i="110"/>
  <c r="S3" i="110"/>
  <c r="R3" i="110"/>
  <c r="Q3" i="110"/>
  <c r="P3" i="110"/>
  <c r="O3" i="110"/>
  <c r="N3" i="110"/>
  <c r="M3" i="110"/>
  <c r="L3" i="110"/>
  <c r="AK2" i="110"/>
  <c r="AJ2" i="110"/>
  <c r="AI2" i="110"/>
  <c r="AH2" i="110"/>
  <c r="AG2" i="110"/>
  <c r="AF2" i="110"/>
  <c r="AE2" i="110"/>
  <c r="AD2" i="110"/>
  <c r="AC2" i="110"/>
  <c r="AB2" i="110"/>
  <c r="AA2" i="110"/>
  <c r="Z2" i="110"/>
  <c r="Y2" i="110"/>
  <c r="X2" i="110"/>
  <c r="W2" i="110"/>
  <c r="V2" i="110"/>
  <c r="U2" i="110"/>
  <c r="T2" i="110"/>
  <c r="S2" i="110"/>
  <c r="R2" i="110"/>
  <c r="Q2" i="110"/>
  <c r="P2" i="110"/>
  <c r="O2" i="110"/>
  <c r="N2" i="110"/>
  <c r="M2" i="110"/>
  <c r="L2" i="110"/>
  <c r="AK97" i="112"/>
  <c r="AJ97" i="112"/>
  <c r="AI97" i="112"/>
  <c r="AH97" i="112"/>
  <c r="AG97" i="112"/>
  <c r="AF97" i="112"/>
  <c r="AE97" i="112"/>
  <c r="AD97" i="112"/>
  <c r="AC97" i="112"/>
  <c r="AB97" i="112"/>
  <c r="AA97" i="112"/>
  <c r="Z97" i="112"/>
  <c r="Y97" i="112"/>
  <c r="X97" i="112"/>
  <c r="W97" i="112"/>
  <c r="V97" i="112"/>
  <c r="U97" i="112"/>
  <c r="T97" i="112"/>
  <c r="S97" i="112"/>
  <c r="R97" i="112"/>
  <c r="Q97" i="112"/>
  <c r="P97" i="112"/>
  <c r="O97" i="112"/>
  <c r="N97" i="112"/>
  <c r="M97" i="112"/>
  <c r="L97" i="112"/>
  <c r="J97" i="112"/>
  <c r="I97" i="112"/>
  <c r="B2" i="112" s="1"/>
  <c r="H97" i="112"/>
  <c r="G97" i="112"/>
  <c r="AL96" i="112"/>
  <c r="AM96" i="112" s="1"/>
  <c r="AL95" i="112"/>
  <c r="AM95" i="112" s="1"/>
  <c r="AL94" i="112"/>
  <c r="AM94" i="112" s="1"/>
  <c r="AL93" i="112"/>
  <c r="AM93" i="112" s="1"/>
  <c r="AL92" i="112"/>
  <c r="AM92" i="112" s="1"/>
  <c r="AL91" i="112"/>
  <c r="AM91" i="112" s="1"/>
  <c r="AL90" i="112"/>
  <c r="AM90" i="112" s="1"/>
  <c r="AL89" i="112"/>
  <c r="AM89" i="112" s="1"/>
  <c r="AL88" i="112"/>
  <c r="AM88" i="112" s="1"/>
  <c r="AL87" i="112"/>
  <c r="AM87" i="112" s="1"/>
  <c r="AL86" i="112"/>
  <c r="AM86" i="112" s="1"/>
  <c r="AL85" i="112"/>
  <c r="AM85" i="112" s="1"/>
  <c r="AL84" i="112"/>
  <c r="AM84" i="112" s="1"/>
  <c r="AL83" i="112"/>
  <c r="AM83" i="112" s="1"/>
  <c r="AL82" i="112"/>
  <c r="AM82" i="112" s="1"/>
  <c r="AL81" i="112"/>
  <c r="AM81" i="112" s="1"/>
  <c r="AL80" i="112"/>
  <c r="AM80" i="112" s="1"/>
  <c r="AL79" i="112"/>
  <c r="AM79" i="112" s="1"/>
  <c r="AL78" i="112"/>
  <c r="AM78" i="112" s="1"/>
  <c r="AL77" i="112"/>
  <c r="AM77" i="112" s="1"/>
  <c r="AL76" i="112"/>
  <c r="AM76" i="112" s="1"/>
  <c r="AL75" i="112"/>
  <c r="AM75" i="112" s="1"/>
  <c r="AL74" i="112"/>
  <c r="AM74" i="112" s="1"/>
  <c r="AL73" i="112"/>
  <c r="AM73" i="112" s="1"/>
  <c r="AL72" i="112"/>
  <c r="AM72" i="112" s="1"/>
  <c r="AL71" i="112"/>
  <c r="AM71" i="112" s="1"/>
  <c r="AL70" i="112"/>
  <c r="AM70" i="112" s="1"/>
  <c r="AL69" i="112"/>
  <c r="AM69" i="112" s="1"/>
  <c r="AL68" i="112"/>
  <c r="AM68" i="112" s="1"/>
  <c r="AL67" i="112"/>
  <c r="AM67" i="112" s="1"/>
  <c r="AL66" i="112"/>
  <c r="AM66" i="112" s="1"/>
  <c r="AL65" i="112"/>
  <c r="AM65" i="112" s="1"/>
  <c r="AL64" i="112"/>
  <c r="AM64" i="112" s="1"/>
  <c r="AL63" i="112"/>
  <c r="AM63" i="112" s="1"/>
  <c r="AL62" i="112"/>
  <c r="AM62" i="112" s="1"/>
  <c r="AL61" i="112"/>
  <c r="AM61" i="112" s="1"/>
  <c r="AL60" i="112"/>
  <c r="AM60" i="112" s="1"/>
  <c r="AL59" i="112"/>
  <c r="AM59" i="112" s="1"/>
  <c r="AL58" i="112"/>
  <c r="AM58" i="112" s="1"/>
  <c r="AL57" i="112"/>
  <c r="AM57" i="112" s="1"/>
  <c r="AL56" i="112"/>
  <c r="AM56" i="112" s="1"/>
  <c r="AL55" i="112"/>
  <c r="AM55" i="112" s="1"/>
  <c r="AL54" i="112"/>
  <c r="AM54" i="112" s="1"/>
  <c r="AL53" i="112"/>
  <c r="AM53" i="112" s="1"/>
  <c r="AL52" i="112"/>
  <c r="AM52" i="112" s="1"/>
  <c r="AL51" i="112"/>
  <c r="AM51" i="112" s="1"/>
  <c r="AL50" i="112"/>
  <c r="AM50" i="112" s="1"/>
  <c r="AL49" i="112"/>
  <c r="AM49" i="112" s="1"/>
  <c r="AL48" i="112"/>
  <c r="AM48" i="112" s="1"/>
  <c r="AL47" i="112"/>
  <c r="AM47" i="112" s="1"/>
  <c r="AL46" i="112"/>
  <c r="AM46" i="112" s="1"/>
  <c r="AL45" i="112"/>
  <c r="AM45" i="112" s="1"/>
  <c r="AL44" i="112"/>
  <c r="AM44" i="112" s="1"/>
  <c r="AL43" i="112"/>
  <c r="AM43" i="112" s="1"/>
  <c r="AL42" i="112"/>
  <c r="AM42" i="112" s="1"/>
  <c r="AL41" i="112"/>
  <c r="AM41" i="112" s="1"/>
  <c r="AL40" i="112"/>
  <c r="AM40" i="112" s="1"/>
  <c r="AL39" i="112"/>
  <c r="AM39" i="112" s="1"/>
  <c r="AL38" i="112"/>
  <c r="AM38" i="112" s="1"/>
  <c r="AL37" i="112"/>
  <c r="AM37" i="112" s="1"/>
  <c r="AL36" i="112"/>
  <c r="AM36" i="112" s="1"/>
  <c r="AL35" i="112"/>
  <c r="AM35" i="112" s="1"/>
  <c r="AL34" i="112"/>
  <c r="AM34" i="112" s="1"/>
  <c r="AL33" i="112"/>
  <c r="AM33" i="112" s="1"/>
  <c r="AL32" i="112"/>
  <c r="AM32" i="112" s="1"/>
  <c r="AL31" i="112"/>
  <c r="AM31" i="112" s="1"/>
  <c r="AL30" i="112"/>
  <c r="AM30" i="112" s="1"/>
  <c r="AL29" i="112"/>
  <c r="AM29" i="112" s="1"/>
  <c r="AL28" i="112"/>
  <c r="AM28" i="112" s="1"/>
  <c r="AL27" i="112"/>
  <c r="AM27" i="112" s="1"/>
  <c r="AL26" i="112"/>
  <c r="AM26" i="112" s="1"/>
  <c r="AL25" i="112"/>
  <c r="AM25" i="112" s="1"/>
  <c r="AL24" i="112"/>
  <c r="AM24" i="112" s="1"/>
  <c r="AL23" i="112"/>
  <c r="AM23" i="112" s="1"/>
  <c r="AL22" i="112"/>
  <c r="AM22" i="112" s="1"/>
  <c r="AL21" i="112"/>
  <c r="AM21" i="112" s="1"/>
  <c r="AL20" i="112"/>
  <c r="AM20" i="112" s="1"/>
  <c r="AL19" i="112"/>
  <c r="AM19" i="112" s="1"/>
  <c r="AL18" i="112"/>
  <c r="AM18" i="112" s="1"/>
  <c r="AL17" i="112"/>
  <c r="AM17" i="112" s="1"/>
  <c r="AL16" i="112"/>
  <c r="AM16" i="112" s="1"/>
  <c r="AL15" i="112"/>
  <c r="AM15" i="112" s="1"/>
  <c r="AL14" i="112"/>
  <c r="AM14" i="112" s="1"/>
  <c r="AL13" i="112"/>
  <c r="AM13" i="112" s="1"/>
  <c r="AL12" i="112"/>
  <c r="AM12" i="112" s="1"/>
  <c r="AL11" i="112"/>
  <c r="AM11" i="112" s="1"/>
  <c r="AL10" i="112"/>
  <c r="AM10" i="112" s="1"/>
  <c r="AL9" i="112"/>
  <c r="AM9" i="112" s="1"/>
  <c r="AL8" i="112"/>
  <c r="AM8" i="112" s="1"/>
  <c r="AL7" i="112"/>
  <c r="AM7" i="112" s="1"/>
  <c r="AL6" i="112"/>
  <c r="AK3" i="112"/>
  <c r="AJ3" i="112"/>
  <c r="AI3" i="112"/>
  <c r="AH3" i="112"/>
  <c r="AG3" i="112"/>
  <c r="AF3" i="112"/>
  <c r="AE3" i="112"/>
  <c r="AD3" i="112"/>
  <c r="AC3" i="112"/>
  <c r="AB3" i="112"/>
  <c r="AA3" i="112"/>
  <c r="Z3" i="112"/>
  <c r="Y3" i="112"/>
  <c r="X3" i="112"/>
  <c r="W3" i="112"/>
  <c r="V3" i="112"/>
  <c r="U3" i="112"/>
  <c r="T3" i="112"/>
  <c r="S3" i="112"/>
  <c r="R3" i="112"/>
  <c r="Q3" i="112"/>
  <c r="P3" i="112"/>
  <c r="O3" i="112"/>
  <c r="N3" i="112"/>
  <c r="M3" i="112"/>
  <c r="L3" i="112"/>
  <c r="AK2" i="112"/>
  <c r="AJ2" i="112"/>
  <c r="AI2" i="112"/>
  <c r="AH2" i="112"/>
  <c r="AG2" i="112"/>
  <c r="AF2" i="112"/>
  <c r="AE2" i="112"/>
  <c r="AD2" i="112"/>
  <c r="AC2" i="112"/>
  <c r="AB2" i="112"/>
  <c r="AA2" i="112"/>
  <c r="Z2" i="112"/>
  <c r="Y2" i="112"/>
  <c r="X2" i="112"/>
  <c r="W2" i="112"/>
  <c r="V2" i="112"/>
  <c r="U2" i="112"/>
  <c r="T2" i="112"/>
  <c r="S2" i="112"/>
  <c r="R2" i="112"/>
  <c r="Q2" i="112"/>
  <c r="P2" i="112"/>
  <c r="O2" i="112"/>
  <c r="N2" i="112"/>
  <c r="M2" i="112"/>
  <c r="L2" i="112"/>
  <c r="F1" i="112"/>
  <c r="AK97" i="109"/>
  <c r="AJ97" i="109"/>
  <c r="AI97" i="109"/>
  <c r="AH97" i="109"/>
  <c r="AG97" i="109"/>
  <c r="AF97" i="109"/>
  <c r="AE97" i="109"/>
  <c r="AD97" i="109"/>
  <c r="AC97" i="109"/>
  <c r="AB97" i="109"/>
  <c r="AA97" i="109"/>
  <c r="Z97" i="109"/>
  <c r="Y97" i="109"/>
  <c r="X97" i="109"/>
  <c r="W97" i="109"/>
  <c r="V97" i="109"/>
  <c r="U97" i="109"/>
  <c r="T97" i="109"/>
  <c r="S97" i="109"/>
  <c r="R97" i="109"/>
  <c r="Q97" i="109"/>
  <c r="P97" i="109"/>
  <c r="O97" i="109"/>
  <c r="N97" i="109"/>
  <c r="M97" i="109"/>
  <c r="L97" i="109"/>
  <c r="J97" i="109"/>
  <c r="I97" i="109"/>
  <c r="H97" i="109"/>
  <c r="B1" i="109" s="1"/>
  <c r="G97" i="109"/>
  <c r="F1" i="109" s="1"/>
  <c r="AL96" i="109"/>
  <c r="AM96" i="109" s="1"/>
  <c r="AL95" i="109"/>
  <c r="AM95" i="109" s="1"/>
  <c r="AL94" i="109"/>
  <c r="AM94" i="109" s="1"/>
  <c r="AL93" i="109"/>
  <c r="AM93" i="109" s="1"/>
  <c r="AL92" i="109"/>
  <c r="AM92" i="109" s="1"/>
  <c r="AL91" i="109"/>
  <c r="AM91" i="109" s="1"/>
  <c r="AL90" i="109"/>
  <c r="AM90" i="109" s="1"/>
  <c r="AL89" i="109"/>
  <c r="AM89" i="109" s="1"/>
  <c r="AL88" i="109"/>
  <c r="AM88" i="109" s="1"/>
  <c r="AL87" i="109"/>
  <c r="AM87" i="109" s="1"/>
  <c r="AL86" i="109"/>
  <c r="AM86" i="109" s="1"/>
  <c r="AL85" i="109"/>
  <c r="AM85" i="109" s="1"/>
  <c r="AL84" i="109"/>
  <c r="AM84" i="109" s="1"/>
  <c r="AL83" i="109"/>
  <c r="AM83" i="109" s="1"/>
  <c r="AL82" i="109"/>
  <c r="AM82" i="109" s="1"/>
  <c r="AL81" i="109"/>
  <c r="AM81" i="109" s="1"/>
  <c r="AL80" i="109"/>
  <c r="AM80" i="109" s="1"/>
  <c r="AL79" i="109"/>
  <c r="AM79" i="109" s="1"/>
  <c r="AL78" i="109"/>
  <c r="AM78" i="109" s="1"/>
  <c r="AL77" i="109"/>
  <c r="AM77" i="109" s="1"/>
  <c r="AL76" i="109"/>
  <c r="AM76" i="109" s="1"/>
  <c r="AL75" i="109"/>
  <c r="AM75" i="109" s="1"/>
  <c r="AL74" i="109"/>
  <c r="AM74" i="109" s="1"/>
  <c r="AL73" i="109"/>
  <c r="AM73" i="109" s="1"/>
  <c r="AL72" i="109"/>
  <c r="AM72" i="109" s="1"/>
  <c r="AL71" i="109"/>
  <c r="AL70" i="109"/>
  <c r="AM70" i="109" s="1"/>
  <c r="AL69" i="109"/>
  <c r="AM69" i="109" s="1"/>
  <c r="AL68" i="109"/>
  <c r="AM68" i="109" s="1"/>
  <c r="AL67" i="109"/>
  <c r="AM67" i="109" s="1"/>
  <c r="AL66" i="109"/>
  <c r="AM66" i="109" s="1"/>
  <c r="AL65" i="109"/>
  <c r="AM65" i="109" s="1"/>
  <c r="AL64" i="109"/>
  <c r="AM64" i="109" s="1"/>
  <c r="AL63" i="109"/>
  <c r="AM63" i="109" s="1"/>
  <c r="AL62" i="109"/>
  <c r="AM62" i="109" s="1"/>
  <c r="AL61" i="109"/>
  <c r="AM61" i="109" s="1"/>
  <c r="AL60" i="109"/>
  <c r="AM60" i="109" s="1"/>
  <c r="AL59" i="109"/>
  <c r="AM59" i="109" s="1"/>
  <c r="AL58" i="109"/>
  <c r="AM58" i="109" s="1"/>
  <c r="AL57" i="109"/>
  <c r="AM57" i="109" s="1"/>
  <c r="AL56" i="109"/>
  <c r="AM56" i="109" s="1"/>
  <c r="AL55" i="109"/>
  <c r="AM55" i="109" s="1"/>
  <c r="AL54" i="109"/>
  <c r="AM54" i="109" s="1"/>
  <c r="AL53" i="109"/>
  <c r="AM53" i="109" s="1"/>
  <c r="AL52" i="109"/>
  <c r="AM52" i="109" s="1"/>
  <c r="AL51" i="109"/>
  <c r="AM51" i="109" s="1"/>
  <c r="AL50" i="109"/>
  <c r="AM50" i="109" s="1"/>
  <c r="AL49" i="109"/>
  <c r="AM49" i="109" s="1"/>
  <c r="AL48" i="109"/>
  <c r="AM48" i="109" s="1"/>
  <c r="AL47" i="109"/>
  <c r="AM47" i="109" s="1"/>
  <c r="AL46" i="109"/>
  <c r="AM46" i="109" s="1"/>
  <c r="AL45" i="109"/>
  <c r="AM45" i="109" s="1"/>
  <c r="AL44" i="109"/>
  <c r="AM44" i="109" s="1"/>
  <c r="AL43" i="109"/>
  <c r="AM43" i="109" s="1"/>
  <c r="AL42" i="109"/>
  <c r="AM42" i="109" s="1"/>
  <c r="AL41" i="109"/>
  <c r="AM41" i="109" s="1"/>
  <c r="AL40" i="109"/>
  <c r="AM40" i="109" s="1"/>
  <c r="AL39" i="109"/>
  <c r="AM39" i="109" s="1"/>
  <c r="AL38" i="109"/>
  <c r="AL37" i="109"/>
  <c r="AM37" i="109" s="1"/>
  <c r="AL36" i="109"/>
  <c r="AM36" i="109" s="1"/>
  <c r="AL35" i="109"/>
  <c r="AM35" i="109" s="1"/>
  <c r="AL34" i="109"/>
  <c r="AM34" i="109" s="1"/>
  <c r="AL33" i="109"/>
  <c r="AM33" i="109" s="1"/>
  <c r="AL32" i="109"/>
  <c r="AM32" i="109" s="1"/>
  <c r="AL31" i="109"/>
  <c r="AM31" i="109" s="1"/>
  <c r="AL30" i="109"/>
  <c r="AM30" i="109" s="1"/>
  <c r="AL29" i="109"/>
  <c r="AM29" i="109" s="1"/>
  <c r="AL28" i="109"/>
  <c r="AM28" i="109" s="1"/>
  <c r="AL27" i="109"/>
  <c r="AM27" i="109" s="1"/>
  <c r="AL26" i="109"/>
  <c r="AM26" i="109" s="1"/>
  <c r="AL25" i="109"/>
  <c r="AM25" i="109" s="1"/>
  <c r="AL24" i="109"/>
  <c r="AM24" i="109" s="1"/>
  <c r="AL23" i="109"/>
  <c r="AM23" i="109" s="1"/>
  <c r="AL22" i="109"/>
  <c r="AM22" i="109" s="1"/>
  <c r="AL21" i="109"/>
  <c r="AM21" i="109" s="1"/>
  <c r="AL20" i="109"/>
  <c r="AM20" i="109" s="1"/>
  <c r="AL19" i="109"/>
  <c r="AM19" i="109" s="1"/>
  <c r="AL18" i="109"/>
  <c r="AM18" i="109" s="1"/>
  <c r="AL17" i="109"/>
  <c r="AM17" i="109" s="1"/>
  <c r="AL16" i="109"/>
  <c r="AM16" i="109" s="1"/>
  <c r="AL15" i="109"/>
  <c r="AM15" i="109" s="1"/>
  <c r="AL14" i="109"/>
  <c r="AM14" i="109" s="1"/>
  <c r="AL13" i="109"/>
  <c r="AM13" i="109" s="1"/>
  <c r="AL12" i="109"/>
  <c r="AM12" i="109" s="1"/>
  <c r="AL11" i="109"/>
  <c r="AM11" i="109" s="1"/>
  <c r="AL10" i="109"/>
  <c r="AM10" i="109" s="1"/>
  <c r="AL9" i="109"/>
  <c r="AM9" i="109" s="1"/>
  <c r="AL8" i="109"/>
  <c r="AM8" i="109" s="1"/>
  <c r="AL7" i="109"/>
  <c r="AM7" i="109" s="1"/>
  <c r="AL6" i="109"/>
  <c r="AM6" i="109" s="1"/>
  <c r="AK3" i="109"/>
  <c r="AJ3" i="109"/>
  <c r="AI3" i="109"/>
  <c r="AH3" i="109"/>
  <c r="AG3" i="109"/>
  <c r="AF3" i="109"/>
  <c r="AE3" i="109"/>
  <c r="AD3" i="109"/>
  <c r="AC3" i="109"/>
  <c r="AB3" i="109"/>
  <c r="AA3" i="109"/>
  <c r="Z3" i="109"/>
  <c r="Y3" i="109"/>
  <c r="X3" i="109"/>
  <c r="W3" i="109"/>
  <c r="V3" i="109"/>
  <c r="U3" i="109"/>
  <c r="T3" i="109"/>
  <c r="S3" i="109"/>
  <c r="R3" i="109"/>
  <c r="Q3" i="109"/>
  <c r="P3" i="109"/>
  <c r="O3" i="109"/>
  <c r="N3" i="109"/>
  <c r="M3" i="109"/>
  <c r="L3" i="109"/>
  <c r="AK2" i="109"/>
  <c r="AJ2" i="109"/>
  <c r="AI2" i="109"/>
  <c r="AH2" i="109"/>
  <c r="AG2" i="109"/>
  <c r="AF2" i="109"/>
  <c r="AE2" i="109"/>
  <c r="AD2" i="109"/>
  <c r="AC2" i="109"/>
  <c r="AB2" i="109"/>
  <c r="AA2" i="109"/>
  <c r="Z2" i="109"/>
  <c r="Y2" i="109"/>
  <c r="X2" i="109"/>
  <c r="W2" i="109"/>
  <c r="V2" i="109"/>
  <c r="U2" i="109"/>
  <c r="T2" i="109"/>
  <c r="S2" i="109"/>
  <c r="R2" i="109"/>
  <c r="Q2" i="109"/>
  <c r="P2" i="109"/>
  <c r="O2" i="109"/>
  <c r="N2" i="109"/>
  <c r="M2" i="109"/>
  <c r="L2" i="109"/>
  <c r="AK97" i="108"/>
  <c r="AJ97" i="108"/>
  <c r="AI97" i="108"/>
  <c r="AH97" i="108"/>
  <c r="AG97" i="108"/>
  <c r="AF97" i="108"/>
  <c r="AE97" i="108"/>
  <c r="AD97" i="108"/>
  <c r="AC97" i="108"/>
  <c r="AB97" i="108"/>
  <c r="AA97" i="108"/>
  <c r="Z97" i="108"/>
  <c r="Y97" i="108"/>
  <c r="X97" i="108"/>
  <c r="W97" i="108"/>
  <c r="V97" i="108"/>
  <c r="U97" i="108"/>
  <c r="T97" i="108"/>
  <c r="S97" i="108"/>
  <c r="R97" i="108"/>
  <c r="Q97" i="108"/>
  <c r="P97" i="108"/>
  <c r="O97" i="108"/>
  <c r="N97" i="108"/>
  <c r="M97" i="108"/>
  <c r="L97" i="108"/>
  <c r="J97" i="108"/>
  <c r="I97" i="108"/>
  <c r="B2" i="108" s="1"/>
  <c r="H97" i="108"/>
  <c r="G97" i="108"/>
  <c r="F1" i="108" s="1"/>
  <c r="AL96" i="108"/>
  <c r="AM96" i="108" s="1"/>
  <c r="AL95" i="108"/>
  <c r="AM95" i="108" s="1"/>
  <c r="AL94" i="108"/>
  <c r="AM94" i="108" s="1"/>
  <c r="AL93" i="108"/>
  <c r="AM93" i="108" s="1"/>
  <c r="AL92" i="108"/>
  <c r="AM92" i="108" s="1"/>
  <c r="AL91" i="108"/>
  <c r="AM91" i="108" s="1"/>
  <c r="AL90" i="108"/>
  <c r="AM90" i="108" s="1"/>
  <c r="AL89" i="108"/>
  <c r="AM89" i="108" s="1"/>
  <c r="AL88" i="108"/>
  <c r="AM88" i="108" s="1"/>
  <c r="AL87" i="108"/>
  <c r="AM87" i="108" s="1"/>
  <c r="AL86" i="108"/>
  <c r="AM86" i="108" s="1"/>
  <c r="AL85" i="108"/>
  <c r="AM85" i="108" s="1"/>
  <c r="AL84" i="108"/>
  <c r="AM84" i="108" s="1"/>
  <c r="AL83" i="108"/>
  <c r="AM83" i="108" s="1"/>
  <c r="AL82" i="108"/>
  <c r="AM82" i="108" s="1"/>
  <c r="AL81" i="108"/>
  <c r="AM81" i="108" s="1"/>
  <c r="AL80" i="108"/>
  <c r="AM80" i="108" s="1"/>
  <c r="AL79" i="108"/>
  <c r="AM79" i="108" s="1"/>
  <c r="AL78" i="108"/>
  <c r="AM78" i="108" s="1"/>
  <c r="AL77" i="108"/>
  <c r="AM77" i="108" s="1"/>
  <c r="AL76" i="108"/>
  <c r="AM76" i="108" s="1"/>
  <c r="AL75" i="108"/>
  <c r="AM75" i="108" s="1"/>
  <c r="AL74" i="108"/>
  <c r="AM74" i="108" s="1"/>
  <c r="AL73" i="108"/>
  <c r="AM73" i="108" s="1"/>
  <c r="AL72" i="108"/>
  <c r="AM72" i="108" s="1"/>
  <c r="AL71" i="108"/>
  <c r="AM71" i="108" s="1"/>
  <c r="AL70" i="108"/>
  <c r="AM70" i="108" s="1"/>
  <c r="AL69" i="108"/>
  <c r="AM69" i="108" s="1"/>
  <c r="AL68" i="108"/>
  <c r="AM68" i="108" s="1"/>
  <c r="AL67" i="108"/>
  <c r="AM67" i="108" s="1"/>
  <c r="AL66" i="108"/>
  <c r="AM66" i="108" s="1"/>
  <c r="AL65" i="108"/>
  <c r="AM65" i="108" s="1"/>
  <c r="AL64" i="108"/>
  <c r="AM64" i="108" s="1"/>
  <c r="AL63" i="108"/>
  <c r="AM63" i="108" s="1"/>
  <c r="AM62" i="108"/>
  <c r="AL61" i="108"/>
  <c r="AM61" i="108" s="1"/>
  <c r="AL60" i="108"/>
  <c r="AM60" i="108" s="1"/>
  <c r="AL59" i="108"/>
  <c r="AM59" i="108" s="1"/>
  <c r="AL58" i="108"/>
  <c r="AM58" i="108" s="1"/>
  <c r="AL57" i="108"/>
  <c r="AM57" i="108" s="1"/>
  <c r="AL56" i="108"/>
  <c r="AM56" i="108" s="1"/>
  <c r="AL55" i="108"/>
  <c r="AM55" i="108" s="1"/>
  <c r="AL54" i="108"/>
  <c r="AM54" i="108" s="1"/>
  <c r="AL53" i="108"/>
  <c r="AM53" i="108" s="1"/>
  <c r="AL52" i="108"/>
  <c r="AM52" i="108" s="1"/>
  <c r="AL51" i="108"/>
  <c r="AM51" i="108" s="1"/>
  <c r="AL50" i="108"/>
  <c r="AM50" i="108" s="1"/>
  <c r="AL49" i="108"/>
  <c r="AM49" i="108" s="1"/>
  <c r="AL48" i="108"/>
  <c r="AM48" i="108" s="1"/>
  <c r="AL47" i="108"/>
  <c r="AM47" i="108" s="1"/>
  <c r="AL46" i="108"/>
  <c r="AM46" i="108" s="1"/>
  <c r="AL45" i="108"/>
  <c r="AL44" i="108"/>
  <c r="AM44" i="108" s="1"/>
  <c r="AL43" i="108"/>
  <c r="AM43" i="108" s="1"/>
  <c r="AL42" i="108"/>
  <c r="AM42" i="108" s="1"/>
  <c r="AL41" i="108"/>
  <c r="AM41" i="108" s="1"/>
  <c r="AL40" i="108"/>
  <c r="AM40" i="108" s="1"/>
  <c r="AL39" i="108"/>
  <c r="AM39" i="108" s="1"/>
  <c r="AL38" i="108"/>
  <c r="AM38" i="108" s="1"/>
  <c r="AL37" i="108"/>
  <c r="AM37" i="108" s="1"/>
  <c r="AL36" i="108"/>
  <c r="AM36" i="108" s="1"/>
  <c r="AL35" i="108"/>
  <c r="AM35" i="108" s="1"/>
  <c r="AL34" i="108"/>
  <c r="AM34" i="108" s="1"/>
  <c r="AL33" i="108"/>
  <c r="AM33" i="108" s="1"/>
  <c r="AL32" i="108"/>
  <c r="AM32" i="108" s="1"/>
  <c r="AL31" i="108"/>
  <c r="AM31" i="108" s="1"/>
  <c r="AL30" i="108"/>
  <c r="AM30" i="108" s="1"/>
  <c r="AL29" i="108"/>
  <c r="AM29" i="108" s="1"/>
  <c r="AL28" i="108"/>
  <c r="AM28" i="108" s="1"/>
  <c r="AL27" i="108"/>
  <c r="AM27" i="108" s="1"/>
  <c r="AL26" i="108"/>
  <c r="AM26" i="108" s="1"/>
  <c r="AL25" i="108"/>
  <c r="AM25" i="108" s="1"/>
  <c r="AL24" i="108"/>
  <c r="AM24" i="108" s="1"/>
  <c r="AL23" i="108"/>
  <c r="AM23" i="108" s="1"/>
  <c r="AL22" i="108"/>
  <c r="AM22" i="108" s="1"/>
  <c r="AL21" i="108"/>
  <c r="AM21" i="108" s="1"/>
  <c r="AL20" i="108"/>
  <c r="AM20" i="108" s="1"/>
  <c r="AL19" i="108"/>
  <c r="AM19" i="108" s="1"/>
  <c r="AL18" i="108"/>
  <c r="AM18" i="108" s="1"/>
  <c r="AL17" i="108"/>
  <c r="AM17" i="108" s="1"/>
  <c r="AL16" i="108"/>
  <c r="AL15" i="108"/>
  <c r="AM15" i="108" s="1"/>
  <c r="AL14" i="108"/>
  <c r="AM14" i="108" s="1"/>
  <c r="AL13" i="108"/>
  <c r="AM13" i="108" s="1"/>
  <c r="AL12" i="108"/>
  <c r="AM12" i="108" s="1"/>
  <c r="AL11" i="108"/>
  <c r="AM11" i="108" s="1"/>
  <c r="AL10" i="108"/>
  <c r="AM10" i="108" s="1"/>
  <c r="AL9" i="108"/>
  <c r="AM9" i="108" s="1"/>
  <c r="AL8" i="108"/>
  <c r="AM8" i="108" s="1"/>
  <c r="AL7" i="108"/>
  <c r="AM7" i="108" s="1"/>
  <c r="AL6" i="108"/>
  <c r="AM6" i="108" s="1"/>
  <c r="AK3" i="108"/>
  <c r="AJ3" i="108"/>
  <c r="AI3" i="108"/>
  <c r="AH3" i="108"/>
  <c r="AG3" i="108"/>
  <c r="AF3" i="108"/>
  <c r="AE3" i="108"/>
  <c r="AD3" i="108"/>
  <c r="AC3" i="108"/>
  <c r="AB3" i="108"/>
  <c r="AA3" i="108"/>
  <c r="Z3" i="108"/>
  <c r="Y3" i="108"/>
  <c r="X3" i="108"/>
  <c r="W3" i="108"/>
  <c r="V3" i="108"/>
  <c r="U3" i="108"/>
  <c r="T3" i="108"/>
  <c r="S3" i="108"/>
  <c r="R3" i="108"/>
  <c r="Q3" i="108"/>
  <c r="P3" i="108"/>
  <c r="O3" i="108"/>
  <c r="N3" i="108"/>
  <c r="M3" i="108"/>
  <c r="L3" i="108"/>
  <c r="AK2" i="108"/>
  <c r="AJ2" i="108"/>
  <c r="AI2" i="108"/>
  <c r="AH2" i="108"/>
  <c r="AG2" i="108"/>
  <c r="AF2" i="108"/>
  <c r="AE2" i="108"/>
  <c r="AD2" i="108"/>
  <c r="AC2" i="108"/>
  <c r="AB2" i="108"/>
  <c r="AA2" i="108"/>
  <c r="Z2" i="108"/>
  <c r="Y2" i="108"/>
  <c r="X2" i="108"/>
  <c r="W2" i="108"/>
  <c r="V2" i="108"/>
  <c r="U2" i="108"/>
  <c r="T2" i="108"/>
  <c r="S2" i="108"/>
  <c r="R2" i="108"/>
  <c r="Q2" i="108"/>
  <c r="P2" i="108"/>
  <c r="O2" i="108"/>
  <c r="N2" i="108"/>
  <c r="M2" i="108"/>
  <c r="L2" i="108"/>
  <c r="AK97" i="131"/>
  <c r="AJ97" i="131"/>
  <c r="AI97" i="131"/>
  <c r="AH97" i="131"/>
  <c r="AG97" i="131"/>
  <c r="AF97" i="131"/>
  <c r="AE97" i="131"/>
  <c r="AD97" i="131"/>
  <c r="AC97" i="131"/>
  <c r="AB97" i="131"/>
  <c r="AA97" i="131"/>
  <c r="Z97" i="131"/>
  <c r="Y97" i="131"/>
  <c r="X97" i="131"/>
  <c r="W97" i="131"/>
  <c r="V97" i="131"/>
  <c r="U97" i="131"/>
  <c r="T97" i="131"/>
  <c r="S97" i="131"/>
  <c r="R97" i="131"/>
  <c r="Q97" i="131"/>
  <c r="P97" i="131"/>
  <c r="O97" i="131"/>
  <c r="N97" i="131"/>
  <c r="M97" i="131"/>
  <c r="L97" i="131"/>
  <c r="J97" i="131"/>
  <c r="I97" i="131"/>
  <c r="B2" i="131" s="1"/>
  <c r="H97" i="131"/>
  <c r="G97" i="131"/>
  <c r="F1" i="131" s="1"/>
  <c r="AL96" i="131"/>
  <c r="AM96" i="131" s="1"/>
  <c r="AL95" i="131"/>
  <c r="AM95" i="131" s="1"/>
  <c r="AL94" i="131"/>
  <c r="AM94" i="131" s="1"/>
  <c r="AL93" i="131"/>
  <c r="AM93" i="131" s="1"/>
  <c r="AL92" i="131"/>
  <c r="AM92" i="131" s="1"/>
  <c r="AL91" i="131"/>
  <c r="AM91" i="131" s="1"/>
  <c r="AL90" i="131"/>
  <c r="AM90" i="131" s="1"/>
  <c r="AL89" i="131"/>
  <c r="AM89" i="131" s="1"/>
  <c r="AL88" i="131"/>
  <c r="AM88" i="131" s="1"/>
  <c r="AL87" i="131"/>
  <c r="AM87" i="131" s="1"/>
  <c r="AL86" i="131"/>
  <c r="AM86" i="131" s="1"/>
  <c r="AL85" i="131"/>
  <c r="AM85" i="131" s="1"/>
  <c r="AL84" i="131"/>
  <c r="AM84" i="131" s="1"/>
  <c r="AL83" i="131"/>
  <c r="AM83" i="131" s="1"/>
  <c r="AL82" i="131"/>
  <c r="AM82" i="131" s="1"/>
  <c r="AL81" i="131"/>
  <c r="AM81" i="131" s="1"/>
  <c r="AL80" i="131"/>
  <c r="AM80" i="131" s="1"/>
  <c r="AL79" i="131"/>
  <c r="AM79" i="131" s="1"/>
  <c r="AL78" i="131"/>
  <c r="AM78" i="131" s="1"/>
  <c r="AL77" i="131"/>
  <c r="AM77" i="131" s="1"/>
  <c r="AL76" i="131"/>
  <c r="AM76" i="131" s="1"/>
  <c r="AL75" i="131"/>
  <c r="AM75" i="131" s="1"/>
  <c r="AL74" i="131"/>
  <c r="AM74" i="131" s="1"/>
  <c r="AL73" i="131"/>
  <c r="AM73" i="131" s="1"/>
  <c r="AL72" i="131"/>
  <c r="AM72" i="131" s="1"/>
  <c r="AL71" i="131"/>
  <c r="AM71" i="131" s="1"/>
  <c r="AL70" i="131"/>
  <c r="AM70" i="131" s="1"/>
  <c r="AL69" i="131"/>
  <c r="AM69" i="131" s="1"/>
  <c r="AL68" i="131"/>
  <c r="AM68" i="131" s="1"/>
  <c r="AL67" i="131"/>
  <c r="AM67" i="131" s="1"/>
  <c r="AL66" i="131"/>
  <c r="AM66" i="131" s="1"/>
  <c r="AL65" i="131"/>
  <c r="AM65" i="131" s="1"/>
  <c r="AL64" i="131"/>
  <c r="AM64" i="131" s="1"/>
  <c r="AL63" i="131"/>
  <c r="AM63" i="131" s="1"/>
  <c r="AL62" i="131"/>
  <c r="AM62" i="131" s="1"/>
  <c r="AL61" i="131"/>
  <c r="AM61" i="131" s="1"/>
  <c r="AL60" i="131"/>
  <c r="AM60" i="131" s="1"/>
  <c r="AL59" i="131"/>
  <c r="AM59" i="131" s="1"/>
  <c r="AL58" i="131"/>
  <c r="AM58" i="131" s="1"/>
  <c r="AL57" i="131"/>
  <c r="AM57" i="131" s="1"/>
  <c r="AL56" i="131"/>
  <c r="AM56" i="131" s="1"/>
  <c r="AL55" i="131"/>
  <c r="AM55" i="131" s="1"/>
  <c r="AL54" i="131"/>
  <c r="AM54" i="131" s="1"/>
  <c r="AL53" i="131"/>
  <c r="AM53" i="131" s="1"/>
  <c r="AL52" i="131"/>
  <c r="AM52" i="131" s="1"/>
  <c r="AL51" i="131"/>
  <c r="AM51" i="131" s="1"/>
  <c r="AL50" i="131"/>
  <c r="AM50" i="131" s="1"/>
  <c r="AL49" i="131"/>
  <c r="AM49" i="131" s="1"/>
  <c r="AL48" i="131"/>
  <c r="AM48" i="131" s="1"/>
  <c r="AL47" i="131"/>
  <c r="AM47" i="131" s="1"/>
  <c r="AL46" i="131"/>
  <c r="AM46" i="131" s="1"/>
  <c r="AL45" i="131"/>
  <c r="AM45" i="131" s="1"/>
  <c r="AL44" i="131"/>
  <c r="AM44" i="131" s="1"/>
  <c r="AL43" i="131"/>
  <c r="AM43" i="131" s="1"/>
  <c r="AL42" i="131"/>
  <c r="AM42" i="131" s="1"/>
  <c r="AL41" i="131"/>
  <c r="AM41" i="131" s="1"/>
  <c r="AL40" i="131"/>
  <c r="AM40" i="131" s="1"/>
  <c r="AL39" i="131"/>
  <c r="AM39" i="131" s="1"/>
  <c r="AL38" i="131"/>
  <c r="AM38" i="131" s="1"/>
  <c r="AL37" i="131"/>
  <c r="AL36" i="131"/>
  <c r="AM36" i="131" s="1"/>
  <c r="AL35" i="131"/>
  <c r="AM35" i="131" s="1"/>
  <c r="AL34" i="131"/>
  <c r="AM34" i="131" s="1"/>
  <c r="AL33" i="131"/>
  <c r="AM33" i="131" s="1"/>
  <c r="AL32" i="131"/>
  <c r="AM32" i="131" s="1"/>
  <c r="AL31" i="131"/>
  <c r="AM31" i="131" s="1"/>
  <c r="AL30" i="131"/>
  <c r="AM30" i="131" s="1"/>
  <c r="AL29" i="131"/>
  <c r="AM29" i="131" s="1"/>
  <c r="AL28" i="131"/>
  <c r="AM28" i="131" s="1"/>
  <c r="AL27" i="131"/>
  <c r="AM27" i="131" s="1"/>
  <c r="AL26" i="131"/>
  <c r="AM26" i="131" s="1"/>
  <c r="AL25" i="131"/>
  <c r="AM25" i="131" s="1"/>
  <c r="AL24" i="131"/>
  <c r="AL23" i="131"/>
  <c r="AM23" i="131" s="1"/>
  <c r="AL22" i="131"/>
  <c r="AM22" i="131" s="1"/>
  <c r="AL21" i="131"/>
  <c r="AM21" i="131" s="1"/>
  <c r="AL20" i="131"/>
  <c r="AM20" i="131" s="1"/>
  <c r="AL19" i="131"/>
  <c r="AM19" i="131" s="1"/>
  <c r="AL18" i="131"/>
  <c r="AM18" i="131" s="1"/>
  <c r="AL17" i="131"/>
  <c r="AM17" i="131" s="1"/>
  <c r="AL16" i="131"/>
  <c r="AM16" i="131" s="1"/>
  <c r="AL15" i="131"/>
  <c r="AM15" i="131" s="1"/>
  <c r="AL14" i="131"/>
  <c r="AM14" i="131" s="1"/>
  <c r="AL13" i="131"/>
  <c r="AM13" i="131" s="1"/>
  <c r="AL12" i="131"/>
  <c r="AM12" i="131" s="1"/>
  <c r="AL11" i="131"/>
  <c r="AM11" i="131" s="1"/>
  <c r="AL10" i="131"/>
  <c r="AM10" i="131" s="1"/>
  <c r="AL9" i="131"/>
  <c r="AM9" i="131" s="1"/>
  <c r="AL8" i="131"/>
  <c r="AM8" i="131" s="1"/>
  <c r="AL7" i="131"/>
  <c r="AM7" i="131" s="1"/>
  <c r="AL6" i="131"/>
  <c r="AM6" i="131" s="1"/>
  <c r="AK3" i="131"/>
  <c r="AJ3" i="131"/>
  <c r="AI3" i="131"/>
  <c r="AH3" i="131"/>
  <c r="AG3" i="131"/>
  <c r="AF3" i="131"/>
  <c r="AE3" i="131"/>
  <c r="AD3" i="131"/>
  <c r="AC3" i="131"/>
  <c r="AB3" i="131"/>
  <c r="AA3" i="131"/>
  <c r="Z3" i="131"/>
  <c r="Y3" i="131"/>
  <c r="X3" i="131"/>
  <c r="W3" i="131"/>
  <c r="V3" i="131"/>
  <c r="U3" i="131"/>
  <c r="T3" i="131"/>
  <c r="S3" i="131"/>
  <c r="R3" i="131"/>
  <c r="Q3" i="131"/>
  <c r="P3" i="131"/>
  <c r="O3" i="131"/>
  <c r="N3" i="131"/>
  <c r="M3" i="131"/>
  <c r="L3" i="131"/>
  <c r="AK2" i="131"/>
  <c r="AJ2" i="131"/>
  <c r="AI2" i="131"/>
  <c r="AH2" i="131"/>
  <c r="AG2" i="131"/>
  <c r="AF2" i="131"/>
  <c r="AE2" i="131"/>
  <c r="AD2" i="131"/>
  <c r="AC2" i="131"/>
  <c r="AB2" i="131"/>
  <c r="AA2" i="131"/>
  <c r="Z2" i="131"/>
  <c r="Y2" i="131"/>
  <c r="X2" i="131"/>
  <c r="W2" i="131"/>
  <c r="V2" i="131"/>
  <c r="U2" i="131"/>
  <c r="T2" i="131"/>
  <c r="S2" i="131"/>
  <c r="R2" i="131"/>
  <c r="Q2" i="131"/>
  <c r="P2" i="131"/>
  <c r="O2" i="131"/>
  <c r="N2" i="131"/>
  <c r="M2" i="131"/>
  <c r="L2" i="131"/>
  <c r="AK97" i="130"/>
  <c r="AJ97" i="130"/>
  <c r="AI97" i="130"/>
  <c r="AH97" i="130"/>
  <c r="AG97" i="130"/>
  <c r="AF97" i="130"/>
  <c r="AE97" i="130"/>
  <c r="AD97" i="130"/>
  <c r="AC97" i="130"/>
  <c r="AB97" i="130"/>
  <c r="AA97" i="130"/>
  <c r="Z97" i="130"/>
  <c r="Y97" i="130"/>
  <c r="X97" i="130"/>
  <c r="W97" i="130"/>
  <c r="V97" i="130"/>
  <c r="U97" i="130"/>
  <c r="T97" i="130"/>
  <c r="S97" i="130"/>
  <c r="R97" i="130"/>
  <c r="Q97" i="130"/>
  <c r="P97" i="130"/>
  <c r="O97" i="130"/>
  <c r="N97" i="130"/>
  <c r="M97" i="130"/>
  <c r="L97" i="130"/>
  <c r="J97" i="130"/>
  <c r="I97" i="130"/>
  <c r="B2" i="130" s="1"/>
  <c r="H97" i="130"/>
  <c r="G97" i="130"/>
  <c r="F1" i="130" s="1"/>
  <c r="AL96" i="130"/>
  <c r="AM96" i="130" s="1"/>
  <c r="AL95" i="130"/>
  <c r="AM95" i="130" s="1"/>
  <c r="AL94" i="130"/>
  <c r="AM94" i="130" s="1"/>
  <c r="AL93" i="130"/>
  <c r="AM93" i="130" s="1"/>
  <c r="AL92" i="130"/>
  <c r="AM92" i="130" s="1"/>
  <c r="AL91" i="130"/>
  <c r="AM91" i="130" s="1"/>
  <c r="AL90" i="130"/>
  <c r="AM90" i="130" s="1"/>
  <c r="AL89" i="130"/>
  <c r="AM89" i="130" s="1"/>
  <c r="AL88" i="130"/>
  <c r="AM88" i="130" s="1"/>
  <c r="AL87" i="130"/>
  <c r="AM87" i="130" s="1"/>
  <c r="AL86" i="130"/>
  <c r="AM86" i="130" s="1"/>
  <c r="AL85" i="130"/>
  <c r="AM85" i="130" s="1"/>
  <c r="AL84" i="130"/>
  <c r="AM84" i="130" s="1"/>
  <c r="AL83" i="130"/>
  <c r="AM83" i="130" s="1"/>
  <c r="AL82" i="130"/>
  <c r="AM82" i="130" s="1"/>
  <c r="AL81" i="130"/>
  <c r="AM81" i="130" s="1"/>
  <c r="AL80" i="130"/>
  <c r="AM80" i="130" s="1"/>
  <c r="AL79" i="130"/>
  <c r="AM79" i="130" s="1"/>
  <c r="AL78" i="130"/>
  <c r="AM78" i="130" s="1"/>
  <c r="AL77" i="130"/>
  <c r="AM77" i="130" s="1"/>
  <c r="AL76" i="130"/>
  <c r="AM76" i="130" s="1"/>
  <c r="AL75" i="130"/>
  <c r="AM75" i="130" s="1"/>
  <c r="AL74" i="130"/>
  <c r="AM74" i="130" s="1"/>
  <c r="AL73" i="130"/>
  <c r="AM73" i="130" s="1"/>
  <c r="AL72" i="130"/>
  <c r="AM72" i="130" s="1"/>
  <c r="AL71" i="130"/>
  <c r="AM71" i="130" s="1"/>
  <c r="AL70" i="130"/>
  <c r="AM70" i="130" s="1"/>
  <c r="AL69" i="130"/>
  <c r="AM69" i="130" s="1"/>
  <c r="AL68" i="130"/>
  <c r="AM68" i="130" s="1"/>
  <c r="AL67" i="130"/>
  <c r="AM67" i="130" s="1"/>
  <c r="AL66" i="130"/>
  <c r="AM66" i="130" s="1"/>
  <c r="AL65" i="130"/>
  <c r="AM65" i="130" s="1"/>
  <c r="AL64" i="130"/>
  <c r="AM64" i="130" s="1"/>
  <c r="AL63" i="130"/>
  <c r="AM63" i="130" s="1"/>
  <c r="AL62" i="130"/>
  <c r="AM62" i="130" s="1"/>
  <c r="AL61" i="130"/>
  <c r="AM61" i="130" s="1"/>
  <c r="AL60" i="130"/>
  <c r="AM60" i="130" s="1"/>
  <c r="AL59" i="130"/>
  <c r="AM59" i="130" s="1"/>
  <c r="AL58" i="130"/>
  <c r="AM58" i="130" s="1"/>
  <c r="AL57" i="130"/>
  <c r="AM57" i="130" s="1"/>
  <c r="AL56" i="130"/>
  <c r="AM56" i="130" s="1"/>
  <c r="AL55" i="130"/>
  <c r="AM55" i="130" s="1"/>
  <c r="AL54" i="130"/>
  <c r="AM54" i="130" s="1"/>
  <c r="AL53" i="130"/>
  <c r="AM53" i="130" s="1"/>
  <c r="AL52" i="130"/>
  <c r="AM52" i="130" s="1"/>
  <c r="AL51" i="130"/>
  <c r="AM51" i="130" s="1"/>
  <c r="AL50" i="130"/>
  <c r="AM50" i="130" s="1"/>
  <c r="AL49" i="130"/>
  <c r="AM49" i="130" s="1"/>
  <c r="AL48" i="130"/>
  <c r="AM48" i="130" s="1"/>
  <c r="AL47" i="130"/>
  <c r="AM47" i="130" s="1"/>
  <c r="AL46" i="130"/>
  <c r="AM46" i="130" s="1"/>
  <c r="AL45" i="130"/>
  <c r="AM45" i="130" s="1"/>
  <c r="AL44" i="130"/>
  <c r="AM44" i="130" s="1"/>
  <c r="AL43" i="130"/>
  <c r="AM43" i="130" s="1"/>
  <c r="AL42" i="130"/>
  <c r="AM42" i="130" s="1"/>
  <c r="AL41" i="130"/>
  <c r="AM41" i="130" s="1"/>
  <c r="AL40" i="130"/>
  <c r="AM40" i="130" s="1"/>
  <c r="AL39" i="130"/>
  <c r="AM39" i="130" s="1"/>
  <c r="AL38" i="130"/>
  <c r="AM38" i="130" s="1"/>
  <c r="AL37" i="130"/>
  <c r="AM37" i="130" s="1"/>
  <c r="AL36" i="130"/>
  <c r="AM36" i="130" s="1"/>
  <c r="AL35" i="130"/>
  <c r="AM35" i="130" s="1"/>
  <c r="AL34" i="130"/>
  <c r="AM34" i="130" s="1"/>
  <c r="AL33" i="130"/>
  <c r="AM33" i="130" s="1"/>
  <c r="AL32" i="130"/>
  <c r="AM32" i="130" s="1"/>
  <c r="AL31" i="130"/>
  <c r="AM31" i="130" s="1"/>
  <c r="AL30" i="130"/>
  <c r="AM30" i="130" s="1"/>
  <c r="AL29" i="130"/>
  <c r="AM29" i="130" s="1"/>
  <c r="AL28" i="130"/>
  <c r="AL27" i="130"/>
  <c r="AM27" i="130" s="1"/>
  <c r="AL26" i="130"/>
  <c r="AM26" i="130" s="1"/>
  <c r="AL25" i="130"/>
  <c r="AM25" i="130" s="1"/>
  <c r="AL24" i="130"/>
  <c r="AM24" i="130" s="1"/>
  <c r="AL23" i="130"/>
  <c r="AM23" i="130" s="1"/>
  <c r="AL22" i="130"/>
  <c r="AM22" i="130" s="1"/>
  <c r="AL21" i="130"/>
  <c r="AM21" i="130" s="1"/>
  <c r="AL20" i="130"/>
  <c r="AM20" i="130" s="1"/>
  <c r="AL19" i="130"/>
  <c r="AM19" i="130" s="1"/>
  <c r="AL18" i="130"/>
  <c r="AM18" i="130" s="1"/>
  <c r="AL17" i="130"/>
  <c r="AM17" i="130" s="1"/>
  <c r="AL16" i="130"/>
  <c r="AM16" i="130" s="1"/>
  <c r="AL15" i="130"/>
  <c r="AM15" i="130" s="1"/>
  <c r="AL14" i="130"/>
  <c r="AM14" i="130" s="1"/>
  <c r="AL13" i="130"/>
  <c r="AM13" i="130" s="1"/>
  <c r="AL12" i="130"/>
  <c r="AM12" i="130" s="1"/>
  <c r="AL11" i="130"/>
  <c r="AM11" i="130" s="1"/>
  <c r="AL10" i="130"/>
  <c r="AM10" i="130" s="1"/>
  <c r="AL9" i="130"/>
  <c r="AM9" i="130" s="1"/>
  <c r="AL8" i="130"/>
  <c r="AM8" i="130" s="1"/>
  <c r="AL7" i="130"/>
  <c r="AL6" i="130"/>
  <c r="AM6" i="130" s="1"/>
  <c r="AK3" i="130"/>
  <c r="AJ3" i="130"/>
  <c r="AI3" i="130"/>
  <c r="AH3" i="130"/>
  <c r="AG3" i="130"/>
  <c r="AF3" i="130"/>
  <c r="AE3" i="130"/>
  <c r="AD3" i="130"/>
  <c r="AC3" i="130"/>
  <c r="AB3" i="130"/>
  <c r="AA3" i="130"/>
  <c r="Z3" i="130"/>
  <c r="Y3" i="130"/>
  <c r="X3" i="130"/>
  <c r="W3" i="130"/>
  <c r="V3" i="130"/>
  <c r="U3" i="130"/>
  <c r="T3" i="130"/>
  <c r="S3" i="130"/>
  <c r="R3" i="130"/>
  <c r="Q3" i="130"/>
  <c r="P3" i="130"/>
  <c r="O3" i="130"/>
  <c r="N3" i="130"/>
  <c r="M3" i="130"/>
  <c r="L3" i="130"/>
  <c r="AK2" i="130"/>
  <c r="AJ2" i="130"/>
  <c r="AI2" i="130"/>
  <c r="AH2" i="130"/>
  <c r="AG2" i="130"/>
  <c r="AF2" i="130"/>
  <c r="AE2" i="130"/>
  <c r="AD2" i="130"/>
  <c r="AC2" i="130"/>
  <c r="AB2" i="130"/>
  <c r="AA2" i="130"/>
  <c r="Z2" i="130"/>
  <c r="Y2" i="130"/>
  <c r="X2" i="130"/>
  <c r="W2" i="130"/>
  <c r="V2" i="130"/>
  <c r="U2" i="130"/>
  <c r="T2" i="130"/>
  <c r="S2" i="130"/>
  <c r="R2" i="130"/>
  <c r="Q2" i="130"/>
  <c r="P2" i="130"/>
  <c r="O2" i="130"/>
  <c r="N2" i="130"/>
  <c r="M2" i="130"/>
  <c r="L2" i="130"/>
  <c r="AK97" i="129"/>
  <c r="AJ97" i="129"/>
  <c r="AI97" i="129"/>
  <c r="AH97" i="129"/>
  <c r="AG97" i="129"/>
  <c r="AF97" i="129"/>
  <c r="AE97" i="129"/>
  <c r="AD97" i="129"/>
  <c r="AC97" i="129"/>
  <c r="AB97" i="129"/>
  <c r="AA97" i="129"/>
  <c r="Z97" i="129"/>
  <c r="Y97" i="129"/>
  <c r="X97" i="129"/>
  <c r="W97" i="129"/>
  <c r="V97" i="129"/>
  <c r="U97" i="129"/>
  <c r="T97" i="129"/>
  <c r="S97" i="129"/>
  <c r="R97" i="129"/>
  <c r="Q97" i="129"/>
  <c r="P97" i="129"/>
  <c r="O97" i="129"/>
  <c r="N97" i="129"/>
  <c r="M97" i="129"/>
  <c r="L97" i="129"/>
  <c r="J97" i="129"/>
  <c r="I97" i="129"/>
  <c r="B2" i="129" s="1"/>
  <c r="H97" i="129"/>
  <c r="G97" i="129"/>
  <c r="F1" i="129" s="1"/>
  <c r="AL96" i="129"/>
  <c r="AM96" i="129" s="1"/>
  <c r="AL95" i="129"/>
  <c r="AM95" i="129" s="1"/>
  <c r="AL94" i="129"/>
  <c r="AM94" i="129" s="1"/>
  <c r="AL93" i="129"/>
  <c r="AM93" i="129" s="1"/>
  <c r="AL92" i="129"/>
  <c r="AM92" i="129" s="1"/>
  <c r="AL91" i="129"/>
  <c r="AM91" i="129" s="1"/>
  <c r="AL90" i="129"/>
  <c r="AM90" i="129" s="1"/>
  <c r="AL89" i="129"/>
  <c r="AM89" i="129" s="1"/>
  <c r="AL88" i="129"/>
  <c r="AM88" i="129" s="1"/>
  <c r="AL87" i="129"/>
  <c r="AM87" i="129" s="1"/>
  <c r="AL86" i="129"/>
  <c r="AM86" i="129" s="1"/>
  <c r="AL85" i="129"/>
  <c r="AM85" i="129" s="1"/>
  <c r="AL84" i="129"/>
  <c r="AM84" i="129" s="1"/>
  <c r="AL83" i="129"/>
  <c r="AM83" i="129" s="1"/>
  <c r="AL82" i="129"/>
  <c r="AM82" i="129" s="1"/>
  <c r="AL81" i="129"/>
  <c r="AM81" i="129" s="1"/>
  <c r="AL80" i="129"/>
  <c r="AM80" i="129" s="1"/>
  <c r="AL79" i="129"/>
  <c r="AM79" i="129" s="1"/>
  <c r="AL78" i="129"/>
  <c r="AM78" i="129" s="1"/>
  <c r="AL77" i="129"/>
  <c r="AM77" i="129" s="1"/>
  <c r="AL76" i="129"/>
  <c r="AM76" i="129" s="1"/>
  <c r="AL75" i="129"/>
  <c r="AM75" i="129" s="1"/>
  <c r="AL74" i="129"/>
  <c r="AM74" i="129" s="1"/>
  <c r="AL73" i="129"/>
  <c r="AM73" i="129" s="1"/>
  <c r="AL72" i="129"/>
  <c r="AM72" i="129" s="1"/>
  <c r="AL71" i="129"/>
  <c r="AM71" i="129" s="1"/>
  <c r="AL70" i="129"/>
  <c r="AM70" i="129" s="1"/>
  <c r="AL69" i="129"/>
  <c r="AM69" i="129" s="1"/>
  <c r="AL68" i="129"/>
  <c r="AM68" i="129" s="1"/>
  <c r="AL67" i="129"/>
  <c r="AM67" i="129" s="1"/>
  <c r="AL66" i="129"/>
  <c r="AM66" i="129" s="1"/>
  <c r="AL65" i="129"/>
  <c r="AM65" i="129" s="1"/>
  <c r="AL64" i="129"/>
  <c r="AM64" i="129" s="1"/>
  <c r="AL63" i="129"/>
  <c r="AM63" i="129" s="1"/>
  <c r="AL62" i="129"/>
  <c r="AM62" i="129" s="1"/>
  <c r="AL61" i="129"/>
  <c r="AM61" i="129" s="1"/>
  <c r="AL60" i="129"/>
  <c r="AM60" i="129" s="1"/>
  <c r="AL59" i="129"/>
  <c r="AM59" i="129" s="1"/>
  <c r="AL58" i="129"/>
  <c r="AM58" i="129" s="1"/>
  <c r="AL57" i="129"/>
  <c r="AM57" i="129" s="1"/>
  <c r="AL56" i="129"/>
  <c r="AM56" i="129" s="1"/>
  <c r="AL55" i="129"/>
  <c r="AM55" i="129" s="1"/>
  <c r="AL54" i="129"/>
  <c r="AM54" i="129" s="1"/>
  <c r="AL53" i="129"/>
  <c r="AM53" i="129" s="1"/>
  <c r="AL52" i="129"/>
  <c r="AM52" i="129" s="1"/>
  <c r="AL51" i="129"/>
  <c r="AM51" i="129" s="1"/>
  <c r="AL50" i="129"/>
  <c r="AM50" i="129" s="1"/>
  <c r="AL49" i="129"/>
  <c r="AM49" i="129" s="1"/>
  <c r="AL48" i="129"/>
  <c r="AM48" i="129" s="1"/>
  <c r="AL47" i="129"/>
  <c r="AM47" i="129" s="1"/>
  <c r="AL46" i="129"/>
  <c r="AM46" i="129" s="1"/>
  <c r="AL45" i="129"/>
  <c r="AM45" i="129" s="1"/>
  <c r="AL44" i="129"/>
  <c r="AM44" i="129" s="1"/>
  <c r="AL43" i="129"/>
  <c r="AM43" i="129" s="1"/>
  <c r="AL42" i="129"/>
  <c r="AM42" i="129" s="1"/>
  <c r="AL41" i="129"/>
  <c r="AM41" i="129" s="1"/>
  <c r="AL40" i="129"/>
  <c r="AM40" i="129" s="1"/>
  <c r="AL39" i="129"/>
  <c r="AL38" i="129"/>
  <c r="AM38" i="129" s="1"/>
  <c r="AL37" i="129"/>
  <c r="AM37" i="129" s="1"/>
  <c r="AL36" i="129"/>
  <c r="AM36" i="129" s="1"/>
  <c r="AL35" i="129"/>
  <c r="AM35" i="129" s="1"/>
  <c r="AL34" i="129"/>
  <c r="AM34" i="129" s="1"/>
  <c r="AL33" i="129"/>
  <c r="AM33" i="129" s="1"/>
  <c r="AL32" i="129"/>
  <c r="AM32" i="129" s="1"/>
  <c r="AL31" i="129"/>
  <c r="AM31" i="129" s="1"/>
  <c r="AL30" i="129"/>
  <c r="AM30" i="129" s="1"/>
  <c r="AL29" i="129"/>
  <c r="AM29" i="129" s="1"/>
  <c r="AL28" i="129"/>
  <c r="AM28" i="129" s="1"/>
  <c r="AL27" i="129"/>
  <c r="AM27" i="129" s="1"/>
  <c r="AL26" i="129"/>
  <c r="AM26" i="129" s="1"/>
  <c r="AL25" i="129"/>
  <c r="AM25" i="129" s="1"/>
  <c r="AL24" i="129"/>
  <c r="AL23" i="129"/>
  <c r="AM23" i="129" s="1"/>
  <c r="AL22" i="129"/>
  <c r="AM22" i="129" s="1"/>
  <c r="AL21" i="129"/>
  <c r="AM21" i="129" s="1"/>
  <c r="AL20" i="129"/>
  <c r="AM20" i="129" s="1"/>
  <c r="AL19" i="129"/>
  <c r="AM19" i="129" s="1"/>
  <c r="AL18" i="129"/>
  <c r="AM18" i="129" s="1"/>
  <c r="AL17" i="129"/>
  <c r="AM17" i="129" s="1"/>
  <c r="AL16" i="129"/>
  <c r="AM16" i="129" s="1"/>
  <c r="AL15" i="129"/>
  <c r="AM15" i="129" s="1"/>
  <c r="AL14" i="129"/>
  <c r="AM14" i="129" s="1"/>
  <c r="AL13" i="129"/>
  <c r="AM13" i="129" s="1"/>
  <c r="AL12" i="129"/>
  <c r="AM12" i="129" s="1"/>
  <c r="AL11" i="129"/>
  <c r="AM11" i="129" s="1"/>
  <c r="AL10" i="129"/>
  <c r="AM10" i="129" s="1"/>
  <c r="AL9" i="129"/>
  <c r="AM9" i="129" s="1"/>
  <c r="AL8" i="129"/>
  <c r="AM8" i="129" s="1"/>
  <c r="AL7" i="129"/>
  <c r="AM7" i="129" s="1"/>
  <c r="AL6" i="129"/>
  <c r="AM6" i="129" s="1"/>
  <c r="AK3" i="129"/>
  <c r="AJ3" i="129"/>
  <c r="AI3" i="129"/>
  <c r="AH3" i="129"/>
  <c r="AG3" i="129"/>
  <c r="AF3" i="129"/>
  <c r="AE3" i="129"/>
  <c r="AD3" i="129"/>
  <c r="AC3" i="129"/>
  <c r="AB3" i="129"/>
  <c r="AA3" i="129"/>
  <c r="Z3" i="129"/>
  <c r="Y3" i="129"/>
  <c r="X3" i="129"/>
  <c r="W3" i="129"/>
  <c r="V3" i="129"/>
  <c r="U3" i="129"/>
  <c r="T3" i="129"/>
  <c r="S3" i="129"/>
  <c r="R3" i="129"/>
  <c r="Q3" i="129"/>
  <c r="P3" i="129"/>
  <c r="O3" i="129"/>
  <c r="N3" i="129"/>
  <c r="M3" i="129"/>
  <c r="L3" i="129"/>
  <c r="AK2" i="129"/>
  <c r="AJ2" i="129"/>
  <c r="AI2" i="129"/>
  <c r="AH2" i="129"/>
  <c r="AG2" i="129"/>
  <c r="AF2" i="129"/>
  <c r="AE2" i="129"/>
  <c r="AD2" i="129"/>
  <c r="AC2" i="129"/>
  <c r="AB2" i="129"/>
  <c r="AA2" i="129"/>
  <c r="Z2" i="129"/>
  <c r="Y2" i="129"/>
  <c r="X2" i="129"/>
  <c r="W2" i="129"/>
  <c r="V2" i="129"/>
  <c r="U2" i="129"/>
  <c r="T2" i="129"/>
  <c r="S2" i="129"/>
  <c r="R2" i="129"/>
  <c r="Q2" i="129"/>
  <c r="P2" i="129"/>
  <c r="O2" i="129"/>
  <c r="N2" i="129"/>
  <c r="M2" i="129"/>
  <c r="L2" i="129"/>
  <c r="AK97" i="128"/>
  <c r="AJ97" i="128"/>
  <c r="AI97" i="128"/>
  <c r="AH97" i="128"/>
  <c r="AG97" i="128"/>
  <c r="AF97" i="128"/>
  <c r="AE97" i="128"/>
  <c r="AD97" i="128"/>
  <c r="AC97" i="128"/>
  <c r="AB97" i="128"/>
  <c r="AA97" i="128"/>
  <c r="Z97" i="128"/>
  <c r="Y97" i="128"/>
  <c r="X97" i="128"/>
  <c r="W97" i="128"/>
  <c r="V97" i="128"/>
  <c r="U97" i="128"/>
  <c r="T97" i="128"/>
  <c r="S97" i="128"/>
  <c r="R97" i="128"/>
  <c r="Q97" i="128"/>
  <c r="P97" i="128"/>
  <c r="O97" i="128"/>
  <c r="N97" i="128"/>
  <c r="M97" i="128"/>
  <c r="L97" i="128"/>
  <c r="J97" i="128"/>
  <c r="I97" i="128"/>
  <c r="H97" i="128"/>
  <c r="B1" i="128" s="1"/>
  <c r="G97" i="128"/>
  <c r="F1" i="128" s="1"/>
  <c r="AL96" i="128"/>
  <c r="AM96" i="128" s="1"/>
  <c r="AL95" i="128"/>
  <c r="AM95" i="128" s="1"/>
  <c r="AL94" i="128"/>
  <c r="AM94" i="128" s="1"/>
  <c r="AL93" i="128"/>
  <c r="AM93" i="128" s="1"/>
  <c r="AL92" i="128"/>
  <c r="AM92" i="128" s="1"/>
  <c r="AL91" i="128"/>
  <c r="AM91" i="128" s="1"/>
  <c r="AL90" i="128"/>
  <c r="AM90" i="128" s="1"/>
  <c r="AL89" i="128"/>
  <c r="AM89" i="128" s="1"/>
  <c r="AL88" i="128"/>
  <c r="AM88" i="128" s="1"/>
  <c r="AL87" i="128"/>
  <c r="AM87" i="128" s="1"/>
  <c r="AL86" i="128"/>
  <c r="AM86" i="128" s="1"/>
  <c r="AL85" i="128"/>
  <c r="AM85" i="128" s="1"/>
  <c r="AL84" i="128"/>
  <c r="AM84" i="128" s="1"/>
  <c r="AL83" i="128"/>
  <c r="AM83" i="128" s="1"/>
  <c r="AL82" i="128"/>
  <c r="AM82" i="128" s="1"/>
  <c r="AL81" i="128"/>
  <c r="AM81" i="128" s="1"/>
  <c r="AL80" i="128"/>
  <c r="AM80" i="128" s="1"/>
  <c r="AL79" i="128"/>
  <c r="AM79" i="128" s="1"/>
  <c r="AL78" i="128"/>
  <c r="AM78" i="128" s="1"/>
  <c r="AL77" i="128"/>
  <c r="AM77" i="128" s="1"/>
  <c r="AL76" i="128"/>
  <c r="AM76" i="128" s="1"/>
  <c r="AL75" i="128"/>
  <c r="AM75" i="128" s="1"/>
  <c r="AL74" i="128"/>
  <c r="AM74" i="128" s="1"/>
  <c r="AL73" i="128"/>
  <c r="AM73" i="128" s="1"/>
  <c r="AL72" i="128"/>
  <c r="AM72" i="128" s="1"/>
  <c r="AL71" i="128"/>
  <c r="AM71" i="128" s="1"/>
  <c r="AL70" i="128"/>
  <c r="AM70" i="128" s="1"/>
  <c r="AL69" i="128"/>
  <c r="AM69" i="128" s="1"/>
  <c r="AL68" i="128"/>
  <c r="AM68" i="128" s="1"/>
  <c r="AL67" i="128"/>
  <c r="AM67" i="128" s="1"/>
  <c r="AL66" i="128"/>
  <c r="AM66" i="128" s="1"/>
  <c r="AL65" i="128"/>
  <c r="AM65" i="128" s="1"/>
  <c r="AL64" i="128"/>
  <c r="AL63" i="128"/>
  <c r="AM63" i="128" s="1"/>
  <c r="AL62" i="128"/>
  <c r="AM62" i="128" s="1"/>
  <c r="AL61" i="128"/>
  <c r="AM61" i="128" s="1"/>
  <c r="AL60" i="128"/>
  <c r="AM60" i="128" s="1"/>
  <c r="AL59" i="128"/>
  <c r="AM59" i="128" s="1"/>
  <c r="AL58" i="128"/>
  <c r="AM58" i="128" s="1"/>
  <c r="AL57" i="128"/>
  <c r="AM57" i="128" s="1"/>
  <c r="AL56" i="128"/>
  <c r="AM56" i="128" s="1"/>
  <c r="AL55" i="128"/>
  <c r="AM55" i="128" s="1"/>
  <c r="AL54" i="128"/>
  <c r="AM54" i="128" s="1"/>
  <c r="AL53" i="128"/>
  <c r="AM53" i="128" s="1"/>
  <c r="AL52" i="128"/>
  <c r="AM52" i="128" s="1"/>
  <c r="AL51" i="128"/>
  <c r="AM51" i="128" s="1"/>
  <c r="AL50" i="128"/>
  <c r="AM50" i="128" s="1"/>
  <c r="AL49" i="128"/>
  <c r="AM49" i="128" s="1"/>
  <c r="AL48" i="128"/>
  <c r="AM48" i="128" s="1"/>
  <c r="AL47" i="128"/>
  <c r="AM47" i="128" s="1"/>
  <c r="AL46" i="128"/>
  <c r="AM46" i="128" s="1"/>
  <c r="AL45" i="128"/>
  <c r="AM45" i="128" s="1"/>
  <c r="AL44" i="128"/>
  <c r="AM44" i="128" s="1"/>
  <c r="AL43" i="128"/>
  <c r="AM43" i="128" s="1"/>
  <c r="AL42" i="128"/>
  <c r="AM42" i="128" s="1"/>
  <c r="AL41" i="128"/>
  <c r="AM41" i="128" s="1"/>
  <c r="AL40" i="128"/>
  <c r="AM40" i="128" s="1"/>
  <c r="AL39" i="128"/>
  <c r="AM39" i="128" s="1"/>
  <c r="AL38" i="128"/>
  <c r="AM38" i="128" s="1"/>
  <c r="AL37" i="128"/>
  <c r="AM37" i="128" s="1"/>
  <c r="AL36" i="128"/>
  <c r="AM36" i="128" s="1"/>
  <c r="AL35" i="128"/>
  <c r="AM35" i="128" s="1"/>
  <c r="AL34" i="128"/>
  <c r="AM34" i="128" s="1"/>
  <c r="AL33" i="128"/>
  <c r="AL32" i="128"/>
  <c r="AM32" i="128" s="1"/>
  <c r="AL31" i="128"/>
  <c r="AM31" i="128" s="1"/>
  <c r="AL30" i="128"/>
  <c r="AM30" i="128" s="1"/>
  <c r="AL29" i="128"/>
  <c r="AM29" i="128" s="1"/>
  <c r="AL28" i="128"/>
  <c r="AM28" i="128" s="1"/>
  <c r="AL27" i="128"/>
  <c r="AM27" i="128" s="1"/>
  <c r="AL26" i="128"/>
  <c r="AM26" i="128" s="1"/>
  <c r="AL25" i="128"/>
  <c r="AM25" i="128" s="1"/>
  <c r="AL24" i="128"/>
  <c r="AM24" i="128" s="1"/>
  <c r="AL23" i="128"/>
  <c r="AM23" i="128" s="1"/>
  <c r="AL22" i="128"/>
  <c r="AM22" i="128" s="1"/>
  <c r="AL21" i="128"/>
  <c r="AM21" i="128" s="1"/>
  <c r="AL20" i="128"/>
  <c r="AM20" i="128" s="1"/>
  <c r="AL19" i="128"/>
  <c r="AM19" i="128" s="1"/>
  <c r="AL18" i="128"/>
  <c r="AM18" i="128" s="1"/>
  <c r="AL17" i="128"/>
  <c r="AM17" i="128" s="1"/>
  <c r="AL16" i="128"/>
  <c r="AM16" i="128" s="1"/>
  <c r="AL15" i="128"/>
  <c r="AM15" i="128" s="1"/>
  <c r="AL14" i="128"/>
  <c r="AM14" i="128" s="1"/>
  <c r="AL13" i="128"/>
  <c r="AM13" i="128" s="1"/>
  <c r="AL12" i="128"/>
  <c r="AM12" i="128" s="1"/>
  <c r="AL11" i="128"/>
  <c r="AM11" i="128" s="1"/>
  <c r="AL10" i="128"/>
  <c r="AM10" i="128" s="1"/>
  <c r="AL9" i="128"/>
  <c r="AM9" i="128" s="1"/>
  <c r="AL8" i="128"/>
  <c r="AM8" i="128" s="1"/>
  <c r="AL7" i="128"/>
  <c r="AM7" i="128" s="1"/>
  <c r="AL6" i="128"/>
  <c r="AM6" i="128" s="1"/>
  <c r="AK3" i="128"/>
  <c r="AJ3" i="128"/>
  <c r="AI3" i="128"/>
  <c r="AH3" i="128"/>
  <c r="AG3" i="128"/>
  <c r="AF3" i="128"/>
  <c r="AE3" i="128"/>
  <c r="AD3" i="128"/>
  <c r="AC3" i="128"/>
  <c r="AB3" i="128"/>
  <c r="AA3" i="128"/>
  <c r="Z3" i="128"/>
  <c r="Y3" i="128"/>
  <c r="X3" i="128"/>
  <c r="W3" i="128"/>
  <c r="V3" i="128"/>
  <c r="U3" i="128"/>
  <c r="T3" i="128"/>
  <c r="S3" i="128"/>
  <c r="R3" i="128"/>
  <c r="Q3" i="128"/>
  <c r="P3" i="128"/>
  <c r="O3" i="128"/>
  <c r="N3" i="128"/>
  <c r="M3" i="128"/>
  <c r="L3" i="128"/>
  <c r="AK2" i="128"/>
  <c r="AJ2" i="128"/>
  <c r="AI2" i="128"/>
  <c r="AH2" i="128"/>
  <c r="AG2" i="128"/>
  <c r="AF2" i="128"/>
  <c r="AE2" i="128"/>
  <c r="AD2" i="128"/>
  <c r="AC2" i="128"/>
  <c r="AB2" i="128"/>
  <c r="AA2" i="128"/>
  <c r="Z2" i="128"/>
  <c r="Y2" i="128"/>
  <c r="X2" i="128"/>
  <c r="W2" i="128"/>
  <c r="V2" i="128"/>
  <c r="U2" i="128"/>
  <c r="T2" i="128"/>
  <c r="S2" i="128"/>
  <c r="R2" i="128"/>
  <c r="Q2" i="128"/>
  <c r="P2" i="128"/>
  <c r="O2" i="128"/>
  <c r="N2" i="128"/>
  <c r="M2" i="128"/>
  <c r="L2" i="128"/>
  <c r="AK97" i="127"/>
  <c r="AJ97" i="127"/>
  <c r="AI97" i="127"/>
  <c r="AH97" i="127"/>
  <c r="AG97" i="127"/>
  <c r="AF97" i="127"/>
  <c r="AE97" i="127"/>
  <c r="AD97" i="127"/>
  <c r="AC97" i="127"/>
  <c r="AB97" i="127"/>
  <c r="AA97" i="127"/>
  <c r="Z97" i="127"/>
  <c r="Y97" i="127"/>
  <c r="X97" i="127"/>
  <c r="W97" i="127"/>
  <c r="V97" i="127"/>
  <c r="U97" i="127"/>
  <c r="T97" i="127"/>
  <c r="S97" i="127"/>
  <c r="R97" i="127"/>
  <c r="Q97" i="127"/>
  <c r="P97" i="127"/>
  <c r="O97" i="127"/>
  <c r="N97" i="127"/>
  <c r="M97" i="127"/>
  <c r="L97" i="127"/>
  <c r="J97" i="127"/>
  <c r="I97" i="127"/>
  <c r="B2" i="127" s="1"/>
  <c r="H97" i="127"/>
  <c r="B1" i="127" s="1"/>
  <c r="G97" i="127"/>
  <c r="F1" i="127" s="1"/>
  <c r="AL96" i="127"/>
  <c r="AM96" i="127" s="1"/>
  <c r="AL95" i="127"/>
  <c r="AM95" i="127" s="1"/>
  <c r="AL94" i="127"/>
  <c r="AM94" i="127" s="1"/>
  <c r="AL93" i="127"/>
  <c r="AM93" i="127" s="1"/>
  <c r="AL92" i="127"/>
  <c r="AM92" i="127" s="1"/>
  <c r="AL91" i="127"/>
  <c r="AM91" i="127" s="1"/>
  <c r="AL90" i="127"/>
  <c r="AM90" i="127" s="1"/>
  <c r="AL89" i="127"/>
  <c r="AM89" i="127" s="1"/>
  <c r="AL88" i="127"/>
  <c r="AM88" i="127" s="1"/>
  <c r="AL87" i="127"/>
  <c r="AM87" i="127" s="1"/>
  <c r="AL86" i="127"/>
  <c r="AM86" i="127" s="1"/>
  <c r="AL85" i="127"/>
  <c r="AM85" i="127" s="1"/>
  <c r="AL84" i="127"/>
  <c r="AM84" i="127" s="1"/>
  <c r="AL83" i="127"/>
  <c r="AM83" i="127" s="1"/>
  <c r="AL82" i="127"/>
  <c r="AM82" i="127" s="1"/>
  <c r="AL81" i="127"/>
  <c r="AM81" i="127" s="1"/>
  <c r="AL80" i="127"/>
  <c r="AM80" i="127" s="1"/>
  <c r="AL79" i="127"/>
  <c r="AM79" i="127" s="1"/>
  <c r="AL78" i="127"/>
  <c r="AM78" i="127" s="1"/>
  <c r="AL77" i="127"/>
  <c r="AM77" i="127" s="1"/>
  <c r="AL76" i="127"/>
  <c r="AM76" i="127" s="1"/>
  <c r="AL75" i="127"/>
  <c r="AM75" i="127" s="1"/>
  <c r="AL74" i="127"/>
  <c r="AM74" i="127" s="1"/>
  <c r="AL73" i="127"/>
  <c r="AM73" i="127" s="1"/>
  <c r="AL72" i="127"/>
  <c r="AM72" i="127" s="1"/>
  <c r="AL71" i="127"/>
  <c r="AM71" i="127" s="1"/>
  <c r="AL70" i="127"/>
  <c r="AM70" i="127" s="1"/>
  <c r="AL69" i="127"/>
  <c r="AM69" i="127" s="1"/>
  <c r="AL68" i="127"/>
  <c r="AM68" i="127" s="1"/>
  <c r="AL67" i="127"/>
  <c r="AM67" i="127" s="1"/>
  <c r="AL66" i="127"/>
  <c r="AM66" i="127" s="1"/>
  <c r="AL65" i="127"/>
  <c r="AM65" i="127" s="1"/>
  <c r="AL64" i="127"/>
  <c r="AL63" i="127"/>
  <c r="AM63" i="127" s="1"/>
  <c r="AL62" i="127"/>
  <c r="AM62" i="127" s="1"/>
  <c r="AL61" i="127"/>
  <c r="AM61" i="127" s="1"/>
  <c r="AL60" i="127"/>
  <c r="AM60" i="127" s="1"/>
  <c r="AL59" i="127"/>
  <c r="AM59" i="127" s="1"/>
  <c r="AL58" i="127"/>
  <c r="AM58" i="127" s="1"/>
  <c r="AL57" i="127"/>
  <c r="AM57" i="127" s="1"/>
  <c r="AL56" i="127"/>
  <c r="AM56" i="127" s="1"/>
  <c r="AL55" i="127"/>
  <c r="AM55" i="127" s="1"/>
  <c r="AL54" i="127"/>
  <c r="AM54" i="127" s="1"/>
  <c r="AL53" i="127"/>
  <c r="AM53" i="127" s="1"/>
  <c r="AL52" i="127"/>
  <c r="AM52" i="127" s="1"/>
  <c r="AL51" i="127"/>
  <c r="AM51" i="127" s="1"/>
  <c r="AL50" i="127"/>
  <c r="AM50" i="127" s="1"/>
  <c r="AL49" i="127"/>
  <c r="AM49" i="127" s="1"/>
  <c r="AL48" i="127"/>
  <c r="AM48" i="127" s="1"/>
  <c r="AL47" i="127"/>
  <c r="AM47" i="127" s="1"/>
  <c r="AL46" i="127"/>
  <c r="AM46" i="127" s="1"/>
  <c r="AL45" i="127"/>
  <c r="AM45" i="127" s="1"/>
  <c r="AL44" i="127"/>
  <c r="AM44" i="127" s="1"/>
  <c r="AL43" i="127"/>
  <c r="AM43" i="127" s="1"/>
  <c r="AL42" i="127"/>
  <c r="AM42" i="127" s="1"/>
  <c r="AL41" i="127"/>
  <c r="AM41" i="127" s="1"/>
  <c r="AL40" i="127"/>
  <c r="AM40" i="127" s="1"/>
  <c r="AL39" i="127"/>
  <c r="AL38" i="127"/>
  <c r="AM38" i="127" s="1"/>
  <c r="AL37" i="127"/>
  <c r="AM37" i="127" s="1"/>
  <c r="AL36" i="127"/>
  <c r="AM36" i="127" s="1"/>
  <c r="AL35" i="127"/>
  <c r="AM35" i="127" s="1"/>
  <c r="AL34" i="127"/>
  <c r="AM34" i="127" s="1"/>
  <c r="AL33" i="127"/>
  <c r="AM33" i="127" s="1"/>
  <c r="AL32" i="127"/>
  <c r="AM32" i="127" s="1"/>
  <c r="AL31" i="127"/>
  <c r="AM31" i="127" s="1"/>
  <c r="AL30" i="127"/>
  <c r="AM30" i="127" s="1"/>
  <c r="AL29" i="127"/>
  <c r="AM29" i="127" s="1"/>
  <c r="AL28" i="127"/>
  <c r="AM28" i="127" s="1"/>
  <c r="AL27" i="127"/>
  <c r="AM27" i="127" s="1"/>
  <c r="AL26" i="127"/>
  <c r="AM26" i="127" s="1"/>
  <c r="AL25" i="127"/>
  <c r="AM25" i="127" s="1"/>
  <c r="AL24" i="127"/>
  <c r="AM24" i="127" s="1"/>
  <c r="AL23" i="127"/>
  <c r="AM23" i="127" s="1"/>
  <c r="AL22" i="127"/>
  <c r="AM22" i="127" s="1"/>
  <c r="AL21" i="127"/>
  <c r="AM21" i="127" s="1"/>
  <c r="AL20" i="127"/>
  <c r="AM20" i="127" s="1"/>
  <c r="AL19" i="127"/>
  <c r="AM19" i="127" s="1"/>
  <c r="AL18" i="127"/>
  <c r="AM18" i="127" s="1"/>
  <c r="AL17" i="127"/>
  <c r="AM17" i="127" s="1"/>
  <c r="AL16" i="127"/>
  <c r="AM16" i="127" s="1"/>
  <c r="AL15" i="127"/>
  <c r="AM15" i="127" s="1"/>
  <c r="AL14" i="127"/>
  <c r="AM14" i="127" s="1"/>
  <c r="AL13" i="127"/>
  <c r="AM13" i="127" s="1"/>
  <c r="AL12" i="127"/>
  <c r="AM12" i="127" s="1"/>
  <c r="AL11" i="127"/>
  <c r="AM11" i="127" s="1"/>
  <c r="AL10" i="127"/>
  <c r="AM10" i="127" s="1"/>
  <c r="AL9" i="127"/>
  <c r="AM9" i="127" s="1"/>
  <c r="AL8" i="127"/>
  <c r="AM8" i="127" s="1"/>
  <c r="AL7" i="127"/>
  <c r="AM7" i="127" s="1"/>
  <c r="AL6" i="127"/>
  <c r="AM6" i="127" s="1"/>
  <c r="AK3" i="127"/>
  <c r="AJ3" i="127"/>
  <c r="AI3" i="127"/>
  <c r="AH3" i="127"/>
  <c r="AG3" i="127"/>
  <c r="AF3" i="127"/>
  <c r="AE3" i="127"/>
  <c r="AD3" i="127"/>
  <c r="AC3" i="127"/>
  <c r="AB3" i="127"/>
  <c r="AA3" i="127"/>
  <c r="Z3" i="127"/>
  <c r="Y3" i="127"/>
  <c r="X3" i="127"/>
  <c r="W3" i="127"/>
  <c r="V3" i="127"/>
  <c r="U3" i="127"/>
  <c r="T3" i="127"/>
  <c r="S3" i="127"/>
  <c r="R3" i="127"/>
  <c r="Q3" i="127"/>
  <c r="P3" i="127"/>
  <c r="O3" i="127"/>
  <c r="N3" i="127"/>
  <c r="M3" i="127"/>
  <c r="L3" i="127"/>
  <c r="AK2" i="127"/>
  <c r="AJ2" i="127"/>
  <c r="AI2" i="127"/>
  <c r="AH2" i="127"/>
  <c r="AG2" i="127"/>
  <c r="AF2" i="127"/>
  <c r="AE2" i="127"/>
  <c r="AD2" i="127"/>
  <c r="AC2" i="127"/>
  <c r="AB2" i="127"/>
  <c r="AA2" i="127"/>
  <c r="Z2" i="127"/>
  <c r="Y2" i="127"/>
  <c r="X2" i="127"/>
  <c r="W2" i="127"/>
  <c r="V2" i="127"/>
  <c r="U2" i="127"/>
  <c r="T2" i="127"/>
  <c r="S2" i="127"/>
  <c r="R2" i="127"/>
  <c r="Q2" i="127"/>
  <c r="P2" i="127"/>
  <c r="O2" i="127"/>
  <c r="N2" i="127"/>
  <c r="M2" i="127"/>
  <c r="L2" i="127"/>
  <c r="AK97" i="126"/>
  <c r="AJ97" i="126"/>
  <c r="AI97" i="126"/>
  <c r="AH97" i="126"/>
  <c r="AG97" i="126"/>
  <c r="AF97" i="126"/>
  <c r="AE97" i="126"/>
  <c r="AD97" i="126"/>
  <c r="AC97" i="126"/>
  <c r="AB97" i="126"/>
  <c r="AA97" i="126"/>
  <c r="Z97" i="126"/>
  <c r="Y97" i="126"/>
  <c r="X97" i="126"/>
  <c r="W97" i="126"/>
  <c r="V97" i="126"/>
  <c r="U97" i="126"/>
  <c r="T97" i="126"/>
  <c r="S97" i="126"/>
  <c r="R97" i="126"/>
  <c r="Q97" i="126"/>
  <c r="P97" i="126"/>
  <c r="O97" i="126"/>
  <c r="N97" i="126"/>
  <c r="M97" i="126"/>
  <c r="L97" i="126"/>
  <c r="J97" i="126"/>
  <c r="I97" i="126"/>
  <c r="H97" i="126"/>
  <c r="G97" i="126"/>
  <c r="F1" i="126" s="1"/>
  <c r="AL96" i="126"/>
  <c r="AM96" i="126" s="1"/>
  <c r="AL95" i="126"/>
  <c r="AM95" i="126" s="1"/>
  <c r="AL94" i="126"/>
  <c r="AM94" i="126" s="1"/>
  <c r="AL93" i="126"/>
  <c r="AM93" i="126" s="1"/>
  <c r="AL92" i="126"/>
  <c r="AM92" i="126" s="1"/>
  <c r="AL91" i="126"/>
  <c r="AM91" i="126" s="1"/>
  <c r="AL90" i="126"/>
  <c r="AM90" i="126" s="1"/>
  <c r="AL89" i="126"/>
  <c r="AM89" i="126" s="1"/>
  <c r="AL88" i="126"/>
  <c r="AM88" i="126" s="1"/>
  <c r="AL87" i="126"/>
  <c r="AM87" i="126" s="1"/>
  <c r="AL86" i="126"/>
  <c r="AM86" i="126" s="1"/>
  <c r="AL85" i="126"/>
  <c r="AM85" i="126" s="1"/>
  <c r="AL84" i="126"/>
  <c r="AM84" i="126" s="1"/>
  <c r="AL83" i="126"/>
  <c r="AM83" i="126" s="1"/>
  <c r="AL82" i="126"/>
  <c r="AM82" i="126" s="1"/>
  <c r="AL81" i="126"/>
  <c r="AM81" i="126" s="1"/>
  <c r="AL80" i="126"/>
  <c r="AM80" i="126" s="1"/>
  <c r="AL79" i="126"/>
  <c r="AM79" i="126" s="1"/>
  <c r="AL78" i="126"/>
  <c r="AM78" i="126" s="1"/>
  <c r="AL77" i="126"/>
  <c r="AM77" i="126" s="1"/>
  <c r="AL76" i="126"/>
  <c r="AM76" i="126" s="1"/>
  <c r="AL75" i="126"/>
  <c r="AM75" i="126" s="1"/>
  <c r="AL74" i="126"/>
  <c r="AM74" i="126" s="1"/>
  <c r="AL73" i="126"/>
  <c r="AM73" i="126" s="1"/>
  <c r="AL72" i="126"/>
  <c r="AM72" i="126" s="1"/>
  <c r="AL71" i="126"/>
  <c r="AM71" i="126" s="1"/>
  <c r="AL70" i="126"/>
  <c r="AM70" i="126" s="1"/>
  <c r="AL69" i="126"/>
  <c r="AM69" i="126" s="1"/>
  <c r="AL68" i="126"/>
  <c r="AM68" i="126" s="1"/>
  <c r="AL67" i="126"/>
  <c r="AM67" i="126" s="1"/>
  <c r="AL66" i="126"/>
  <c r="AM66" i="126" s="1"/>
  <c r="AL65" i="126"/>
  <c r="AM65" i="126" s="1"/>
  <c r="AL64" i="126"/>
  <c r="AM64" i="126" s="1"/>
  <c r="AL63" i="126"/>
  <c r="AM63" i="126" s="1"/>
  <c r="AL62" i="126"/>
  <c r="AM62" i="126" s="1"/>
  <c r="AL61" i="126"/>
  <c r="AM61" i="126" s="1"/>
  <c r="AL60" i="126"/>
  <c r="AM60" i="126" s="1"/>
  <c r="AL59" i="126"/>
  <c r="AM59" i="126" s="1"/>
  <c r="AL58" i="126"/>
  <c r="AM58" i="126" s="1"/>
  <c r="AL57" i="126"/>
  <c r="AM57" i="126" s="1"/>
  <c r="AL56" i="126"/>
  <c r="AM56" i="126" s="1"/>
  <c r="AL55" i="126"/>
  <c r="AM55" i="126" s="1"/>
  <c r="AL54" i="126"/>
  <c r="AM54" i="126" s="1"/>
  <c r="AL53" i="126"/>
  <c r="AM53" i="126" s="1"/>
  <c r="AL52" i="126"/>
  <c r="AM52" i="126" s="1"/>
  <c r="AL51" i="126"/>
  <c r="AM51" i="126" s="1"/>
  <c r="AL50" i="126"/>
  <c r="AM50" i="126" s="1"/>
  <c r="AL49" i="126"/>
  <c r="AM49" i="126" s="1"/>
  <c r="AL48" i="126"/>
  <c r="AM48" i="126" s="1"/>
  <c r="AL47" i="126"/>
  <c r="AM47" i="126" s="1"/>
  <c r="AL46" i="126"/>
  <c r="AM46" i="126" s="1"/>
  <c r="AL45" i="126"/>
  <c r="AM45" i="126" s="1"/>
  <c r="AL44" i="126"/>
  <c r="AM44" i="126" s="1"/>
  <c r="AL43" i="126"/>
  <c r="AM43" i="126" s="1"/>
  <c r="AL42" i="126"/>
  <c r="AM42" i="126" s="1"/>
  <c r="AL41" i="126"/>
  <c r="AM41" i="126" s="1"/>
  <c r="AL40" i="126"/>
  <c r="AL39" i="126"/>
  <c r="AM39" i="126" s="1"/>
  <c r="AL38" i="126"/>
  <c r="AM38" i="126" s="1"/>
  <c r="AL37" i="126"/>
  <c r="AM37" i="126" s="1"/>
  <c r="AL36" i="126"/>
  <c r="AM36" i="126" s="1"/>
  <c r="AL35" i="126"/>
  <c r="AM35" i="126" s="1"/>
  <c r="AL34" i="126"/>
  <c r="AM34" i="126" s="1"/>
  <c r="AL33" i="126"/>
  <c r="AM33" i="126" s="1"/>
  <c r="AL32" i="126"/>
  <c r="AM32" i="126" s="1"/>
  <c r="AL31" i="126"/>
  <c r="AM31" i="126" s="1"/>
  <c r="AL30" i="126"/>
  <c r="AM30" i="126" s="1"/>
  <c r="AL29" i="126"/>
  <c r="AM29" i="126" s="1"/>
  <c r="AL28" i="126"/>
  <c r="AM28" i="126" s="1"/>
  <c r="AL27" i="126"/>
  <c r="AM27" i="126" s="1"/>
  <c r="AL26" i="126"/>
  <c r="AM26" i="126" s="1"/>
  <c r="AL25" i="126"/>
  <c r="AM25" i="126" s="1"/>
  <c r="AL24" i="126"/>
  <c r="AM24" i="126" s="1"/>
  <c r="AL23" i="126"/>
  <c r="AM23" i="126" s="1"/>
  <c r="AL22" i="126"/>
  <c r="AM22" i="126" s="1"/>
  <c r="AL21" i="126"/>
  <c r="AM21" i="126" s="1"/>
  <c r="AL20" i="126"/>
  <c r="AM20" i="126" s="1"/>
  <c r="AL19" i="126"/>
  <c r="AM19" i="126" s="1"/>
  <c r="AL18" i="126"/>
  <c r="AM18" i="126" s="1"/>
  <c r="AL17" i="126"/>
  <c r="AM17" i="126" s="1"/>
  <c r="AL16" i="126"/>
  <c r="AM16" i="126" s="1"/>
  <c r="AL15" i="126"/>
  <c r="AM15" i="126" s="1"/>
  <c r="AL14" i="126"/>
  <c r="AM14" i="126" s="1"/>
  <c r="AL13" i="126"/>
  <c r="AM13" i="126" s="1"/>
  <c r="AL12" i="126"/>
  <c r="AM12" i="126" s="1"/>
  <c r="AL11" i="126"/>
  <c r="AM11" i="126" s="1"/>
  <c r="AL10" i="126"/>
  <c r="AM10" i="126" s="1"/>
  <c r="AL9" i="126"/>
  <c r="AM9" i="126" s="1"/>
  <c r="AL8" i="126"/>
  <c r="AM8" i="126" s="1"/>
  <c r="AL7" i="126"/>
  <c r="AM7" i="126" s="1"/>
  <c r="AL6" i="126"/>
  <c r="AK3" i="126"/>
  <c r="AJ3" i="126"/>
  <c r="AI3" i="126"/>
  <c r="AH3" i="126"/>
  <c r="AG3" i="126"/>
  <c r="AF3" i="126"/>
  <c r="AE3" i="126"/>
  <c r="AD3" i="126"/>
  <c r="AC3" i="126"/>
  <c r="AB3" i="126"/>
  <c r="AA3" i="126"/>
  <c r="Z3" i="126"/>
  <c r="Y3" i="126"/>
  <c r="X3" i="126"/>
  <c r="W3" i="126"/>
  <c r="V3" i="126"/>
  <c r="U3" i="126"/>
  <c r="T3" i="126"/>
  <c r="S3" i="126"/>
  <c r="R3" i="126"/>
  <c r="Q3" i="126"/>
  <c r="P3" i="126"/>
  <c r="O3" i="126"/>
  <c r="N3" i="126"/>
  <c r="M3" i="126"/>
  <c r="L3" i="126"/>
  <c r="AK2" i="126"/>
  <c r="AJ2" i="126"/>
  <c r="AI2" i="126"/>
  <c r="AH2" i="126"/>
  <c r="AG2" i="126"/>
  <c r="AF2" i="126"/>
  <c r="AE2" i="126"/>
  <c r="AD2" i="126"/>
  <c r="AC2" i="126"/>
  <c r="AB2" i="126"/>
  <c r="AA2" i="126"/>
  <c r="Z2" i="126"/>
  <c r="Y2" i="126"/>
  <c r="X2" i="126"/>
  <c r="W2" i="126"/>
  <c r="V2" i="126"/>
  <c r="U2" i="126"/>
  <c r="T2" i="126"/>
  <c r="S2" i="126"/>
  <c r="R2" i="126"/>
  <c r="Q2" i="126"/>
  <c r="P2" i="126"/>
  <c r="O2" i="126"/>
  <c r="N2" i="126"/>
  <c r="M2" i="126"/>
  <c r="L2" i="126"/>
  <c r="AK97" i="124"/>
  <c r="AJ97" i="124"/>
  <c r="AI97" i="124"/>
  <c r="AH97" i="124"/>
  <c r="AG97" i="124"/>
  <c r="AF97" i="124"/>
  <c r="AE97" i="124"/>
  <c r="AD97" i="124"/>
  <c r="AC97" i="124"/>
  <c r="AB97" i="124"/>
  <c r="AA97" i="124"/>
  <c r="Z97" i="124"/>
  <c r="Y97" i="124"/>
  <c r="X97" i="124"/>
  <c r="W97" i="124"/>
  <c r="V97" i="124"/>
  <c r="U97" i="124"/>
  <c r="T97" i="124"/>
  <c r="S97" i="124"/>
  <c r="R97" i="124"/>
  <c r="Q97" i="124"/>
  <c r="P97" i="124"/>
  <c r="O97" i="124"/>
  <c r="N97" i="124"/>
  <c r="M97" i="124"/>
  <c r="L97" i="124"/>
  <c r="J97" i="124"/>
  <c r="I97" i="124"/>
  <c r="B2" i="124" s="1"/>
  <c r="H97" i="124"/>
  <c r="G97" i="124"/>
  <c r="AL96" i="124"/>
  <c r="AM96" i="124" s="1"/>
  <c r="AL95" i="124"/>
  <c r="AM95" i="124" s="1"/>
  <c r="AL94" i="124"/>
  <c r="AM94" i="124" s="1"/>
  <c r="AL93" i="124"/>
  <c r="AM93" i="124" s="1"/>
  <c r="AL92" i="124"/>
  <c r="AM92" i="124" s="1"/>
  <c r="AL91" i="124"/>
  <c r="AM91" i="124" s="1"/>
  <c r="AL90" i="124"/>
  <c r="AM90" i="124" s="1"/>
  <c r="AL89" i="124"/>
  <c r="AM89" i="124" s="1"/>
  <c r="AL88" i="124"/>
  <c r="AM88" i="124" s="1"/>
  <c r="AL87" i="124"/>
  <c r="AM87" i="124" s="1"/>
  <c r="AL86" i="124"/>
  <c r="AM86" i="124" s="1"/>
  <c r="AL85" i="124"/>
  <c r="AM85" i="124" s="1"/>
  <c r="AL84" i="124"/>
  <c r="AM84" i="124" s="1"/>
  <c r="AL83" i="124"/>
  <c r="AM83" i="124" s="1"/>
  <c r="AL82" i="124"/>
  <c r="AM82" i="124" s="1"/>
  <c r="AL81" i="124"/>
  <c r="AM81" i="124" s="1"/>
  <c r="AL80" i="124"/>
  <c r="AM80" i="124" s="1"/>
  <c r="AL79" i="124"/>
  <c r="AM79" i="124" s="1"/>
  <c r="AL78" i="124"/>
  <c r="AM78" i="124" s="1"/>
  <c r="AL77" i="124"/>
  <c r="AM77" i="124" s="1"/>
  <c r="AL76" i="124"/>
  <c r="AM76" i="124" s="1"/>
  <c r="AL75" i="124"/>
  <c r="AM75" i="124" s="1"/>
  <c r="AL74" i="124"/>
  <c r="AM74" i="124" s="1"/>
  <c r="AL73" i="124"/>
  <c r="AM73" i="124" s="1"/>
  <c r="AL72" i="124"/>
  <c r="AM72" i="124" s="1"/>
  <c r="AL71" i="124"/>
  <c r="AM71" i="124" s="1"/>
  <c r="AL70" i="124"/>
  <c r="AM70" i="124" s="1"/>
  <c r="AL69" i="124"/>
  <c r="AM69" i="124" s="1"/>
  <c r="AL68" i="124"/>
  <c r="AM68" i="124" s="1"/>
  <c r="AL67" i="124"/>
  <c r="AM67" i="124" s="1"/>
  <c r="AL66" i="124"/>
  <c r="AM66" i="124" s="1"/>
  <c r="AL65" i="124"/>
  <c r="AM65" i="124" s="1"/>
  <c r="AL64" i="124"/>
  <c r="AM64" i="124" s="1"/>
  <c r="AL63" i="124"/>
  <c r="AM63" i="124" s="1"/>
  <c r="AL62" i="124"/>
  <c r="AM62" i="124" s="1"/>
  <c r="AL61" i="124"/>
  <c r="AM61" i="124" s="1"/>
  <c r="AL60" i="124"/>
  <c r="AM60" i="124" s="1"/>
  <c r="AL59" i="124"/>
  <c r="AM59" i="124" s="1"/>
  <c r="AL58" i="124"/>
  <c r="AM58" i="124" s="1"/>
  <c r="AL57" i="124"/>
  <c r="AM57" i="124" s="1"/>
  <c r="AL56" i="124"/>
  <c r="AM56" i="124" s="1"/>
  <c r="AL55" i="124"/>
  <c r="AM55" i="124" s="1"/>
  <c r="AL54" i="124"/>
  <c r="AM54" i="124" s="1"/>
  <c r="AL53" i="124"/>
  <c r="AM53" i="124" s="1"/>
  <c r="AL52" i="124"/>
  <c r="AM52" i="124" s="1"/>
  <c r="AL51" i="124"/>
  <c r="AM51" i="124" s="1"/>
  <c r="AL50" i="124"/>
  <c r="AM50" i="124" s="1"/>
  <c r="AL49" i="124"/>
  <c r="AM49" i="124" s="1"/>
  <c r="AL48" i="124"/>
  <c r="AM48" i="124" s="1"/>
  <c r="AL47" i="124"/>
  <c r="AM47" i="124" s="1"/>
  <c r="AL46" i="124"/>
  <c r="AM46" i="124" s="1"/>
  <c r="AL45" i="124"/>
  <c r="AM45" i="124" s="1"/>
  <c r="AL44" i="124"/>
  <c r="AM44" i="124" s="1"/>
  <c r="AL43" i="124"/>
  <c r="AM43" i="124" s="1"/>
  <c r="AL42" i="124"/>
  <c r="AM42" i="124" s="1"/>
  <c r="AL41" i="124"/>
  <c r="AM41" i="124" s="1"/>
  <c r="AL40" i="124"/>
  <c r="AM40" i="124" s="1"/>
  <c r="AL39" i="124"/>
  <c r="AM39" i="124" s="1"/>
  <c r="AL38" i="124"/>
  <c r="AM38" i="124" s="1"/>
  <c r="AL37" i="124"/>
  <c r="AM37" i="124" s="1"/>
  <c r="AL36" i="124"/>
  <c r="AM36" i="124" s="1"/>
  <c r="AL35" i="124"/>
  <c r="AM35" i="124" s="1"/>
  <c r="AL34" i="124"/>
  <c r="AM34" i="124" s="1"/>
  <c r="AL33" i="124"/>
  <c r="AM33" i="124" s="1"/>
  <c r="AL32" i="124"/>
  <c r="AM32" i="124" s="1"/>
  <c r="AL31" i="124"/>
  <c r="AM31" i="124" s="1"/>
  <c r="AL30" i="124"/>
  <c r="AM30" i="124" s="1"/>
  <c r="AL29" i="124"/>
  <c r="AM29" i="124" s="1"/>
  <c r="AL28" i="124"/>
  <c r="AL27" i="124"/>
  <c r="AM27" i="124" s="1"/>
  <c r="AL26" i="124"/>
  <c r="AM26" i="124" s="1"/>
  <c r="AL25" i="124"/>
  <c r="AM25" i="124" s="1"/>
  <c r="AL24" i="124"/>
  <c r="AM24" i="124" s="1"/>
  <c r="AL23" i="124"/>
  <c r="AM23" i="124" s="1"/>
  <c r="AL22" i="124"/>
  <c r="AM22" i="124" s="1"/>
  <c r="AL21" i="124"/>
  <c r="AM21" i="124" s="1"/>
  <c r="AL20" i="124"/>
  <c r="AM20" i="124" s="1"/>
  <c r="AL19" i="124"/>
  <c r="AM19" i="124" s="1"/>
  <c r="AL18" i="124"/>
  <c r="AM18" i="124" s="1"/>
  <c r="AL17" i="124"/>
  <c r="AM17" i="124" s="1"/>
  <c r="AL16" i="124"/>
  <c r="AM16" i="124" s="1"/>
  <c r="AL15" i="124"/>
  <c r="AM15" i="124" s="1"/>
  <c r="AL14" i="124"/>
  <c r="AM14" i="124" s="1"/>
  <c r="AL13" i="124"/>
  <c r="AM13" i="124" s="1"/>
  <c r="AL12" i="124"/>
  <c r="AM12" i="124" s="1"/>
  <c r="AL11" i="124"/>
  <c r="AM11" i="124" s="1"/>
  <c r="AL10" i="124"/>
  <c r="AM10" i="124" s="1"/>
  <c r="AL9" i="124"/>
  <c r="AM9" i="124" s="1"/>
  <c r="AL8" i="124"/>
  <c r="AM8" i="124" s="1"/>
  <c r="AL7" i="124"/>
  <c r="AM7" i="124" s="1"/>
  <c r="AL6" i="124"/>
  <c r="AM6" i="124" s="1"/>
  <c r="AK3" i="124"/>
  <c r="AJ3" i="124"/>
  <c r="AI3" i="124"/>
  <c r="AH3" i="124"/>
  <c r="AG3" i="124"/>
  <c r="AF3" i="124"/>
  <c r="AE3" i="124"/>
  <c r="AD3" i="124"/>
  <c r="AC3" i="124"/>
  <c r="AB3" i="124"/>
  <c r="AA3" i="124"/>
  <c r="Z3" i="124"/>
  <c r="Y3" i="124"/>
  <c r="X3" i="124"/>
  <c r="W3" i="124"/>
  <c r="V3" i="124"/>
  <c r="U3" i="124"/>
  <c r="T3" i="124"/>
  <c r="S3" i="124"/>
  <c r="R3" i="124"/>
  <c r="Q3" i="124"/>
  <c r="P3" i="124"/>
  <c r="O3" i="124"/>
  <c r="N3" i="124"/>
  <c r="M3" i="124"/>
  <c r="L3" i="124"/>
  <c r="AK2" i="124"/>
  <c r="AJ2" i="124"/>
  <c r="AI2" i="124"/>
  <c r="AH2" i="124"/>
  <c r="AG2" i="124"/>
  <c r="AF2" i="124"/>
  <c r="AE2" i="124"/>
  <c r="AD2" i="124"/>
  <c r="AC2" i="124"/>
  <c r="AB2" i="124"/>
  <c r="AA2" i="124"/>
  <c r="Z2" i="124"/>
  <c r="Y2" i="124"/>
  <c r="X2" i="124"/>
  <c r="W2" i="124"/>
  <c r="V2" i="124"/>
  <c r="U2" i="124"/>
  <c r="T2" i="124"/>
  <c r="S2" i="124"/>
  <c r="R2" i="124"/>
  <c r="Q2" i="124"/>
  <c r="P2" i="124"/>
  <c r="O2" i="124"/>
  <c r="N2" i="124"/>
  <c r="M2" i="124"/>
  <c r="L2" i="124"/>
  <c r="F1" i="124"/>
  <c r="AK97" i="125"/>
  <c r="AJ97" i="125"/>
  <c r="AI97" i="125"/>
  <c r="AH97" i="125"/>
  <c r="AG97" i="125"/>
  <c r="AF97" i="125"/>
  <c r="AE97" i="125"/>
  <c r="AD97" i="125"/>
  <c r="AC97" i="125"/>
  <c r="AB97" i="125"/>
  <c r="AA97" i="125"/>
  <c r="Z97" i="125"/>
  <c r="Y97" i="125"/>
  <c r="X97" i="125"/>
  <c r="W97" i="125"/>
  <c r="V97" i="125"/>
  <c r="U97" i="125"/>
  <c r="T97" i="125"/>
  <c r="S97" i="125"/>
  <c r="R97" i="125"/>
  <c r="Q97" i="125"/>
  <c r="P97" i="125"/>
  <c r="O97" i="125"/>
  <c r="N97" i="125"/>
  <c r="M97" i="125"/>
  <c r="L97" i="125"/>
  <c r="J97" i="125"/>
  <c r="I97" i="125"/>
  <c r="B2" i="125" s="1"/>
  <c r="H97" i="125"/>
  <c r="G97" i="125"/>
  <c r="F1" i="125" s="1"/>
  <c r="AL96" i="125"/>
  <c r="AM96" i="125" s="1"/>
  <c r="AL95" i="125"/>
  <c r="AM95" i="125" s="1"/>
  <c r="AL94" i="125"/>
  <c r="AM94" i="125" s="1"/>
  <c r="AL93" i="125"/>
  <c r="AM93" i="125" s="1"/>
  <c r="AL92" i="125"/>
  <c r="AM92" i="125" s="1"/>
  <c r="AL91" i="125"/>
  <c r="AM91" i="125" s="1"/>
  <c r="AL90" i="125"/>
  <c r="AM90" i="125" s="1"/>
  <c r="AL89" i="125"/>
  <c r="AM89" i="125" s="1"/>
  <c r="AL88" i="125"/>
  <c r="AM88" i="125" s="1"/>
  <c r="AL87" i="125"/>
  <c r="AM87" i="125" s="1"/>
  <c r="AL86" i="125"/>
  <c r="AM86" i="125" s="1"/>
  <c r="AL85" i="125"/>
  <c r="AM85" i="125" s="1"/>
  <c r="AL84" i="125"/>
  <c r="AM84" i="125" s="1"/>
  <c r="AL83" i="125"/>
  <c r="AM83" i="125" s="1"/>
  <c r="AL82" i="125"/>
  <c r="AM82" i="125" s="1"/>
  <c r="AL81" i="125"/>
  <c r="AM81" i="125" s="1"/>
  <c r="AL80" i="125"/>
  <c r="AM80" i="125" s="1"/>
  <c r="AL79" i="125"/>
  <c r="AM79" i="125" s="1"/>
  <c r="AL78" i="125"/>
  <c r="AM78" i="125" s="1"/>
  <c r="AL77" i="125"/>
  <c r="AM77" i="125" s="1"/>
  <c r="AL76" i="125"/>
  <c r="AM76" i="125" s="1"/>
  <c r="AL75" i="125"/>
  <c r="AM75" i="125" s="1"/>
  <c r="AL74" i="125"/>
  <c r="AM74" i="125" s="1"/>
  <c r="AL73" i="125"/>
  <c r="AM73" i="125" s="1"/>
  <c r="AL72" i="125"/>
  <c r="AM72" i="125" s="1"/>
  <c r="AL71" i="125"/>
  <c r="AM71" i="125" s="1"/>
  <c r="AL70" i="125"/>
  <c r="AM70" i="125" s="1"/>
  <c r="AL69" i="125"/>
  <c r="AM69" i="125" s="1"/>
  <c r="AL68" i="125"/>
  <c r="AM68" i="125" s="1"/>
  <c r="AL67" i="125"/>
  <c r="AM67" i="125" s="1"/>
  <c r="AL66" i="125"/>
  <c r="AM66" i="125" s="1"/>
  <c r="AL65" i="125"/>
  <c r="AM65" i="125" s="1"/>
  <c r="AL64" i="125"/>
  <c r="AM64" i="125" s="1"/>
  <c r="AL63" i="125"/>
  <c r="AM63" i="125" s="1"/>
  <c r="AL62" i="125"/>
  <c r="AM62" i="125" s="1"/>
  <c r="AL61" i="125"/>
  <c r="AM61" i="125" s="1"/>
  <c r="AL60" i="125"/>
  <c r="AM60" i="125" s="1"/>
  <c r="AL59" i="125"/>
  <c r="AM59" i="125" s="1"/>
  <c r="AL58" i="125"/>
  <c r="AM58" i="125" s="1"/>
  <c r="AL57" i="125"/>
  <c r="AM57" i="125" s="1"/>
  <c r="AL56" i="125"/>
  <c r="AM56" i="125" s="1"/>
  <c r="AL55" i="125"/>
  <c r="AM55" i="125" s="1"/>
  <c r="AL54" i="125"/>
  <c r="AM54" i="125" s="1"/>
  <c r="AL53" i="125"/>
  <c r="AM53" i="125" s="1"/>
  <c r="AL52" i="125"/>
  <c r="AM52" i="125" s="1"/>
  <c r="AL51" i="125"/>
  <c r="AM51" i="125" s="1"/>
  <c r="AL50" i="125"/>
  <c r="AM50" i="125" s="1"/>
  <c r="AL49" i="125"/>
  <c r="AM49" i="125" s="1"/>
  <c r="AL48" i="125"/>
  <c r="AM48" i="125" s="1"/>
  <c r="AL47" i="125"/>
  <c r="AM47" i="125" s="1"/>
  <c r="AL46" i="125"/>
  <c r="AM46" i="125" s="1"/>
  <c r="AL45" i="125"/>
  <c r="AM45" i="125" s="1"/>
  <c r="AL44" i="125"/>
  <c r="AM44" i="125" s="1"/>
  <c r="AL43" i="125"/>
  <c r="AM43" i="125" s="1"/>
  <c r="AL42" i="125"/>
  <c r="AM42" i="125" s="1"/>
  <c r="AL41" i="125"/>
  <c r="AM41" i="125" s="1"/>
  <c r="AL40" i="125"/>
  <c r="AM40" i="125" s="1"/>
  <c r="AL39" i="125"/>
  <c r="AM39" i="125" s="1"/>
  <c r="AL38" i="125"/>
  <c r="AM38" i="125" s="1"/>
  <c r="AL37" i="125"/>
  <c r="AM37" i="125" s="1"/>
  <c r="AL36" i="125"/>
  <c r="AM36" i="125" s="1"/>
  <c r="AL35" i="125"/>
  <c r="AM35" i="125" s="1"/>
  <c r="AL34" i="125"/>
  <c r="AM34" i="125" s="1"/>
  <c r="AL33" i="125"/>
  <c r="AM33" i="125" s="1"/>
  <c r="AL32" i="125"/>
  <c r="AM32" i="125" s="1"/>
  <c r="AL31" i="125"/>
  <c r="AM31" i="125" s="1"/>
  <c r="AL30" i="125"/>
  <c r="AM30" i="125" s="1"/>
  <c r="AL29" i="125"/>
  <c r="AM29" i="125" s="1"/>
  <c r="AL28" i="125"/>
  <c r="AL27" i="125"/>
  <c r="AM27" i="125" s="1"/>
  <c r="AL26" i="125"/>
  <c r="AM26" i="125" s="1"/>
  <c r="AL25" i="125"/>
  <c r="AM25" i="125" s="1"/>
  <c r="AL24" i="125"/>
  <c r="AM24" i="125" s="1"/>
  <c r="AL23" i="125"/>
  <c r="AM23" i="125" s="1"/>
  <c r="AL22" i="125"/>
  <c r="AM22" i="125" s="1"/>
  <c r="AL21" i="125"/>
  <c r="AM21" i="125" s="1"/>
  <c r="AL20" i="125"/>
  <c r="AM20" i="125" s="1"/>
  <c r="AL19" i="125"/>
  <c r="AM19" i="125" s="1"/>
  <c r="AL18" i="125"/>
  <c r="AM18" i="125" s="1"/>
  <c r="AL17" i="125"/>
  <c r="AM17" i="125" s="1"/>
  <c r="AL16" i="125"/>
  <c r="AM16" i="125" s="1"/>
  <c r="AL15" i="125"/>
  <c r="AM15" i="125" s="1"/>
  <c r="AL14" i="125"/>
  <c r="AM14" i="125" s="1"/>
  <c r="AL13" i="125"/>
  <c r="AM13" i="125" s="1"/>
  <c r="AL12" i="125"/>
  <c r="AM12" i="125" s="1"/>
  <c r="AL11" i="125"/>
  <c r="AM11" i="125" s="1"/>
  <c r="AL10" i="125"/>
  <c r="AM10" i="125" s="1"/>
  <c r="AL9" i="125"/>
  <c r="AM9" i="125" s="1"/>
  <c r="AL8" i="125"/>
  <c r="AM8" i="125" s="1"/>
  <c r="AL7" i="125"/>
  <c r="AM7" i="125" s="1"/>
  <c r="AL6" i="125"/>
  <c r="AM6" i="125" s="1"/>
  <c r="AK3" i="125"/>
  <c r="AJ3" i="125"/>
  <c r="AI3" i="125"/>
  <c r="AH3" i="125"/>
  <c r="AG3" i="125"/>
  <c r="AF3" i="125"/>
  <c r="AE3" i="125"/>
  <c r="AD3" i="125"/>
  <c r="AC3" i="125"/>
  <c r="AB3" i="125"/>
  <c r="AA3" i="125"/>
  <c r="Z3" i="125"/>
  <c r="Y3" i="125"/>
  <c r="X3" i="125"/>
  <c r="W3" i="125"/>
  <c r="V3" i="125"/>
  <c r="U3" i="125"/>
  <c r="T3" i="125"/>
  <c r="S3" i="125"/>
  <c r="R3" i="125"/>
  <c r="Q3" i="125"/>
  <c r="P3" i="125"/>
  <c r="O3" i="125"/>
  <c r="N3" i="125"/>
  <c r="M3" i="125"/>
  <c r="L3" i="125"/>
  <c r="AK2" i="125"/>
  <c r="AJ2" i="125"/>
  <c r="AI2" i="125"/>
  <c r="AH2" i="125"/>
  <c r="AG2" i="125"/>
  <c r="AF2" i="125"/>
  <c r="AE2" i="125"/>
  <c r="AD2" i="125"/>
  <c r="AC2" i="125"/>
  <c r="AB2" i="125"/>
  <c r="AA2" i="125"/>
  <c r="Z2" i="125"/>
  <c r="Y2" i="125"/>
  <c r="X2" i="125"/>
  <c r="W2" i="125"/>
  <c r="V2" i="125"/>
  <c r="U2" i="125"/>
  <c r="T2" i="125"/>
  <c r="S2" i="125"/>
  <c r="R2" i="125"/>
  <c r="Q2" i="125"/>
  <c r="P2" i="125"/>
  <c r="O2" i="125"/>
  <c r="N2" i="125"/>
  <c r="M2" i="125"/>
  <c r="AK97" i="122"/>
  <c r="AJ97" i="122"/>
  <c r="AI97" i="122"/>
  <c r="AH97" i="122"/>
  <c r="AG97" i="122"/>
  <c r="AF97" i="122"/>
  <c r="AE97" i="122"/>
  <c r="AD97" i="122"/>
  <c r="AC97" i="122"/>
  <c r="AB97" i="122"/>
  <c r="AA97" i="122"/>
  <c r="Z97" i="122"/>
  <c r="Y97" i="122"/>
  <c r="X97" i="122"/>
  <c r="W97" i="122"/>
  <c r="V97" i="122"/>
  <c r="U97" i="122"/>
  <c r="T97" i="122"/>
  <c r="S97" i="122"/>
  <c r="R97" i="122"/>
  <c r="Q97" i="122"/>
  <c r="P97" i="122"/>
  <c r="O97" i="122"/>
  <c r="N97" i="122"/>
  <c r="M97" i="122"/>
  <c r="L97" i="122"/>
  <c r="J97" i="122"/>
  <c r="I97" i="122"/>
  <c r="B2" i="122" s="1"/>
  <c r="H97" i="122"/>
  <c r="B1" i="122" s="1"/>
  <c r="G97" i="122"/>
  <c r="F1" i="122" s="1"/>
  <c r="AL96" i="122"/>
  <c r="AM96" i="122" s="1"/>
  <c r="AL95" i="122"/>
  <c r="AM95" i="122" s="1"/>
  <c r="AL94" i="122"/>
  <c r="AM94" i="122" s="1"/>
  <c r="AL93" i="122"/>
  <c r="AM93" i="122" s="1"/>
  <c r="AL92" i="122"/>
  <c r="AM92" i="122" s="1"/>
  <c r="AL91" i="122"/>
  <c r="AM91" i="122" s="1"/>
  <c r="AL90" i="122"/>
  <c r="AM90" i="122" s="1"/>
  <c r="AL89" i="122"/>
  <c r="AM89" i="122" s="1"/>
  <c r="AL88" i="122"/>
  <c r="AM88" i="122" s="1"/>
  <c r="AL87" i="122"/>
  <c r="AM87" i="122" s="1"/>
  <c r="AL86" i="122"/>
  <c r="AM86" i="122" s="1"/>
  <c r="AL85" i="122"/>
  <c r="AM85" i="122" s="1"/>
  <c r="AL84" i="122"/>
  <c r="AM84" i="122" s="1"/>
  <c r="AL83" i="122"/>
  <c r="AM83" i="122" s="1"/>
  <c r="AL82" i="122"/>
  <c r="AM82" i="122" s="1"/>
  <c r="AL81" i="122"/>
  <c r="AM81" i="122" s="1"/>
  <c r="AL80" i="122"/>
  <c r="AM80" i="122" s="1"/>
  <c r="AL79" i="122"/>
  <c r="AM79" i="122" s="1"/>
  <c r="AL78" i="122"/>
  <c r="AM78" i="122" s="1"/>
  <c r="AL77" i="122"/>
  <c r="AM77" i="122" s="1"/>
  <c r="AL76" i="122"/>
  <c r="AM76" i="122" s="1"/>
  <c r="AL75" i="122"/>
  <c r="AM75" i="122" s="1"/>
  <c r="AL74" i="122"/>
  <c r="AM74" i="122" s="1"/>
  <c r="AL73" i="122"/>
  <c r="AM73" i="122" s="1"/>
  <c r="AL72" i="122"/>
  <c r="AM72" i="122" s="1"/>
  <c r="AL71" i="122"/>
  <c r="AM71" i="122" s="1"/>
  <c r="AL70" i="122"/>
  <c r="AM70" i="122" s="1"/>
  <c r="AL69" i="122"/>
  <c r="AM69" i="122" s="1"/>
  <c r="AL68" i="122"/>
  <c r="AM68" i="122" s="1"/>
  <c r="AL67" i="122"/>
  <c r="AM67" i="122" s="1"/>
  <c r="AL66" i="122"/>
  <c r="AM66" i="122" s="1"/>
  <c r="AL65" i="122"/>
  <c r="AM65" i="122" s="1"/>
  <c r="AL64" i="122"/>
  <c r="AM64" i="122" s="1"/>
  <c r="AL63" i="122"/>
  <c r="AM63" i="122" s="1"/>
  <c r="AL62" i="122"/>
  <c r="AM62" i="122" s="1"/>
  <c r="AL60" i="122"/>
  <c r="AM60" i="122" s="1"/>
  <c r="AL59" i="122"/>
  <c r="AM59" i="122" s="1"/>
  <c r="AL58" i="122"/>
  <c r="AM58" i="122" s="1"/>
  <c r="AL57" i="122"/>
  <c r="AM57" i="122" s="1"/>
  <c r="AL56" i="122"/>
  <c r="AM56" i="122" s="1"/>
  <c r="AL55" i="122"/>
  <c r="AM55" i="122" s="1"/>
  <c r="AL54" i="122"/>
  <c r="AM54" i="122" s="1"/>
  <c r="AL53" i="122"/>
  <c r="AM53" i="122" s="1"/>
  <c r="AL52" i="122"/>
  <c r="AM52" i="122" s="1"/>
  <c r="AL51" i="122"/>
  <c r="AM51" i="122" s="1"/>
  <c r="AL50" i="122"/>
  <c r="AM50" i="122" s="1"/>
  <c r="AL49" i="122"/>
  <c r="AM49" i="122" s="1"/>
  <c r="AL48" i="122"/>
  <c r="AM48" i="122" s="1"/>
  <c r="AL47" i="122"/>
  <c r="AM47" i="122" s="1"/>
  <c r="AL46" i="122"/>
  <c r="AM46" i="122" s="1"/>
  <c r="AL45" i="122"/>
  <c r="AM45" i="122" s="1"/>
  <c r="AL44" i="122"/>
  <c r="AM44" i="122" s="1"/>
  <c r="AL43" i="122"/>
  <c r="AM43" i="122" s="1"/>
  <c r="AL42" i="122"/>
  <c r="AM42" i="122" s="1"/>
  <c r="AL41" i="122"/>
  <c r="AM41" i="122" s="1"/>
  <c r="AL40" i="122"/>
  <c r="AM40" i="122" s="1"/>
  <c r="AL39" i="122"/>
  <c r="AM39" i="122" s="1"/>
  <c r="AL38" i="122"/>
  <c r="AM38" i="122" s="1"/>
  <c r="AL37" i="122"/>
  <c r="AM37" i="122" s="1"/>
  <c r="AL36" i="122"/>
  <c r="AM36" i="122" s="1"/>
  <c r="AL35" i="122"/>
  <c r="AM35" i="122" s="1"/>
  <c r="AL34" i="122"/>
  <c r="AM34" i="122" s="1"/>
  <c r="AL33" i="122"/>
  <c r="AM33" i="122" s="1"/>
  <c r="AL32" i="122"/>
  <c r="AM32" i="122" s="1"/>
  <c r="AL31" i="122"/>
  <c r="AM31" i="122" s="1"/>
  <c r="AL30" i="122"/>
  <c r="AM30" i="122" s="1"/>
  <c r="AL29" i="122"/>
  <c r="AM29" i="122" s="1"/>
  <c r="AL28" i="122"/>
  <c r="AL27" i="122"/>
  <c r="AM27" i="122" s="1"/>
  <c r="AL26" i="122"/>
  <c r="AM26" i="122" s="1"/>
  <c r="AL25" i="122"/>
  <c r="AM25" i="122" s="1"/>
  <c r="AL24" i="122"/>
  <c r="AM24" i="122" s="1"/>
  <c r="AL23" i="122"/>
  <c r="AM23" i="122" s="1"/>
  <c r="AL22" i="122"/>
  <c r="AM22" i="122" s="1"/>
  <c r="AL21" i="122"/>
  <c r="AM21" i="122" s="1"/>
  <c r="AL20" i="122"/>
  <c r="AM20" i="122" s="1"/>
  <c r="AL19" i="122"/>
  <c r="AM19" i="122" s="1"/>
  <c r="AL18" i="122"/>
  <c r="AM18" i="122" s="1"/>
  <c r="AL17" i="122"/>
  <c r="AM17" i="122" s="1"/>
  <c r="AL16" i="122"/>
  <c r="AM16" i="122" s="1"/>
  <c r="AL15" i="122"/>
  <c r="AM15" i="122" s="1"/>
  <c r="AL14" i="122"/>
  <c r="AM14" i="122" s="1"/>
  <c r="AL13" i="122"/>
  <c r="AM13" i="122" s="1"/>
  <c r="AL12" i="122"/>
  <c r="AM12" i="122" s="1"/>
  <c r="AL11" i="122"/>
  <c r="AM11" i="122" s="1"/>
  <c r="AL10" i="122"/>
  <c r="AM10" i="122" s="1"/>
  <c r="AL9" i="122"/>
  <c r="AM9" i="122" s="1"/>
  <c r="AL8" i="122"/>
  <c r="AL7" i="122"/>
  <c r="AM7" i="122" s="1"/>
  <c r="AL6" i="122"/>
  <c r="AM6" i="122" s="1"/>
  <c r="AK3" i="122"/>
  <c r="AJ3" i="122"/>
  <c r="AI3" i="122"/>
  <c r="AH3" i="122"/>
  <c r="AG3" i="122"/>
  <c r="AF3" i="122"/>
  <c r="AE3" i="122"/>
  <c r="AD3" i="122"/>
  <c r="AC3" i="122"/>
  <c r="AB3" i="122"/>
  <c r="AA3" i="122"/>
  <c r="Z3" i="122"/>
  <c r="Y3" i="122"/>
  <c r="X3" i="122"/>
  <c r="W3" i="122"/>
  <c r="V3" i="122"/>
  <c r="U3" i="122"/>
  <c r="T3" i="122"/>
  <c r="S3" i="122"/>
  <c r="R3" i="122"/>
  <c r="Q3" i="122"/>
  <c r="P3" i="122"/>
  <c r="O3" i="122"/>
  <c r="N3" i="122"/>
  <c r="M3" i="122"/>
  <c r="L3" i="122"/>
  <c r="AK2" i="122"/>
  <c r="AJ2" i="122"/>
  <c r="AI2" i="122"/>
  <c r="AH2" i="122"/>
  <c r="AG2" i="122"/>
  <c r="AF2" i="122"/>
  <c r="AE2" i="122"/>
  <c r="AD2" i="122"/>
  <c r="AC2" i="122"/>
  <c r="AB2" i="122"/>
  <c r="AA2" i="122"/>
  <c r="Z2" i="122"/>
  <c r="Y2" i="122"/>
  <c r="X2" i="122"/>
  <c r="W2" i="122"/>
  <c r="V2" i="122"/>
  <c r="U2" i="122"/>
  <c r="T2" i="122"/>
  <c r="S2" i="122"/>
  <c r="R2" i="122"/>
  <c r="Q2" i="122"/>
  <c r="P2" i="122"/>
  <c r="O2" i="122"/>
  <c r="N2" i="122"/>
  <c r="M2" i="122"/>
  <c r="L2" i="122"/>
  <c r="AK97" i="121"/>
  <c r="AJ97" i="121"/>
  <c r="AI97" i="121"/>
  <c r="AH97" i="121"/>
  <c r="AG97" i="121"/>
  <c r="AF97" i="121"/>
  <c r="AE97" i="121"/>
  <c r="AD97" i="121"/>
  <c r="AC97" i="121"/>
  <c r="AB97" i="121"/>
  <c r="AA97" i="121"/>
  <c r="Z97" i="121"/>
  <c r="Y97" i="121"/>
  <c r="X97" i="121"/>
  <c r="W97" i="121"/>
  <c r="V97" i="121"/>
  <c r="U97" i="121"/>
  <c r="T97" i="121"/>
  <c r="S97" i="121"/>
  <c r="R97" i="121"/>
  <c r="Q97" i="121"/>
  <c r="P97" i="121"/>
  <c r="O97" i="121"/>
  <c r="N97" i="121"/>
  <c r="M97" i="121"/>
  <c r="L97" i="121"/>
  <c r="J97" i="121"/>
  <c r="I97" i="121"/>
  <c r="B2" i="121" s="1"/>
  <c r="H97" i="121"/>
  <c r="B1" i="121" s="1"/>
  <c r="G97" i="121"/>
  <c r="F1" i="121" s="1"/>
  <c r="AL96" i="121"/>
  <c r="AM96" i="121" s="1"/>
  <c r="AL95" i="121"/>
  <c r="AM95" i="121" s="1"/>
  <c r="AL94" i="121"/>
  <c r="AM94" i="121" s="1"/>
  <c r="AL93" i="121"/>
  <c r="AM93" i="121" s="1"/>
  <c r="AL92" i="121"/>
  <c r="AM92" i="121" s="1"/>
  <c r="AL91" i="121"/>
  <c r="AM91" i="121" s="1"/>
  <c r="AL90" i="121"/>
  <c r="AM90" i="121" s="1"/>
  <c r="AL89" i="121"/>
  <c r="AM89" i="121" s="1"/>
  <c r="AL88" i="121"/>
  <c r="AM88" i="121" s="1"/>
  <c r="AL87" i="121"/>
  <c r="AM87" i="121" s="1"/>
  <c r="AL86" i="121"/>
  <c r="AM86" i="121" s="1"/>
  <c r="AL85" i="121"/>
  <c r="AM85" i="121" s="1"/>
  <c r="AL84" i="121"/>
  <c r="AM84" i="121" s="1"/>
  <c r="AL83" i="121"/>
  <c r="AM83" i="121" s="1"/>
  <c r="AL82" i="121"/>
  <c r="AM82" i="121" s="1"/>
  <c r="AL81" i="121"/>
  <c r="AM81" i="121" s="1"/>
  <c r="AL80" i="121"/>
  <c r="AM80" i="121" s="1"/>
  <c r="AL79" i="121"/>
  <c r="AM79" i="121" s="1"/>
  <c r="AL78" i="121"/>
  <c r="AM78" i="121" s="1"/>
  <c r="AL77" i="121"/>
  <c r="AM77" i="121" s="1"/>
  <c r="AL76" i="121"/>
  <c r="AM76" i="121" s="1"/>
  <c r="AL75" i="121"/>
  <c r="AM75" i="121" s="1"/>
  <c r="AL74" i="121"/>
  <c r="AM74" i="121" s="1"/>
  <c r="AL73" i="121"/>
  <c r="AM73" i="121" s="1"/>
  <c r="AL72" i="121"/>
  <c r="AM72" i="121" s="1"/>
  <c r="AL71" i="121"/>
  <c r="AM71" i="121" s="1"/>
  <c r="AL70" i="121"/>
  <c r="AM70" i="121" s="1"/>
  <c r="AL69" i="121"/>
  <c r="AM69" i="121" s="1"/>
  <c r="AL68" i="121"/>
  <c r="AM68" i="121" s="1"/>
  <c r="AL67" i="121"/>
  <c r="AM67" i="121" s="1"/>
  <c r="AL66" i="121"/>
  <c r="AM66" i="121" s="1"/>
  <c r="AL65" i="121"/>
  <c r="AM65" i="121" s="1"/>
  <c r="AL64" i="121"/>
  <c r="AM64" i="121" s="1"/>
  <c r="AL63" i="121"/>
  <c r="AM63" i="121" s="1"/>
  <c r="AL62" i="121"/>
  <c r="AM62" i="121" s="1"/>
  <c r="AL61" i="121"/>
  <c r="AM61" i="121" s="1"/>
  <c r="AL60" i="121"/>
  <c r="AM60" i="121" s="1"/>
  <c r="AL59" i="121"/>
  <c r="AM59" i="121" s="1"/>
  <c r="AL58" i="121"/>
  <c r="AM58" i="121" s="1"/>
  <c r="AL57" i="121"/>
  <c r="AM57" i="121" s="1"/>
  <c r="AL56" i="121"/>
  <c r="AM56" i="121" s="1"/>
  <c r="AL55" i="121"/>
  <c r="AM55" i="121" s="1"/>
  <c r="AL54" i="121"/>
  <c r="AM54" i="121" s="1"/>
  <c r="AL53" i="121"/>
  <c r="AM53" i="121" s="1"/>
  <c r="AL52" i="121"/>
  <c r="AM52" i="121" s="1"/>
  <c r="AL51" i="121"/>
  <c r="AM51" i="121" s="1"/>
  <c r="AL50" i="121"/>
  <c r="AM50" i="121" s="1"/>
  <c r="AL49" i="121"/>
  <c r="AM49" i="121" s="1"/>
  <c r="AL48" i="121"/>
  <c r="AM48" i="121" s="1"/>
  <c r="AL47" i="121"/>
  <c r="AM47" i="121" s="1"/>
  <c r="AL46" i="121"/>
  <c r="AM46" i="121" s="1"/>
  <c r="AL45" i="121"/>
  <c r="AM45" i="121" s="1"/>
  <c r="AL44" i="121"/>
  <c r="AM44" i="121" s="1"/>
  <c r="AL43" i="121"/>
  <c r="AM43" i="121" s="1"/>
  <c r="AL42" i="121"/>
  <c r="AM42" i="121" s="1"/>
  <c r="AL41" i="121"/>
  <c r="AM41" i="121" s="1"/>
  <c r="AL40" i="121"/>
  <c r="AM40" i="121" s="1"/>
  <c r="AL39" i="121"/>
  <c r="AM39" i="121" s="1"/>
  <c r="AL38" i="121"/>
  <c r="AM38" i="121" s="1"/>
  <c r="AL37" i="121"/>
  <c r="AM37" i="121" s="1"/>
  <c r="AL36" i="121"/>
  <c r="AM36" i="121" s="1"/>
  <c r="AL35" i="121"/>
  <c r="AM35" i="121" s="1"/>
  <c r="AL34" i="121"/>
  <c r="AM34" i="121" s="1"/>
  <c r="AL33" i="121"/>
  <c r="AM33" i="121" s="1"/>
  <c r="AL32" i="121"/>
  <c r="AM32" i="121" s="1"/>
  <c r="AL31" i="121"/>
  <c r="AM31" i="121" s="1"/>
  <c r="AL30" i="121"/>
  <c r="AM30" i="121" s="1"/>
  <c r="AL29" i="121"/>
  <c r="AM29" i="121" s="1"/>
  <c r="AL28" i="121"/>
  <c r="AM28" i="121" s="1"/>
  <c r="AL27" i="121"/>
  <c r="AM27" i="121" s="1"/>
  <c r="AL26" i="121"/>
  <c r="AM26" i="121" s="1"/>
  <c r="AL25" i="121"/>
  <c r="AM25" i="121" s="1"/>
  <c r="AL24" i="121"/>
  <c r="AM24" i="121" s="1"/>
  <c r="AL23" i="121"/>
  <c r="AM23" i="121" s="1"/>
  <c r="AL22" i="121"/>
  <c r="AM22" i="121" s="1"/>
  <c r="AL21" i="121"/>
  <c r="AM21" i="121" s="1"/>
  <c r="AL20" i="121"/>
  <c r="AM20" i="121" s="1"/>
  <c r="AL19" i="121"/>
  <c r="AM19" i="121" s="1"/>
  <c r="AL18" i="121"/>
  <c r="AM18" i="121" s="1"/>
  <c r="AL17" i="121"/>
  <c r="AM17" i="121" s="1"/>
  <c r="AL16" i="121"/>
  <c r="AM16" i="121" s="1"/>
  <c r="AL15" i="121"/>
  <c r="AM15" i="121" s="1"/>
  <c r="AL14" i="121"/>
  <c r="AM14" i="121" s="1"/>
  <c r="AL13" i="121"/>
  <c r="AM13" i="121" s="1"/>
  <c r="AL12" i="121"/>
  <c r="AM12" i="121" s="1"/>
  <c r="AL11" i="121"/>
  <c r="AM11" i="121" s="1"/>
  <c r="AL10" i="121"/>
  <c r="AM10" i="121" s="1"/>
  <c r="AL9" i="121"/>
  <c r="AL8" i="121"/>
  <c r="AM8" i="121" s="1"/>
  <c r="AL7" i="121"/>
  <c r="AM7" i="121" s="1"/>
  <c r="AL6" i="121"/>
  <c r="AK3" i="121"/>
  <c r="AJ3" i="121"/>
  <c r="AI3" i="121"/>
  <c r="AH3" i="121"/>
  <c r="AG3" i="121"/>
  <c r="AF3" i="121"/>
  <c r="AE3" i="121"/>
  <c r="AD3" i="121"/>
  <c r="AC3" i="121"/>
  <c r="AB3" i="121"/>
  <c r="AA3" i="121"/>
  <c r="Z3" i="121"/>
  <c r="Y3" i="121"/>
  <c r="X3" i="121"/>
  <c r="W3" i="121"/>
  <c r="V3" i="121"/>
  <c r="U3" i="121"/>
  <c r="T3" i="121"/>
  <c r="S3" i="121"/>
  <c r="R3" i="121"/>
  <c r="Q3" i="121"/>
  <c r="P3" i="121"/>
  <c r="O3" i="121"/>
  <c r="N3" i="121"/>
  <c r="M3" i="121"/>
  <c r="L3" i="121"/>
  <c r="AK2" i="121"/>
  <c r="AJ2" i="121"/>
  <c r="AI2" i="121"/>
  <c r="AH2" i="121"/>
  <c r="AG2" i="121"/>
  <c r="AF2" i="121"/>
  <c r="AE2" i="121"/>
  <c r="AD2" i="121"/>
  <c r="AC2" i="121"/>
  <c r="AB2" i="121"/>
  <c r="AA2" i="121"/>
  <c r="Z2" i="121"/>
  <c r="Y2" i="121"/>
  <c r="X2" i="121"/>
  <c r="W2" i="121"/>
  <c r="V2" i="121"/>
  <c r="U2" i="121"/>
  <c r="T2" i="121"/>
  <c r="S2" i="121"/>
  <c r="R2" i="121"/>
  <c r="Q2" i="121"/>
  <c r="P2" i="121"/>
  <c r="O2" i="121"/>
  <c r="N2" i="121"/>
  <c r="M2" i="121"/>
  <c r="L2" i="121"/>
  <c r="AK97" i="123"/>
  <c r="AJ97" i="123"/>
  <c r="AI97" i="123"/>
  <c r="AH97" i="123"/>
  <c r="AG97" i="123"/>
  <c r="AF97" i="123"/>
  <c r="AE97" i="123"/>
  <c r="AD97" i="123"/>
  <c r="AC97" i="123"/>
  <c r="AB97" i="123"/>
  <c r="AA97" i="123"/>
  <c r="Z97" i="123"/>
  <c r="Y97" i="123"/>
  <c r="X97" i="123"/>
  <c r="W97" i="123"/>
  <c r="V97" i="123"/>
  <c r="U97" i="123"/>
  <c r="T97" i="123"/>
  <c r="S97" i="123"/>
  <c r="R97" i="123"/>
  <c r="Q97" i="123"/>
  <c r="P97" i="123"/>
  <c r="O97" i="123"/>
  <c r="N97" i="123"/>
  <c r="M97" i="123"/>
  <c r="L97" i="123"/>
  <c r="J97" i="123"/>
  <c r="I97" i="123"/>
  <c r="B2" i="123" s="1"/>
  <c r="H97" i="123"/>
  <c r="B1" i="123" s="1"/>
  <c r="G97" i="123"/>
  <c r="F1" i="123" s="1"/>
  <c r="AL96" i="123"/>
  <c r="AM96" i="123" s="1"/>
  <c r="AL95" i="123"/>
  <c r="AM95" i="123" s="1"/>
  <c r="AL94" i="123"/>
  <c r="AM94" i="123" s="1"/>
  <c r="AL93" i="123"/>
  <c r="AM93" i="123" s="1"/>
  <c r="AL92" i="123"/>
  <c r="AM92" i="123" s="1"/>
  <c r="AL91" i="123"/>
  <c r="AM91" i="123" s="1"/>
  <c r="AL90" i="123"/>
  <c r="AM90" i="123" s="1"/>
  <c r="AL89" i="123"/>
  <c r="AM89" i="123" s="1"/>
  <c r="AL88" i="123"/>
  <c r="AM88" i="123" s="1"/>
  <c r="AL87" i="123"/>
  <c r="AM87" i="123" s="1"/>
  <c r="AL86" i="123"/>
  <c r="AM86" i="123" s="1"/>
  <c r="AL85" i="123"/>
  <c r="AM85" i="123" s="1"/>
  <c r="AL84" i="123"/>
  <c r="AM84" i="123" s="1"/>
  <c r="AL83" i="123"/>
  <c r="AM83" i="123" s="1"/>
  <c r="AL82" i="123"/>
  <c r="AM82" i="123" s="1"/>
  <c r="AL81" i="123"/>
  <c r="AM81" i="123" s="1"/>
  <c r="AL80" i="123"/>
  <c r="AM80" i="123" s="1"/>
  <c r="AL79" i="123"/>
  <c r="AM79" i="123" s="1"/>
  <c r="AL78" i="123"/>
  <c r="AM78" i="123" s="1"/>
  <c r="AL77" i="123"/>
  <c r="AM77" i="123" s="1"/>
  <c r="AL76" i="123"/>
  <c r="AM76" i="123" s="1"/>
  <c r="AL75" i="123"/>
  <c r="AM75" i="123" s="1"/>
  <c r="AL74" i="123"/>
  <c r="AM74" i="123" s="1"/>
  <c r="AL73" i="123"/>
  <c r="AM73" i="123" s="1"/>
  <c r="AL72" i="123"/>
  <c r="AM72" i="123" s="1"/>
  <c r="AL71" i="123"/>
  <c r="AM71" i="123" s="1"/>
  <c r="AL70" i="123"/>
  <c r="AM70" i="123" s="1"/>
  <c r="AL69" i="123"/>
  <c r="AM69" i="123" s="1"/>
  <c r="AL68" i="123"/>
  <c r="AM68" i="123" s="1"/>
  <c r="AL67" i="123"/>
  <c r="AM67" i="123" s="1"/>
  <c r="AL66" i="123"/>
  <c r="AM66" i="123" s="1"/>
  <c r="AL65" i="123"/>
  <c r="AM65" i="123" s="1"/>
  <c r="AL64" i="123"/>
  <c r="AM64" i="123" s="1"/>
  <c r="AL63" i="123"/>
  <c r="AM63" i="123" s="1"/>
  <c r="AL62" i="123"/>
  <c r="AM62" i="123" s="1"/>
  <c r="AL61" i="123"/>
  <c r="AM61" i="123" s="1"/>
  <c r="AL60" i="123"/>
  <c r="AM60" i="123" s="1"/>
  <c r="AL59" i="123"/>
  <c r="AM59" i="123" s="1"/>
  <c r="AL58" i="123"/>
  <c r="AM58" i="123" s="1"/>
  <c r="AL57" i="123"/>
  <c r="AM57" i="123" s="1"/>
  <c r="AL56" i="123"/>
  <c r="AM56" i="123" s="1"/>
  <c r="AL55" i="123"/>
  <c r="AM55" i="123" s="1"/>
  <c r="AL54" i="123"/>
  <c r="AM54" i="123" s="1"/>
  <c r="AL53" i="123"/>
  <c r="AM53" i="123" s="1"/>
  <c r="AL52" i="123"/>
  <c r="AM52" i="123" s="1"/>
  <c r="AL51" i="123"/>
  <c r="AM51" i="123" s="1"/>
  <c r="AL50" i="123"/>
  <c r="AM50" i="123" s="1"/>
  <c r="AL49" i="123"/>
  <c r="AM49" i="123" s="1"/>
  <c r="AL48" i="123"/>
  <c r="AM48" i="123" s="1"/>
  <c r="AL47" i="123"/>
  <c r="AM47" i="123" s="1"/>
  <c r="AL46" i="123"/>
  <c r="AM46" i="123" s="1"/>
  <c r="AL45" i="123"/>
  <c r="AM45" i="123" s="1"/>
  <c r="AL44" i="123"/>
  <c r="AM44" i="123" s="1"/>
  <c r="AL43" i="123"/>
  <c r="AM43" i="123" s="1"/>
  <c r="AL42" i="123"/>
  <c r="AM42" i="123" s="1"/>
  <c r="AL41" i="123"/>
  <c r="AM41" i="123" s="1"/>
  <c r="AL40" i="123"/>
  <c r="AM40" i="123" s="1"/>
  <c r="AL39" i="123"/>
  <c r="AM39" i="123" s="1"/>
  <c r="AL38" i="123"/>
  <c r="AM38" i="123" s="1"/>
  <c r="AL37" i="123"/>
  <c r="AM37" i="123" s="1"/>
  <c r="AL36" i="123"/>
  <c r="AM36" i="123" s="1"/>
  <c r="AL35" i="123"/>
  <c r="AM35" i="123" s="1"/>
  <c r="AL34" i="123"/>
  <c r="AM34" i="123" s="1"/>
  <c r="AL33" i="123"/>
  <c r="AL32" i="123"/>
  <c r="AM32" i="123" s="1"/>
  <c r="AL31" i="123"/>
  <c r="AM31" i="123" s="1"/>
  <c r="AL30" i="123"/>
  <c r="AM30" i="123" s="1"/>
  <c r="AL29" i="123"/>
  <c r="AM29" i="123" s="1"/>
  <c r="AL28" i="123"/>
  <c r="AM28" i="123" s="1"/>
  <c r="AL27" i="123"/>
  <c r="AM27" i="123" s="1"/>
  <c r="AL26" i="123"/>
  <c r="AM26" i="123" s="1"/>
  <c r="AL25" i="123"/>
  <c r="AM25" i="123" s="1"/>
  <c r="AL24" i="123"/>
  <c r="AM24" i="123" s="1"/>
  <c r="AL23" i="123"/>
  <c r="AM23" i="123" s="1"/>
  <c r="AL22" i="123"/>
  <c r="AM22" i="123" s="1"/>
  <c r="AL21" i="123"/>
  <c r="AM21" i="123" s="1"/>
  <c r="AL20" i="123"/>
  <c r="AM20" i="123" s="1"/>
  <c r="AL19" i="123"/>
  <c r="AM19" i="123" s="1"/>
  <c r="AL18" i="123"/>
  <c r="AM18" i="123" s="1"/>
  <c r="AL17" i="123"/>
  <c r="AM17" i="123" s="1"/>
  <c r="AL16" i="123"/>
  <c r="AM16" i="123" s="1"/>
  <c r="AL15" i="123"/>
  <c r="AM15" i="123" s="1"/>
  <c r="AL14" i="123"/>
  <c r="AM14" i="123" s="1"/>
  <c r="AL13" i="123"/>
  <c r="AM13" i="123" s="1"/>
  <c r="AL12" i="123"/>
  <c r="AM12" i="123" s="1"/>
  <c r="AL11" i="123"/>
  <c r="AM11" i="123" s="1"/>
  <c r="AL10" i="123"/>
  <c r="AM10" i="123" s="1"/>
  <c r="AL9" i="123"/>
  <c r="AM9" i="123" s="1"/>
  <c r="AL8" i="123"/>
  <c r="AM8" i="123" s="1"/>
  <c r="AL7" i="123"/>
  <c r="AM7" i="123" s="1"/>
  <c r="AL6" i="123"/>
  <c r="AK3" i="123"/>
  <c r="AJ3" i="123"/>
  <c r="AI3" i="123"/>
  <c r="AH3" i="123"/>
  <c r="AG3" i="123"/>
  <c r="AF3" i="123"/>
  <c r="AE3" i="123"/>
  <c r="AD3" i="123"/>
  <c r="AC3" i="123"/>
  <c r="AB3" i="123"/>
  <c r="AA3" i="123"/>
  <c r="Z3" i="123"/>
  <c r="Y3" i="123"/>
  <c r="X3" i="123"/>
  <c r="W3" i="123"/>
  <c r="V3" i="123"/>
  <c r="U3" i="123"/>
  <c r="T3" i="123"/>
  <c r="S3" i="123"/>
  <c r="R3" i="123"/>
  <c r="Q3" i="123"/>
  <c r="P3" i="123"/>
  <c r="O3" i="123"/>
  <c r="N3" i="123"/>
  <c r="M3" i="123"/>
  <c r="L3" i="123"/>
  <c r="AK2" i="123"/>
  <c r="AJ2" i="123"/>
  <c r="AI2" i="123"/>
  <c r="AH2" i="123"/>
  <c r="AG2" i="123"/>
  <c r="AF2" i="123"/>
  <c r="AE2" i="123"/>
  <c r="AD2" i="123"/>
  <c r="AC2" i="123"/>
  <c r="AB2" i="123"/>
  <c r="AA2" i="123"/>
  <c r="Z2" i="123"/>
  <c r="Y2" i="123"/>
  <c r="X2" i="123"/>
  <c r="W2" i="123"/>
  <c r="V2" i="123"/>
  <c r="U2" i="123"/>
  <c r="T2" i="123"/>
  <c r="S2" i="123"/>
  <c r="R2" i="123"/>
  <c r="Q2" i="123"/>
  <c r="P2" i="123"/>
  <c r="O2" i="123"/>
  <c r="N2" i="123"/>
  <c r="M2" i="123"/>
  <c r="L2" i="123"/>
  <c r="AK97" i="117"/>
  <c r="AJ97" i="117"/>
  <c r="AI97" i="117"/>
  <c r="AH97" i="117"/>
  <c r="AG97" i="117"/>
  <c r="AF97" i="117"/>
  <c r="AE97" i="117"/>
  <c r="AD97" i="117"/>
  <c r="AC97" i="117"/>
  <c r="AB97" i="117"/>
  <c r="AA97" i="117"/>
  <c r="Z97" i="117"/>
  <c r="Y97" i="117"/>
  <c r="X97" i="117"/>
  <c r="W97" i="117"/>
  <c r="V97" i="117"/>
  <c r="U97" i="117"/>
  <c r="T97" i="117"/>
  <c r="S97" i="117"/>
  <c r="R97" i="117"/>
  <c r="Q97" i="117"/>
  <c r="P97" i="117"/>
  <c r="O97" i="117"/>
  <c r="N97" i="117"/>
  <c r="M97" i="117"/>
  <c r="L97" i="117"/>
  <c r="J97" i="117"/>
  <c r="I97" i="117"/>
  <c r="B2" i="117" s="1"/>
  <c r="H97" i="117"/>
  <c r="G97" i="117"/>
  <c r="AL96" i="117"/>
  <c r="AM96" i="117" s="1"/>
  <c r="AL95" i="117"/>
  <c r="AM95" i="117" s="1"/>
  <c r="AL94" i="117"/>
  <c r="AM94" i="117" s="1"/>
  <c r="AL93" i="117"/>
  <c r="AM93" i="117" s="1"/>
  <c r="AL92" i="117"/>
  <c r="AM92" i="117" s="1"/>
  <c r="AL91" i="117"/>
  <c r="AM91" i="117" s="1"/>
  <c r="AL90" i="117"/>
  <c r="AM90" i="117" s="1"/>
  <c r="AL89" i="117"/>
  <c r="AM89" i="117" s="1"/>
  <c r="AL88" i="117"/>
  <c r="AM88" i="117" s="1"/>
  <c r="AL87" i="117"/>
  <c r="AM87" i="117" s="1"/>
  <c r="AL86" i="117"/>
  <c r="AM86" i="117" s="1"/>
  <c r="AL85" i="117"/>
  <c r="AM85" i="117" s="1"/>
  <c r="AL84" i="117"/>
  <c r="AM84" i="117" s="1"/>
  <c r="AL83" i="117"/>
  <c r="AM83" i="117" s="1"/>
  <c r="AL82" i="117"/>
  <c r="AM82" i="117" s="1"/>
  <c r="AL81" i="117"/>
  <c r="AM81" i="117" s="1"/>
  <c r="AL80" i="117"/>
  <c r="AM80" i="117" s="1"/>
  <c r="AL79" i="117"/>
  <c r="AM79" i="117" s="1"/>
  <c r="AL78" i="117"/>
  <c r="AM78" i="117" s="1"/>
  <c r="AL77" i="117"/>
  <c r="AM77" i="117" s="1"/>
  <c r="AL76" i="117"/>
  <c r="AM76" i="117" s="1"/>
  <c r="AL75" i="117"/>
  <c r="AM75" i="117" s="1"/>
  <c r="AL74" i="117"/>
  <c r="AM74" i="117" s="1"/>
  <c r="AL73" i="117"/>
  <c r="AM73" i="117" s="1"/>
  <c r="AL72" i="117"/>
  <c r="AM72" i="117" s="1"/>
  <c r="AL71" i="117"/>
  <c r="AM71" i="117" s="1"/>
  <c r="AL70" i="117"/>
  <c r="AM70" i="117" s="1"/>
  <c r="AL69" i="117"/>
  <c r="AM69" i="117" s="1"/>
  <c r="AL68" i="117"/>
  <c r="AM68" i="117" s="1"/>
  <c r="AL67" i="117"/>
  <c r="AM67" i="117" s="1"/>
  <c r="AL66" i="117"/>
  <c r="AM66" i="117" s="1"/>
  <c r="AL65" i="117"/>
  <c r="AM65" i="117" s="1"/>
  <c r="AL64" i="117"/>
  <c r="AM64" i="117" s="1"/>
  <c r="AL63" i="117"/>
  <c r="AM63" i="117" s="1"/>
  <c r="AL62" i="117"/>
  <c r="AM62" i="117" s="1"/>
  <c r="AL61" i="117"/>
  <c r="AM61" i="117" s="1"/>
  <c r="AL60" i="117"/>
  <c r="AM60" i="117" s="1"/>
  <c r="AL59" i="117"/>
  <c r="AM59" i="117" s="1"/>
  <c r="AL58" i="117"/>
  <c r="AM58" i="117" s="1"/>
  <c r="AL57" i="117"/>
  <c r="AM57" i="117" s="1"/>
  <c r="AL56" i="117"/>
  <c r="AM56" i="117" s="1"/>
  <c r="AL55" i="117"/>
  <c r="AM55" i="117" s="1"/>
  <c r="AL54" i="117"/>
  <c r="AM54" i="117" s="1"/>
  <c r="AL53" i="117"/>
  <c r="AM53" i="117" s="1"/>
  <c r="AL52" i="117"/>
  <c r="AM52" i="117" s="1"/>
  <c r="AL51" i="117"/>
  <c r="AM51" i="117" s="1"/>
  <c r="AL50" i="117"/>
  <c r="AM50" i="117" s="1"/>
  <c r="AL49" i="117"/>
  <c r="AM49" i="117" s="1"/>
  <c r="AL48" i="117"/>
  <c r="AM48" i="117" s="1"/>
  <c r="AL47" i="117"/>
  <c r="AM47" i="117" s="1"/>
  <c r="AL46" i="117"/>
  <c r="AM46" i="117" s="1"/>
  <c r="AL45" i="117"/>
  <c r="AM45" i="117" s="1"/>
  <c r="AL44" i="117"/>
  <c r="AM44" i="117" s="1"/>
  <c r="AL43" i="117"/>
  <c r="AM43" i="117" s="1"/>
  <c r="AL42" i="117"/>
  <c r="AM42" i="117" s="1"/>
  <c r="AL41" i="117"/>
  <c r="AM41" i="117" s="1"/>
  <c r="AL40" i="117"/>
  <c r="AM40" i="117" s="1"/>
  <c r="AL39" i="117"/>
  <c r="AM39" i="117" s="1"/>
  <c r="AL38" i="117"/>
  <c r="AM38" i="117" s="1"/>
  <c r="AL37" i="117"/>
  <c r="AM37" i="117" s="1"/>
  <c r="AL36" i="117"/>
  <c r="AM36" i="117" s="1"/>
  <c r="AL35" i="117"/>
  <c r="AM35" i="117" s="1"/>
  <c r="AL34" i="117"/>
  <c r="AM34" i="117" s="1"/>
  <c r="AL33" i="117"/>
  <c r="AM33" i="117" s="1"/>
  <c r="AL32" i="117"/>
  <c r="AM32" i="117" s="1"/>
  <c r="AL31" i="117"/>
  <c r="AM31" i="117" s="1"/>
  <c r="AL30" i="117"/>
  <c r="AM30" i="117" s="1"/>
  <c r="AL29" i="117"/>
  <c r="AM29" i="117" s="1"/>
  <c r="AL28" i="117"/>
  <c r="AM28" i="117" s="1"/>
  <c r="AL27" i="117"/>
  <c r="AM27" i="117" s="1"/>
  <c r="AL26" i="117"/>
  <c r="AM26" i="117" s="1"/>
  <c r="AL25" i="117"/>
  <c r="AM25" i="117" s="1"/>
  <c r="AL24" i="117"/>
  <c r="AM24" i="117" s="1"/>
  <c r="AL23" i="117"/>
  <c r="AM23" i="117" s="1"/>
  <c r="AL22" i="117"/>
  <c r="AM22" i="117" s="1"/>
  <c r="AL21" i="117"/>
  <c r="AM21" i="117" s="1"/>
  <c r="AL20" i="117"/>
  <c r="AM20" i="117" s="1"/>
  <c r="AL19" i="117"/>
  <c r="AM19" i="117" s="1"/>
  <c r="AL18" i="117"/>
  <c r="AM18" i="117" s="1"/>
  <c r="AL17" i="117"/>
  <c r="AM17" i="117" s="1"/>
  <c r="AL16" i="117"/>
  <c r="AM16" i="117" s="1"/>
  <c r="AL15" i="117"/>
  <c r="AM15" i="117" s="1"/>
  <c r="AL14" i="117"/>
  <c r="AM14" i="117" s="1"/>
  <c r="AL13" i="117"/>
  <c r="AM13" i="117" s="1"/>
  <c r="AL12" i="117"/>
  <c r="AM12" i="117" s="1"/>
  <c r="AL11" i="117"/>
  <c r="AM11" i="117" s="1"/>
  <c r="AL10" i="117"/>
  <c r="AM10" i="117" s="1"/>
  <c r="AL9" i="117"/>
  <c r="AM9" i="117" s="1"/>
  <c r="AL8" i="117"/>
  <c r="AL7" i="117"/>
  <c r="AM7" i="117" s="1"/>
  <c r="AL6" i="117"/>
  <c r="AM6" i="117" s="1"/>
  <c r="AK3" i="117"/>
  <c r="AJ3" i="117"/>
  <c r="AI3" i="117"/>
  <c r="AH3" i="117"/>
  <c r="AG3" i="117"/>
  <c r="AF3" i="117"/>
  <c r="AE3" i="117"/>
  <c r="AD3" i="117"/>
  <c r="AC3" i="117"/>
  <c r="AB3" i="117"/>
  <c r="AA3" i="117"/>
  <c r="Z3" i="117"/>
  <c r="Y3" i="117"/>
  <c r="X3" i="117"/>
  <c r="W3" i="117"/>
  <c r="V3" i="117"/>
  <c r="U3" i="117"/>
  <c r="T3" i="117"/>
  <c r="S3" i="117"/>
  <c r="R3" i="117"/>
  <c r="Q3" i="117"/>
  <c r="P3" i="117"/>
  <c r="O3" i="117"/>
  <c r="N3" i="117"/>
  <c r="M3" i="117"/>
  <c r="L3" i="117"/>
  <c r="AK2" i="117"/>
  <c r="AJ2" i="117"/>
  <c r="AI2" i="117"/>
  <c r="AH2" i="117"/>
  <c r="AG2" i="117"/>
  <c r="AF2" i="117"/>
  <c r="AE2" i="117"/>
  <c r="AD2" i="117"/>
  <c r="AC2" i="117"/>
  <c r="AB2" i="117"/>
  <c r="AA2" i="117"/>
  <c r="Z2" i="117"/>
  <c r="Y2" i="117"/>
  <c r="X2" i="117"/>
  <c r="W2" i="117"/>
  <c r="V2" i="117"/>
  <c r="U2" i="117"/>
  <c r="T2" i="117"/>
  <c r="S2" i="117"/>
  <c r="R2" i="117"/>
  <c r="Q2" i="117"/>
  <c r="P2" i="117"/>
  <c r="O2" i="117"/>
  <c r="N2" i="117"/>
  <c r="M2" i="117"/>
  <c r="L2" i="117"/>
  <c r="F1" i="117"/>
  <c r="AK97" i="118"/>
  <c r="AJ97" i="118"/>
  <c r="AI97" i="118"/>
  <c r="AH97" i="118"/>
  <c r="AG97" i="118"/>
  <c r="AF97" i="118"/>
  <c r="AE97" i="118"/>
  <c r="AD97" i="118"/>
  <c r="AC97" i="118"/>
  <c r="AB97" i="118"/>
  <c r="AA97" i="118"/>
  <c r="Z97" i="118"/>
  <c r="Y97" i="118"/>
  <c r="X97" i="118"/>
  <c r="W97" i="118"/>
  <c r="V97" i="118"/>
  <c r="U97" i="118"/>
  <c r="T97" i="118"/>
  <c r="S97" i="118"/>
  <c r="R97" i="118"/>
  <c r="Q97" i="118"/>
  <c r="P97" i="118"/>
  <c r="O97" i="118"/>
  <c r="N97" i="118"/>
  <c r="M97" i="118"/>
  <c r="L97" i="118"/>
  <c r="J97" i="118"/>
  <c r="I97" i="118"/>
  <c r="B2" i="118" s="1"/>
  <c r="G97" i="118"/>
  <c r="F1" i="118" s="1"/>
  <c r="AL96" i="118"/>
  <c r="AM96" i="118" s="1"/>
  <c r="AL95" i="118"/>
  <c r="AM95" i="118" s="1"/>
  <c r="AL94" i="118"/>
  <c r="AM94" i="118" s="1"/>
  <c r="AL93" i="118"/>
  <c r="AM93" i="118" s="1"/>
  <c r="AL92" i="118"/>
  <c r="AM92" i="118" s="1"/>
  <c r="AL91" i="118"/>
  <c r="AM91" i="118" s="1"/>
  <c r="AL90" i="118"/>
  <c r="AM90" i="118" s="1"/>
  <c r="AL89" i="118"/>
  <c r="AM89" i="118" s="1"/>
  <c r="AL88" i="118"/>
  <c r="AM88" i="118" s="1"/>
  <c r="AL87" i="118"/>
  <c r="AM87" i="118" s="1"/>
  <c r="AL86" i="118"/>
  <c r="AM86" i="118" s="1"/>
  <c r="AL85" i="118"/>
  <c r="AM85" i="118" s="1"/>
  <c r="AL84" i="118"/>
  <c r="AM84" i="118" s="1"/>
  <c r="AL83" i="118"/>
  <c r="AM83" i="118" s="1"/>
  <c r="AL82" i="118"/>
  <c r="AM82" i="118" s="1"/>
  <c r="AL81" i="118"/>
  <c r="AM81" i="118" s="1"/>
  <c r="AL80" i="118"/>
  <c r="AM80" i="118" s="1"/>
  <c r="AL79" i="118"/>
  <c r="AM79" i="118" s="1"/>
  <c r="AL78" i="118"/>
  <c r="AM78" i="118" s="1"/>
  <c r="AL77" i="118"/>
  <c r="AM77" i="118" s="1"/>
  <c r="AL76" i="118"/>
  <c r="AM76" i="118" s="1"/>
  <c r="AL75" i="118"/>
  <c r="AM75" i="118" s="1"/>
  <c r="AL74" i="118"/>
  <c r="AM74" i="118" s="1"/>
  <c r="AL73" i="118"/>
  <c r="AM73" i="118" s="1"/>
  <c r="AL72" i="118"/>
  <c r="AM72" i="118" s="1"/>
  <c r="AL71" i="118"/>
  <c r="AM71" i="118" s="1"/>
  <c r="AL70" i="118"/>
  <c r="AM70" i="118" s="1"/>
  <c r="AL69" i="118"/>
  <c r="AM69" i="118" s="1"/>
  <c r="AL68" i="118"/>
  <c r="AM68" i="118" s="1"/>
  <c r="AL67" i="118"/>
  <c r="AM67" i="118" s="1"/>
  <c r="AL66" i="118"/>
  <c r="AM66" i="118" s="1"/>
  <c r="AL65" i="118"/>
  <c r="AM65" i="118" s="1"/>
  <c r="AL64" i="118"/>
  <c r="AM64" i="118" s="1"/>
  <c r="AL63" i="118"/>
  <c r="AM63" i="118" s="1"/>
  <c r="AL62" i="118"/>
  <c r="AM62" i="118" s="1"/>
  <c r="AL61" i="118"/>
  <c r="AM61" i="118" s="1"/>
  <c r="AL60" i="118"/>
  <c r="AM60" i="118" s="1"/>
  <c r="AL59" i="118"/>
  <c r="AM59" i="118" s="1"/>
  <c r="AL58" i="118"/>
  <c r="AM58" i="118" s="1"/>
  <c r="AL57" i="118"/>
  <c r="AM57" i="118" s="1"/>
  <c r="AL56" i="118"/>
  <c r="AM56" i="118" s="1"/>
  <c r="AL55" i="118"/>
  <c r="AM55" i="118" s="1"/>
  <c r="AL54" i="118"/>
  <c r="AM54" i="118" s="1"/>
  <c r="AL53" i="118"/>
  <c r="AM53" i="118" s="1"/>
  <c r="AL52" i="118"/>
  <c r="AM52" i="118" s="1"/>
  <c r="AL51" i="118"/>
  <c r="AM51" i="118" s="1"/>
  <c r="AL50" i="118"/>
  <c r="AM50" i="118" s="1"/>
  <c r="AL49" i="118"/>
  <c r="AM49" i="118" s="1"/>
  <c r="AL48" i="118"/>
  <c r="AM48" i="118" s="1"/>
  <c r="AL47" i="118"/>
  <c r="AM47" i="118" s="1"/>
  <c r="AL46" i="118"/>
  <c r="AM46" i="118" s="1"/>
  <c r="AL45" i="118"/>
  <c r="AM45" i="118" s="1"/>
  <c r="AL44" i="118"/>
  <c r="AM44" i="118" s="1"/>
  <c r="AL43" i="118"/>
  <c r="AM43" i="118" s="1"/>
  <c r="AL42" i="118"/>
  <c r="AM42" i="118" s="1"/>
  <c r="AL41" i="118"/>
  <c r="AM41" i="118" s="1"/>
  <c r="AL40" i="118"/>
  <c r="AM40" i="118" s="1"/>
  <c r="AL39" i="118"/>
  <c r="AM39" i="118" s="1"/>
  <c r="AL38" i="118"/>
  <c r="AM38" i="118" s="1"/>
  <c r="AL37" i="118"/>
  <c r="AM37" i="118" s="1"/>
  <c r="AL36" i="118"/>
  <c r="AM36" i="118" s="1"/>
  <c r="AL35" i="118"/>
  <c r="AM35" i="118" s="1"/>
  <c r="AL34" i="118"/>
  <c r="AM34" i="118" s="1"/>
  <c r="AL33" i="118"/>
  <c r="AM33" i="118" s="1"/>
  <c r="AL32" i="118"/>
  <c r="AM32" i="118" s="1"/>
  <c r="AL31" i="118"/>
  <c r="AM31" i="118" s="1"/>
  <c r="AL30" i="118"/>
  <c r="AM30" i="118" s="1"/>
  <c r="AL29" i="118"/>
  <c r="AM29" i="118" s="1"/>
  <c r="AL28" i="118"/>
  <c r="AL27" i="118"/>
  <c r="AM27" i="118" s="1"/>
  <c r="AL26" i="118"/>
  <c r="AM26" i="118" s="1"/>
  <c r="AL25" i="118"/>
  <c r="AM25" i="118" s="1"/>
  <c r="AL24" i="118"/>
  <c r="AM24" i="118" s="1"/>
  <c r="AL23" i="118"/>
  <c r="AM23" i="118" s="1"/>
  <c r="AL22" i="118"/>
  <c r="AM22" i="118" s="1"/>
  <c r="AL21" i="118"/>
  <c r="AM21" i="118" s="1"/>
  <c r="AL20" i="118"/>
  <c r="AM20" i="118" s="1"/>
  <c r="AL19" i="118"/>
  <c r="AM19" i="118" s="1"/>
  <c r="AL18" i="118"/>
  <c r="AM18" i="118" s="1"/>
  <c r="AL17" i="118"/>
  <c r="AM17" i="118" s="1"/>
  <c r="AL16" i="118"/>
  <c r="AM16" i="118" s="1"/>
  <c r="AL15" i="118"/>
  <c r="AM15" i="118" s="1"/>
  <c r="AL14" i="118"/>
  <c r="AM14" i="118" s="1"/>
  <c r="AL13" i="118"/>
  <c r="AM13" i="118" s="1"/>
  <c r="AL12" i="118"/>
  <c r="AM12" i="118" s="1"/>
  <c r="AL11" i="118"/>
  <c r="AM11" i="118" s="1"/>
  <c r="AL10" i="118"/>
  <c r="AM10" i="118" s="1"/>
  <c r="AL9" i="118"/>
  <c r="AM9" i="118" s="1"/>
  <c r="AL8" i="118"/>
  <c r="AM8" i="118" s="1"/>
  <c r="AL7" i="118"/>
  <c r="AM7" i="118" s="1"/>
  <c r="AL6" i="118"/>
  <c r="AK3" i="118"/>
  <c r="AJ3" i="118"/>
  <c r="AI3" i="118"/>
  <c r="AH3" i="118"/>
  <c r="AG3" i="118"/>
  <c r="AF3" i="118"/>
  <c r="AE3" i="118"/>
  <c r="AD3" i="118"/>
  <c r="AC3" i="118"/>
  <c r="AB3" i="118"/>
  <c r="AA3" i="118"/>
  <c r="Z3" i="118"/>
  <c r="Y3" i="118"/>
  <c r="X3" i="118"/>
  <c r="W3" i="118"/>
  <c r="V3" i="118"/>
  <c r="U3" i="118"/>
  <c r="T3" i="118"/>
  <c r="S3" i="118"/>
  <c r="R3" i="118"/>
  <c r="Q3" i="118"/>
  <c r="P3" i="118"/>
  <c r="O3" i="118"/>
  <c r="N3" i="118"/>
  <c r="M3" i="118"/>
  <c r="L3" i="118"/>
  <c r="AK2" i="118"/>
  <c r="AJ2" i="118"/>
  <c r="AI2" i="118"/>
  <c r="AH2" i="118"/>
  <c r="AG2" i="118"/>
  <c r="AF2" i="118"/>
  <c r="AE2" i="118"/>
  <c r="AD2" i="118"/>
  <c r="AC2" i="118"/>
  <c r="AB2" i="118"/>
  <c r="AA2" i="118"/>
  <c r="Z2" i="118"/>
  <c r="Y2" i="118"/>
  <c r="X2" i="118"/>
  <c r="W2" i="118"/>
  <c r="V2" i="118"/>
  <c r="U2" i="118"/>
  <c r="T2" i="118"/>
  <c r="S2" i="118"/>
  <c r="R2" i="118"/>
  <c r="Q2" i="118"/>
  <c r="P2" i="118"/>
  <c r="O2" i="118"/>
  <c r="N2" i="118"/>
  <c r="M2" i="118"/>
  <c r="L2" i="118"/>
  <c r="AK97" i="116"/>
  <c r="AJ97" i="116"/>
  <c r="AI97" i="116"/>
  <c r="AH97" i="116"/>
  <c r="AG97" i="116"/>
  <c r="AF97" i="116"/>
  <c r="AE97" i="116"/>
  <c r="AD97" i="116"/>
  <c r="AC97" i="116"/>
  <c r="AB97" i="116"/>
  <c r="AA97" i="116"/>
  <c r="Z97" i="116"/>
  <c r="Y97" i="116"/>
  <c r="X97" i="116"/>
  <c r="W97" i="116"/>
  <c r="V97" i="116"/>
  <c r="U97" i="116"/>
  <c r="T97" i="116"/>
  <c r="S97" i="116"/>
  <c r="R97" i="116"/>
  <c r="Q97" i="116"/>
  <c r="P97" i="116"/>
  <c r="O97" i="116"/>
  <c r="N97" i="116"/>
  <c r="M97" i="116"/>
  <c r="L97" i="116"/>
  <c r="J97" i="116"/>
  <c r="I97" i="116"/>
  <c r="B2" i="116" s="1"/>
  <c r="H97" i="116"/>
  <c r="G97" i="116"/>
  <c r="AL96" i="116"/>
  <c r="AM96" i="116" s="1"/>
  <c r="AL95" i="116"/>
  <c r="AM95" i="116" s="1"/>
  <c r="AL94" i="116"/>
  <c r="AM94" i="116" s="1"/>
  <c r="AL93" i="116"/>
  <c r="AM93" i="116" s="1"/>
  <c r="AL92" i="116"/>
  <c r="AM92" i="116" s="1"/>
  <c r="AL91" i="116"/>
  <c r="AM91" i="116" s="1"/>
  <c r="AL90" i="116"/>
  <c r="AM90" i="116" s="1"/>
  <c r="AL89" i="116"/>
  <c r="AM89" i="116" s="1"/>
  <c r="AL88" i="116"/>
  <c r="AM88" i="116" s="1"/>
  <c r="AL87" i="116"/>
  <c r="AM87" i="116" s="1"/>
  <c r="AL86" i="116"/>
  <c r="AM86" i="116" s="1"/>
  <c r="AL85" i="116"/>
  <c r="AM85" i="116" s="1"/>
  <c r="AL84" i="116"/>
  <c r="AM84" i="116" s="1"/>
  <c r="AL83" i="116"/>
  <c r="AM83" i="116" s="1"/>
  <c r="AL82" i="116"/>
  <c r="AM82" i="116" s="1"/>
  <c r="AL81" i="116"/>
  <c r="AM81" i="116" s="1"/>
  <c r="AL80" i="116"/>
  <c r="AM80" i="116" s="1"/>
  <c r="AL79" i="116"/>
  <c r="AM79" i="116" s="1"/>
  <c r="AL78" i="116"/>
  <c r="AM78" i="116" s="1"/>
  <c r="AL77" i="116"/>
  <c r="AM77" i="116" s="1"/>
  <c r="AL76" i="116"/>
  <c r="AM76" i="116" s="1"/>
  <c r="AL75" i="116"/>
  <c r="AM75" i="116" s="1"/>
  <c r="AL74" i="116"/>
  <c r="AM74" i="116" s="1"/>
  <c r="AL73" i="116"/>
  <c r="AM73" i="116" s="1"/>
  <c r="AL72" i="116"/>
  <c r="AM72" i="116" s="1"/>
  <c r="AL71" i="116"/>
  <c r="AM71" i="116" s="1"/>
  <c r="AL70" i="116"/>
  <c r="AM70" i="116" s="1"/>
  <c r="AL69" i="116"/>
  <c r="AM69" i="116" s="1"/>
  <c r="AL68" i="116"/>
  <c r="AM68" i="116" s="1"/>
  <c r="AL67" i="116"/>
  <c r="AM67" i="116" s="1"/>
  <c r="AL66" i="116"/>
  <c r="AM66" i="116" s="1"/>
  <c r="AL65" i="116"/>
  <c r="AM65" i="116" s="1"/>
  <c r="AL64" i="116"/>
  <c r="AM64" i="116" s="1"/>
  <c r="AL63" i="116"/>
  <c r="AM63" i="116" s="1"/>
  <c r="AL62" i="116"/>
  <c r="AM62" i="116" s="1"/>
  <c r="AL61" i="116"/>
  <c r="AM61" i="116" s="1"/>
  <c r="AL60" i="116"/>
  <c r="AM60" i="116" s="1"/>
  <c r="AL59" i="116"/>
  <c r="AM59" i="116" s="1"/>
  <c r="AL58" i="116"/>
  <c r="AM58" i="116" s="1"/>
  <c r="AL57" i="116"/>
  <c r="AM57" i="116" s="1"/>
  <c r="AL56" i="116"/>
  <c r="AM56" i="116" s="1"/>
  <c r="AL55" i="116"/>
  <c r="AM55" i="116" s="1"/>
  <c r="AL54" i="116"/>
  <c r="AM54" i="116" s="1"/>
  <c r="AL53" i="116"/>
  <c r="AM53" i="116" s="1"/>
  <c r="AL52" i="116"/>
  <c r="AM52" i="116" s="1"/>
  <c r="AL51" i="116"/>
  <c r="AM51" i="116" s="1"/>
  <c r="AL50" i="116"/>
  <c r="AM50" i="116" s="1"/>
  <c r="AL49" i="116"/>
  <c r="AM49" i="116" s="1"/>
  <c r="AL48" i="116"/>
  <c r="AM48" i="116" s="1"/>
  <c r="AL47" i="116"/>
  <c r="AM47" i="116" s="1"/>
  <c r="AL46" i="116"/>
  <c r="AM46" i="116" s="1"/>
  <c r="AL45" i="116"/>
  <c r="AM45" i="116" s="1"/>
  <c r="AL44" i="116"/>
  <c r="AM44" i="116" s="1"/>
  <c r="AL43" i="116"/>
  <c r="AM43" i="116" s="1"/>
  <c r="AL42" i="116"/>
  <c r="AM42" i="116" s="1"/>
  <c r="AL41" i="116"/>
  <c r="AM41" i="116" s="1"/>
  <c r="AL40" i="116"/>
  <c r="AM40" i="116" s="1"/>
  <c r="AL39" i="116"/>
  <c r="AM39" i="116" s="1"/>
  <c r="AL38" i="116"/>
  <c r="AM38" i="116" s="1"/>
  <c r="AL37" i="116"/>
  <c r="AM37" i="116" s="1"/>
  <c r="AL36" i="116"/>
  <c r="AM36" i="116" s="1"/>
  <c r="AL35" i="116"/>
  <c r="AM35" i="116" s="1"/>
  <c r="AL34" i="116"/>
  <c r="AM34" i="116" s="1"/>
  <c r="AL33" i="116"/>
  <c r="AM33" i="116" s="1"/>
  <c r="AL32" i="116"/>
  <c r="AM32" i="116" s="1"/>
  <c r="AL31" i="116"/>
  <c r="AM31" i="116" s="1"/>
  <c r="AL30" i="116"/>
  <c r="AM30" i="116" s="1"/>
  <c r="AL29" i="116"/>
  <c r="AM29" i="116" s="1"/>
  <c r="AL28" i="116"/>
  <c r="AM28" i="116" s="1"/>
  <c r="AL27" i="116"/>
  <c r="AM27" i="116" s="1"/>
  <c r="AL26" i="116"/>
  <c r="AM26" i="116" s="1"/>
  <c r="AL25" i="116"/>
  <c r="AM25" i="116" s="1"/>
  <c r="AL24" i="116"/>
  <c r="AM24" i="116" s="1"/>
  <c r="AL23" i="116"/>
  <c r="AM23" i="116" s="1"/>
  <c r="AL22" i="116"/>
  <c r="AM22" i="116" s="1"/>
  <c r="AL21" i="116"/>
  <c r="AM21" i="116" s="1"/>
  <c r="AL20" i="116"/>
  <c r="AM20" i="116" s="1"/>
  <c r="AL19" i="116"/>
  <c r="AM19" i="116" s="1"/>
  <c r="AL18" i="116"/>
  <c r="AM18" i="116" s="1"/>
  <c r="AL17" i="116"/>
  <c r="AM17" i="116" s="1"/>
  <c r="AL16" i="116"/>
  <c r="AM16" i="116" s="1"/>
  <c r="AL15" i="116"/>
  <c r="AM15" i="116" s="1"/>
  <c r="AL14" i="116"/>
  <c r="AM14" i="116" s="1"/>
  <c r="AL13" i="116"/>
  <c r="AM13" i="116" s="1"/>
  <c r="AL12" i="116"/>
  <c r="AM12" i="116" s="1"/>
  <c r="AL11" i="116"/>
  <c r="AM11" i="116" s="1"/>
  <c r="AL10" i="116"/>
  <c r="AM10" i="116" s="1"/>
  <c r="AL9" i="116"/>
  <c r="AM9" i="116" s="1"/>
  <c r="AL8" i="116"/>
  <c r="AM8" i="116" s="1"/>
  <c r="AL7" i="116"/>
  <c r="AM7" i="116" s="1"/>
  <c r="AL6" i="116"/>
  <c r="AK3" i="116"/>
  <c r="AJ3" i="116"/>
  <c r="AI3" i="116"/>
  <c r="AH3" i="116"/>
  <c r="AG3" i="116"/>
  <c r="AF3" i="116"/>
  <c r="AE3" i="116"/>
  <c r="AD3" i="116"/>
  <c r="AC3" i="116"/>
  <c r="AB3" i="116"/>
  <c r="AA3" i="116"/>
  <c r="Z3" i="116"/>
  <c r="Y3" i="116"/>
  <c r="X3" i="116"/>
  <c r="W3" i="116"/>
  <c r="V3" i="116"/>
  <c r="U3" i="116"/>
  <c r="T3" i="116"/>
  <c r="S3" i="116"/>
  <c r="R3" i="116"/>
  <c r="Q3" i="116"/>
  <c r="P3" i="116"/>
  <c r="O3" i="116"/>
  <c r="N3" i="116"/>
  <c r="M3" i="116"/>
  <c r="L3" i="116"/>
  <c r="AK2" i="116"/>
  <c r="AJ2" i="116"/>
  <c r="AI2" i="116"/>
  <c r="AH2" i="116"/>
  <c r="AG2" i="116"/>
  <c r="AF2" i="116"/>
  <c r="AE2" i="116"/>
  <c r="AD2" i="116"/>
  <c r="AC2" i="116"/>
  <c r="AB2" i="116"/>
  <c r="AA2" i="116"/>
  <c r="Z2" i="116"/>
  <c r="Y2" i="116"/>
  <c r="X2" i="116"/>
  <c r="W2" i="116"/>
  <c r="V2" i="116"/>
  <c r="U2" i="116"/>
  <c r="T2" i="116"/>
  <c r="S2" i="116"/>
  <c r="R2" i="116"/>
  <c r="Q2" i="116"/>
  <c r="P2" i="116"/>
  <c r="O2" i="116"/>
  <c r="N2" i="116"/>
  <c r="M2" i="116"/>
  <c r="L2" i="116"/>
  <c r="F1" i="116"/>
  <c r="L3" i="47" l="1"/>
  <c r="AM6" i="126"/>
  <c r="AL3" i="126"/>
  <c r="AL2" i="126"/>
  <c r="AM6" i="112"/>
  <c r="AL3" i="112"/>
  <c r="AL2" i="112"/>
  <c r="AM6" i="121"/>
  <c r="AL3" i="121"/>
  <c r="AL2" i="121"/>
  <c r="AM11" i="101"/>
  <c r="AL2" i="101"/>
  <c r="AL3" i="101"/>
  <c r="AM60" i="102"/>
  <c r="AL3" i="102"/>
  <c r="AL2" i="102"/>
  <c r="AM38" i="106"/>
  <c r="AL3" i="106"/>
  <c r="AL2" i="106"/>
  <c r="AM60" i="107"/>
  <c r="AL2" i="107"/>
  <c r="AL3" i="107"/>
  <c r="AM60" i="104"/>
  <c r="AL3" i="104"/>
  <c r="AL2" i="104"/>
  <c r="AM38" i="114"/>
  <c r="AL3" i="114"/>
  <c r="AL2" i="114"/>
  <c r="AM45" i="105"/>
  <c r="AL2" i="105"/>
  <c r="AL3" i="105"/>
  <c r="AM24" i="115"/>
  <c r="AL2" i="115"/>
  <c r="AL3" i="115"/>
  <c r="AM68" i="111"/>
  <c r="AL3" i="111"/>
  <c r="AL2" i="111"/>
  <c r="AM40" i="113"/>
  <c r="AL2" i="113"/>
  <c r="AL3" i="113"/>
  <c r="AM33" i="110"/>
  <c r="AL3" i="110"/>
  <c r="AL2" i="110"/>
  <c r="AM38" i="109"/>
  <c r="AL3" i="109"/>
  <c r="AL2" i="109"/>
  <c r="AM16" i="108"/>
  <c r="AL3" i="108"/>
  <c r="AL2" i="108"/>
  <c r="AM24" i="131"/>
  <c r="AL3" i="131"/>
  <c r="AL2" i="131"/>
  <c r="AM24" i="129"/>
  <c r="AL3" i="129"/>
  <c r="AL2" i="129"/>
  <c r="AM28" i="130"/>
  <c r="AL3" i="130"/>
  <c r="AL2" i="130"/>
  <c r="AM64" i="128"/>
  <c r="AL3" i="128"/>
  <c r="AL2" i="128"/>
  <c r="AM64" i="127"/>
  <c r="AL3" i="127"/>
  <c r="AL2" i="127"/>
  <c r="AM28" i="124"/>
  <c r="AL3" i="124"/>
  <c r="AL2" i="124"/>
  <c r="AM28" i="125"/>
  <c r="AL2" i="125"/>
  <c r="AL3" i="125"/>
  <c r="AM28" i="122"/>
  <c r="AL3" i="122"/>
  <c r="AL2" i="122"/>
  <c r="AM33" i="123"/>
  <c r="AL3" i="123"/>
  <c r="AL2" i="123"/>
  <c r="AL3" i="118"/>
  <c r="AM28" i="118"/>
  <c r="AL2" i="118"/>
  <c r="B1" i="112"/>
  <c r="B3" i="112" s="1"/>
  <c r="B1" i="125"/>
  <c r="B3" i="125" s="1"/>
  <c r="B1" i="117"/>
  <c r="B3" i="117" s="1"/>
  <c r="B1" i="124"/>
  <c r="B3" i="124" s="1"/>
  <c r="B1" i="114"/>
  <c r="B3" i="114" s="1"/>
  <c r="B1" i="108"/>
  <c r="B3" i="108" s="1"/>
  <c r="B1" i="113"/>
  <c r="B1" i="126"/>
  <c r="B1" i="116"/>
  <c r="B3" i="116" s="1"/>
  <c r="B1" i="131"/>
  <c r="B3" i="131" s="1"/>
  <c r="B1" i="129"/>
  <c r="B3" i="129" s="1"/>
  <c r="B1" i="130"/>
  <c r="AL97" i="116"/>
  <c r="AM97" i="116" s="1"/>
  <c r="A4" i="116" s="1"/>
  <c r="B3" i="121"/>
  <c r="B1" i="101"/>
  <c r="B3" i="101" s="1"/>
  <c r="AH97" i="47"/>
  <c r="AM28" i="101"/>
  <c r="AL97" i="101"/>
  <c r="AM97" i="101" s="1"/>
  <c r="A4" i="101" s="1"/>
  <c r="B3" i="115"/>
  <c r="AM45" i="108"/>
  <c r="AL97" i="108"/>
  <c r="AM97" i="108" s="1"/>
  <c r="A4" i="108" s="1"/>
  <c r="AL29" i="47"/>
  <c r="AM29" i="47" s="1"/>
  <c r="AL97" i="125"/>
  <c r="AM97" i="125" s="1"/>
  <c r="A4" i="125" s="1"/>
  <c r="B3" i="123"/>
  <c r="AL72" i="47"/>
  <c r="AM72" i="47" s="1"/>
  <c r="AB3" i="47"/>
  <c r="B3" i="103"/>
  <c r="B3" i="122"/>
  <c r="AL3" i="103"/>
  <c r="AL97" i="103"/>
  <c r="AM97" i="103" s="1"/>
  <c r="A4" i="103" s="1"/>
  <c r="AL2" i="103"/>
  <c r="AM6" i="103"/>
  <c r="AL97" i="123"/>
  <c r="AM97" i="123" s="1"/>
  <c r="A4" i="123" s="1"/>
  <c r="AM9" i="121"/>
  <c r="AM8" i="117"/>
  <c r="AL2" i="117"/>
  <c r="AL2" i="116"/>
  <c r="AL97" i="117"/>
  <c r="AM97" i="117" s="1"/>
  <c r="A4" i="117" s="1"/>
  <c r="AL3" i="117"/>
  <c r="AL3" i="116"/>
  <c r="AM6" i="116"/>
  <c r="AL97" i="118"/>
  <c r="AM97" i="118" s="1"/>
  <c r="A4" i="118" s="1"/>
  <c r="AM6" i="118"/>
  <c r="AL97" i="121"/>
  <c r="AM97" i="121" s="1"/>
  <c r="A4" i="121" s="1"/>
  <c r="AM12" i="115"/>
  <c r="AM6" i="123"/>
  <c r="AM8" i="122"/>
  <c r="AL97" i="124"/>
  <c r="AM97" i="124" s="1"/>
  <c r="A4" i="124" s="1"/>
  <c r="AL97" i="122"/>
  <c r="AM97" i="122" s="1"/>
  <c r="A4" i="122" s="1"/>
  <c r="AL97" i="115"/>
  <c r="AM97" i="115" s="1"/>
  <c r="A4" i="115" s="1"/>
  <c r="AL97" i="104"/>
  <c r="AM97" i="104" s="1"/>
  <c r="A4" i="104" s="1"/>
  <c r="AL97" i="102"/>
  <c r="AM97" i="102" s="1"/>
  <c r="A4" i="102" s="1"/>
  <c r="B1" i="106"/>
  <c r="B3" i="106" s="1"/>
  <c r="AL97" i="106"/>
  <c r="AM97" i="106" s="1"/>
  <c r="A4" i="106" s="1"/>
  <c r="AM40" i="106"/>
  <c r="AM24" i="106"/>
  <c r="AM28" i="106"/>
  <c r="B3" i="107"/>
  <c r="AM40" i="107"/>
  <c r="AL97" i="107"/>
  <c r="AM97" i="107" s="1"/>
  <c r="A4" i="107" s="1"/>
  <c r="AL97" i="105"/>
  <c r="AM97" i="105" s="1"/>
  <c r="A4" i="105" s="1"/>
  <c r="AM23" i="105"/>
  <c r="AM28" i="105"/>
  <c r="R97" i="47"/>
  <c r="AM22" i="114"/>
  <c r="AL97" i="114"/>
  <c r="AM97" i="114" s="1"/>
  <c r="A4" i="114" s="1"/>
  <c r="AM39" i="114"/>
  <c r="AL97" i="113"/>
  <c r="AM97" i="113" s="1"/>
  <c r="A4" i="113" s="1"/>
  <c r="AM19" i="113"/>
  <c r="AL9" i="47"/>
  <c r="AM9" i="47" s="1"/>
  <c r="AL33" i="47"/>
  <c r="AL25" i="47"/>
  <c r="AM25" i="47" s="1"/>
  <c r="AL52" i="47"/>
  <c r="AM52" i="47" s="1"/>
  <c r="AL44" i="47"/>
  <c r="AM44" i="47" s="1"/>
  <c r="AL84" i="47"/>
  <c r="AM84" i="47" s="1"/>
  <c r="Z97" i="47"/>
  <c r="AL7" i="47"/>
  <c r="AM7" i="47" s="1"/>
  <c r="AL15" i="47"/>
  <c r="AM15" i="47" s="1"/>
  <c r="AL23" i="47"/>
  <c r="AM23" i="47" s="1"/>
  <c r="AL27" i="47"/>
  <c r="AM27" i="47" s="1"/>
  <c r="AL31" i="47"/>
  <c r="AM31" i="47" s="1"/>
  <c r="AL35" i="47"/>
  <c r="AM35" i="47" s="1"/>
  <c r="T2" i="47"/>
  <c r="AL68" i="47"/>
  <c r="AM68" i="47" s="1"/>
  <c r="AL21" i="47"/>
  <c r="AM21" i="47" s="1"/>
  <c r="AL48" i="47"/>
  <c r="AM48" i="47" s="1"/>
  <c r="AL66" i="47"/>
  <c r="AM66" i="47" s="1"/>
  <c r="AL74" i="47"/>
  <c r="AM74" i="47" s="1"/>
  <c r="AL6" i="47"/>
  <c r="AM6" i="47" s="1"/>
  <c r="AD97" i="47"/>
  <c r="AL14" i="47"/>
  <c r="AM14" i="47" s="1"/>
  <c r="AL42" i="47"/>
  <c r="AM42" i="47" s="1"/>
  <c r="AL50" i="47"/>
  <c r="AM50" i="47" s="1"/>
  <c r="AL54" i="47"/>
  <c r="AM54" i="47" s="1"/>
  <c r="AL58" i="47"/>
  <c r="AM58" i="47" s="1"/>
  <c r="AL70" i="47"/>
  <c r="AM70" i="47" s="1"/>
  <c r="AL78" i="47"/>
  <c r="AM78" i="47" s="1"/>
  <c r="AL94" i="47"/>
  <c r="AM94" i="47" s="1"/>
  <c r="AL56" i="47"/>
  <c r="AM56" i="47" s="1"/>
  <c r="AL96" i="47"/>
  <c r="AM96" i="47" s="1"/>
  <c r="AM60" i="111"/>
  <c r="AL97" i="111"/>
  <c r="AM97" i="111" s="1"/>
  <c r="A4" i="111" s="1"/>
  <c r="B2" i="111"/>
  <c r="B3" i="111" s="1"/>
  <c r="AL97" i="110"/>
  <c r="AM97" i="110" s="1"/>
  <c r="A4" i="110" s="1"/>
  <c r="B3" i="110"/>
  <c r="AL64" i="47"/>
  <c r="AM64" i="47" s="1"/>
  <c r="AL62" i="47"/>
  <c r="AM62" i="47" s="1"/>
  <c r="AL97" i="112"/>
  <c r="AM97" i="112" s="1"/>
  <c r="A4" i="112" s="1"/>
  <c r="AL46" i="47"/>
  <c r="AM46" i="47" s="1"/>
  <c r="AL76" i="47"/>
  <c r="AM76" i="47" s="1"/>
  <c r="AM71" i="109"/>
  <c r="AL60" i="47"/>
  <c r="AM60" i="47" s="1"/>
  <c r="AL97" i="109"/>
  <c r="AM97" i="109" s="1"/>
  <c r="A4" i="109" s="1"/>
  <c r="B2" i="109"/>
  <c r="B3" i="109" s="1"/>
  <c r="AL80" i="47"/>
  <c r="AM80" i="47" s="1"/>
  <c r="AL19" i="47"/>
  <c r="AM19" i="47" s="1"/>
  <c r="AM7" i="130"/>
  <c r="AG3" i="47"/>
  <c r="AL90" i="47"/>
  <c r="AM90" i="47" s="1"/>
  <c r="Q3" i="47"/>
  <c r="Y2" i="47"/>
  <c r="AK2" i="47"/>
  <c r="M2" i="47"/>
  <c r="AL97" i="131"/>
  <c r="AM97" i="131" s="1"/>
  <c r="A4" i="131" s="1"/>
  <c r="AM37" i="131"/>
  <c r="AL97" i="130"/>
  <c r="AM97" i="130" s="1"/>
  <c r="A4" i="130" s="1"/>
  <c r="AL37" i="47"/>
  <c r="AM37" i="47" s="1"/>
  <c r="AL97" i="129"/>
  <c r="AM97" i="129" s="1"/>
  <c r="A4" i="129" s="1"/>
  <c r="AM39" i="129"/>
  <c r="AL97" i="128"/>
  <c r="AM97" i="128" s="1"/>
  <c r="A4" i="128" s="1"/>
  <c r="AM33" i="128"/>
  <c r="B2" i="128"/>
  <c r="B3" i="128" s="1"/>
  <c r="AL39" i="47"/>
  <c r="AM39" i="47" s="1"/>
  <c r="AM39" i="127"/>
  <c r="V97" i="47"/>
  <c r="AL97" i="127"/>
  <c r="AM97" i="127" s="1"/>
  <c r="A4" i="127" s="1"/>
  <c r="B3" i="127"/>
  <c r="AL88" i="47"/>
  <c r="AM88" i="47" s="1"/>
  <c r="AL92" i="47"/>
  <c r="AM92" i="47" s="1"/>
  <c r="V3" i="47"/>
  <c r="S97" i="47"/>
  <c r="AI2" i="47"/>
  <c r="X2" i="47"/>
  <c r="AB97" i="47"/>
  <c r="AF3" i="47"/>
  <c r="AL8" i="47"/>
  <c r="AM8" i="47" s="1"/>
  <c r="AL10" i="47"/>
  <c r="AM10" i="47" s="1"/>
  <c r="P2" i="47"/>
  <c r="T3" i="47"/>
  <c r="X3" i="47"/>
  <c r="AB2" i="47"/>
  <c r="AF2" i="47"/>
  <c r="AJ3" i="47"/>
  <c r="AL11" i="47"/>
  <c r="AM11" i="47" s="1"/>
  <c r="AL12" i="47"/>
  <c r="AM12" i="47" s="1"/>
  <c r="AL13" i="47"/>
  <c r="AM13" i="47" s="1"/>
  <c r="AL16" i="47"/>
  <c r="AM16" i="47" s="1"/>
  <c r="AL18" i="47"/>
  <c r="AM18" i="47" s="1"/>
  <c r="AL20" i="47"/>
  <c r="AM20" i="47" s="1"/>
  <c r="AL22" i="47"/>
  <c r="AM22" i="47" s="1"/>
  <c r="AL24" i="47"/>
  <c r="AM24" i="47" s="1"/>
  <c r="AL26" i="47"/>
  <c r="AM26" i="47" s="1"/>
  <c r="AL28" i="47"/>
  <c r="AM28" i="47" s="1"/>
  <c r="AL30" i="47"/>
  <c r="AM30" i="47" s="1"/>
  <c r="AL32" i="47"/>
  <c r="AM32" i="47" s="1"/>
  <c r="AL34" i="47"/>
  <c r="AM34" i="47" s="1"/>
  <c r="AL36" i="47"/>
  <c r="AM36" i="47" s="1"/>
  <c r="AL38" i="47"/>
  <c r="AM38" i="47" s="1"/>
  <c r="AL41" i="47"/>
  <c r="AM41" i="47" s="1"/>
  <c r="AL43" i="47"/>
  <c r="AM43" i="47" s="1"/>
  <c r="AL45" i="47"/>
  <c r="AM45" i="47" s="1"/>
  <c r="AL47" i="47"/>
  <c r="AM47" i="47" s="1"/>
  <c r="AL49" i="47"/>
  <c r="AM49" i="47" s="1"/>
  <c r="AL51" i="47"/>
  <c r="AM51" i="47" s="1"/>
  <c r="AL53" i="47"/>
  <c r="AM53" i="47" s="1"/>
  <c r="AL57" i="47"/>
  <c r="AM57" i="47" s="1"/>
  <c r="AL59" i="47"/>
  <c r="AM59" i="47" s="1"/>
  <c r="AL61" i="47"/>
  <c r="AM61" i="47" s="1"/>
  <c r="AL63" i="47"/>
  <c r="AM63" i="47" s="1"/>
  <c r="AL65" i="47"/>
  <c r="AM65" i="47" s="1"/>
  <c r="AL67" i="47"/>
  <c r="AM67" i="47" s="1"/>
  <c r="AL69" i="47"/>
  <c r="AM69" i="47" s="1"/>
  <c r="AL71" i="47"/>
  <c r="AM71" i="47" s="1"/>
  <c r="AL73" i="47"/>
  <c r="AM73" i="47" s="1"/>
  <c r="AL75" i="47"/>
  <c r="AM75" i="47" s="1"/>
  <c r="AL77" i="47"/>
  <c r="AM77" i="47" s="1"/>
  <c r="AL79" i="47"/>
  <c r="AM79" i="47" s="1"/>
  <c r="AL81" i="47"/>
  <c r="AM81" i="47" s="1"/>
  <c r="AL83" i="47"/>
  <c r="AM83" i="47" s="1"/>
  <c r="AL85" i="47"/>
  <c r="AM85" i="47" s="1"/>
  <c r="AL87" i="47"/>
  <c r="AM87" i="47" s="1"/>
  <c r="AL89" i="47"/>
  <c r="AM89" i="47" s="1"/>
  <c r="AL91" i="47"/>
  <c r="AM91" i="47" s="1"/>
  <c r="AL93" i="47"/>
  <c r="AM93" i="47" s="1"/>
  <c r="AL95" i="47"/>
  <c r="AM95" i="47" s="1"/>
  <c r="AL17" i="47"/>
  <c r="AM17" i="47" s="1"/>
  <c r="AD2" i="47"/>
  <c r="M3" i="47"/>
  <c r="Q2" i="47"/>
  <c r="U3" i="47"/>
  <c r="Y3" i="47"/>
  <c r="AC2" i="47"/>
  <c r="AK3" i="47"/>
  <c r="AL55" i="47"/>
  <c r="AM55" i="47" s="1"/>
  <c r="U2" i="47"/>
  <c r="Z2" i="47"/>
  <c r="R3" i="47"/>
  <c r="AC3" i="47"/>
  <c r="AH3" i="47"/>
  <c r="W97" i="47"/>
  <c r="AA97" i="47"/>
  <c r="AE97" i="47"/>
  <c r="AI97" i="47"/>
  <c r="X97" i="47"/>
  <c r="V2" i="47"/>
  <c r="AH2" i="47"/>
  <c r="AD3" i="47"/>
  <c r="L97" i="47"/>
  <c r="P97" i="47"/>
  <c r="T97" i="47"/>
  <c r="AJ2" i="47"/>
  <c r="AJ97" i="47"/>
  <c r="O3" i="47"/>
  <c r="O2" i="47"/>
  <c r="S3" i="47"/>
  <c r="S2" i="47"/>
  <c r="W3" i="47"/>
  <c r="W2" i="47"/>
  <c r="AA3" i="47"/>
  <c r="AA2" i="47"/>
  <c r="AE3" i="47"/>
  <c r="AE2" i="47"/>
  <c r="AI3" i="47"/>
  <c r="AF97" i="47"/>
  <c r="AL82" i="47"/>
  <c r="AM82" i="47" s="1"/>
  <c r="AL86" i="47"/>
  <c r="AM86" i="47" s="1"/>
  <c r="L2" i="47"/>
  <c r="R2" i="47"/>
  <c r="P3" i="47"/>
  <c r="Z3" i="47"/>
  <c r="M97" i="47"/>
  <c r="Q97" i="47"/>
  <c r="Y97" i="47"/>
  <c r="AC97" i="47"/>
  <c r="AK97" i="47"/>
  <c r="U97" i="47"/>
  <c r="AG97" i="47"/>
  <c r="O97" i="47"/>
  <c r="N2" i="47"/>
  <c r="I97" i="47"/>
  <c r="B2" i="47" s="1"/>
  <c r="N97" i="47"/>
  <c r="N3" i="47"/>
  <c r="AL40" i="47"/>
  <c r="AG2" i="47"/>
  <c r="AM40" i="126"/>
  <c r="AL97" i="126"/>
  <c r="AM97" i="126" s="1"/>
  <c r="A4" i="126" s="1"/>
  <c r="B2" i="126"/>
  <c r="B3" i="130" l="1"/>
  <c r="B3" i="113"/>
  <c r="AM33" i="47"/>
  <c r="AL2" i="47"/>
  <c r="AL3" i="47"/>
  <c r="B3" i="126"/>
  <c r="AL97" i="47"/>
  <c r="AM97" i="47" s="1"/>
  <c r="A4" i="47" s="1"/>
  <c r="AM40" i="47"/>
  <c r="H97" i="102" l="1"/>
  <c r="B1" i="102" s="1"/>
  <c r="B3" i="102" s="1"/>
  <c r="H97" i="105" l="1"/>
  <c r="B1" i="105" s="1"/>
  <c r="B3" i="105" s="1"/>
  <c r="H97" i="120" l="1"/>
  <c r="B1" i="120" s="1"/>
  <c r="B3" i="120" l="1"/>
  <c r="H97" i="104"/>
  <c r="B1" i="104" s="1"/>
  <c r="B3" i="104" s="1"/>
  <c r="H97" i="47" l="1"/>
  <c r="B1" i="47" s="1"/>
  <c r="B3" i="47" s="1"/>
  <c r="H97" i="118"/>
  <c r="B1" i="118" s="1"/>
  <c r="B3" i="11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tc={0E8C1593-3492-4EBA-AD45-8AC59BB01528}</author>
  </authors>
  <commentList>
    <comment ref="AI67" authorId="0" shapeId="0" xr:uid="{0E8C1593-3492-4EBA-AD45-8AC59BB0152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롤링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tc={FD6041EB-DAAD-47C1-9F1D-BD50C3D3F8EB}</author>
  </authors>
  <commentList>
    <comment ref="AI62" authorId="0" shapeId="0" xr:uid="{FD6041EB-DAAD-47C1-9F1D-BD50C3D3F8E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흐름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tc={99C62F2E-C807-4379-AC21-0CDD1D54B15D}</author>
  </authors>
  <commentList>
    <comment ref="AG74" authorId="0" shapeId="0" xr:uid="{99C62F2E-C807-4379-AC21-0CDD1D54B15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롤링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tc={ABE6B3A2-3AE1-49B2-BB8A-C5C0335CD506}</author>
  </authors>
  <commentList>
    <comment ref="AI45" authorId="0" shapeId="0" xr:uid="{ABE6B3A2-3AE1-49B2-BB8A-C5C0335CD506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흐름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tc={609459AE-8A32-47B4-B940-2874C82B5ADB}</author>
    <author>tc={695CCC14-BCA6-4E9D-A623-51CEEA8A7CC9}</author>
  </authors>
  <commentList>
    <comment ref="AI30" authorId="0" shapeId="0" xr:uid="{609459AE-8A32-47B4-B940-2874C82B5AD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카본?</t>
      </text>
    </comment>
    <comment ref="AI62" authorId="1" shapeId="0" xr:uid="{695CCC14-BCA6-4E9D-A623-51CEEA8A7CC9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흐름
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tc={EEE48437-9DFF-47DF-9E5A-91CC4ECFB5DA}</author>
    <author>tc={60B4AFC5-70AC-4F80-808F-AB9A75D709B9}</author>
    <author>tc={70898B3B-9E9A-4331-A844-7508E5A283C5}</author>
    <author>tc={0F5EF6C8-4572-4046-A75B-50E7D0A46ABE}</author>
    <author>tc={C5D68E97-B0D0-4C42-A7CA-A6856F54C7B9}</author>
  </authors>
  <commentList>
    <comment ref="AI60" authorId="0" shapeId="0" xr:uid="{EEE48437-9DFF-47DF-9E5A-91CC4ECFB5D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노게이지</t>
      </text>
    </comment>
    <comment ref="AI62" authorId="1" shapeId="0" xr:uid="{60B4AFC5-70AC-4F80-808F-AB9A75D709B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흐름</t>
      </text>
    </comment>
    <comment ref="AI67" authorId="2" shapeId="0" xr:uid="{70898B3B-9E9A-4331-A844-7508E5A283C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롤링터짐 4
터짐 1</t>
      </text>
    </comment>
    <comment ref="AI68" authorId="3" shapeId="0" xr:uid="{0F5EF6C8-4572-4046-A75B-50E7D0A46AB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터짐 1</t>
      </text>
    </comment>
    <comment ref="AI74" authorId="4" shapeId="0" xr:uid="{C5D68E97-B0D0-4C42-A7CA-A6856F54C7B9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롤링터짐 2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tc={02B68672-5836-4150-9F1B-ECA342374B4F}</author>
  </authors>
  <commentList>
    <comment ref="AI30" authorId="0" shapeId="0" xr:uid="{02B68672-5836-4150-9F1B-ECA342374B4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카본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tc={420535A8-FF0D-4891-8193-1B15B5E7CF62}</author>
  </authors>
  <commentList>
    <comment ref="AI76" authorId="0" shapeId="0" xr:uid="{420535A8-FF0D-4891-8193-1B15B5E7CF6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마킹불량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tc={6A96A19D-3B08-443D-8749-893D930D9B83}</author>
  </authors>
  <commentList>
    <comment ref="AI9" authorId="0" shapeId="0" xr:uid="{6A96A19D-3B08-443D-8749-893D930D9B83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안착불량
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tc={AC385DE6-0FF9-4348-8CAB-5072328D7D56}</author>
    <author>tc={90E3DF89-6B43-4813-AB33-A3F2B9216274}</author>
    <author>tc={3FAFB71F-3F02-421D-9A23-A4A03EE08987}</author>
  </authors>
  <commentList>
    <comment ref="AI45" authorId="0" shapeId="0" xr:uid="{AC385DE6-0FF9-4348-8CAB-5072328D7D5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흐름</t>
      </text>
    </comment>
    <comment ref="AI74" authorId="1" shapeId="0" xr:uid="{90E3DF89-6B43-4813-AB33-A3F2B921627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마킹불량</t>
      </text>
    </comment>
    <comment ref="AI76" authorId="2" shapeId="0" xr:uid="{3FAFB71F-3F02-421D-9A23-A4A03EE08987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마킹불량
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tc={1DE91BB4-1093-4529-8744-08EA5A312C98}</author>
    <author>tc={9109E46B-59B8-4254-843E-679DFA9947DE}</author>
  </authors>
  <commentList>
    <comment ref="AI61" authorId="0" shapeId="0" xr:uid="{1DE91BB4-1093-4529-8744-08EA5A312C9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흐름</t>
      </text>
    </comment>
    <comment ref="AI67" authorId="1" shapeId="0" xr:uid="{9109E46B-59B8-4254-843E-679DFA9947DE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롤링불량
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tc={CD63323C-F4B6-4B91-A61D-209F450A919E}</author>
    <author>tc={91300408-EB21-4819-AD92-EC5ABFB610D9}</author>
  </authors>
  <commentList>
    <comment ref="AI67" authorId="0" shapeId="0" xr:uid="{CD63323C-F4B6-4B91-A61D-209F450A919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터짐</t>
      </text>
    </comment>
    <comment ref="AI74" authorId="1" shapeId="0" xr:uid="{91300408-EB21-4819-AD92-EC5ABFB610D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마킹불량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tc={C7E65D65-1ACD-4B15-B3D1-F8C2F28822ED}</author>
  </authors>
  <commentList>
    <comment ref="AI61" authorId="0" shapeId="0" xr:uid="{C7E65D65-1ACD-4B15-B3D1-F8C2F28822ED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흐름
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tc={28D70A84-3C92-43AC-A3E5-7A0618E9FECE}</author>
    <author>tc={DAA72897-FD30-4535-9D55-EF53C7694BB5}</author>
    <author>tc={F288F1A0-832D-442C-83AA-8A3625DAD034}</author>
  </authors>
  <commentList>
    <comment ref="AI60" authorId="0" shapeId="0" xr:uid="{28D70A84-3C92-43AC-A3E5-7A0618E9FEC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노게이지</t>
      </text>
    </comment>
    <comment ref="AI67" authorId="1" shapeId="0" xr:uid="{DAA72897-FD30-4535-9D55-EF53C7694BB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롤링</t>
      </text>
    </comment>
    <comment ref="AI74" authorId="2" shapeId="0" xr:uid="{F288F1A0-832D-442C-83AA-8A3625DAD03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마킹불량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tc={87E7E555-8A6A-4F88-9A12-F0E82FC665CD}</author>
    <author>tc={63C47E8F-71D9-49AD-B9EC-5541F99E1E16}</author>
  </authors>
  <commentList>
    <comment ref="AI61" authorId="0" shapeId="0" xr:uid="{87E7E555-8A6A-4F88-9A12-F0E82FC665C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흐름</t>
      </text>
    </comment>
    <comment ref="AI67" authorId="1" shapeId="0" xr:uid="{63C47E8F-71D9-49AD-B9EC-5541F99E1E1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롤링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tc={F8561E72-7709-47CA-A158-CC4F5D8EA2EC}</author>
    <author>tc={20112CBC-449C-46AF-B5F6-A2A1009015F8}</author>
  </authors>
  <commentList>
    <comment ref="AI67" authorId="0" shapeId="0" xr:uid="{F8561E72-7709-47CA-A158-CC4F5D8EA2EC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터짐 5
롤링 4
</t>
      </text>
    </comment>
    <comment ref="AI76" authorId="1" shapeId="0" xr:uid="{20112CBC-449C-46AF-B5F6-A2A1009015F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동심도 불량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tc={D900631E-1F5A-455F-A293-A0BD2FBADAE1}</author>
  </authors>
  <commentList>
    <comment ref="AI9" authorId="0" shapeId="0" xr:uid="{D900631E-1F5A-455F-A293-A0BD2FBADAE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코킹?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tc={D57D619B-9ABE-40ED-A22B-196C6F039AB1}</author>
    <author>tc={EDC4B347-88D4-4642-AC45-55FF420D4EFC}</author>
  </authors>
  <commentList>
    <comment ref="AI67" authorId="0" shapeId="0" xr:uid="{D57D619B-9ABE-40ED-A22B-196C6F039AB1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롤링 1
</t>
      </text>
    </comment>
    <comment ref="AI74" authorId="1" shapeId="0" xr:uid="{EDC4B347-88D4-4642-AC45-55FF420D4EF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롤링터짐 1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tc={9AC6F2C5-6791-4EF9-9DF9-8FBC9C3A51EC}</author>
  </authors>
  <commentList>
    <comment ref="AJ74" authorId="0" shapeId="0" xr:uid="{9AC6F2C5-6791-4EF9-9DF9-8FBC9C3A51E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롤링불량 뜯김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tc={CC65401B-01CC-4F73-86FF-1AB149ADD158}</author>
    <author>tc={3CD90988-7744-4469-94A7-AC2F7E026BB3}</author>
  </authors>
  <commentList>
    <comment ref="AI61" authorId="0" shapeId="0" xr:uid="{CC65401B-01CC-4F73-86FF-1AB149ADD15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흐름</t>
      </text>
    </comment>
    <comment ref="AI67" authorId="1" shapeId="0" xr:uid="{3CD90988-7744-4469-94A7-AC2F7E026BB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롤링</t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tc={AA1D8270-64E1-4955-A9BD-807441F61755}</author>
    <author>tc={7C44A9C4-9F96-491A-853F-F0322E7C87BA}</author>
  </authors>
  <commentList>
    <comment ref="AI61" authorId="0" shapeId="0" xr:uid="{AA1D8270-64E1-4955-A9BD-807441F61755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흐름
</t>
      </text>
    </comment>
    <comment ref="AI67" authorId="1" shapeId="0" xr:uid="{7C44A9C4-9F96-491A-853F-F0322E7C87B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롤링</t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tc={543E9D20-9B39-4958-AC9F-9FE0537758D9}</author>
  </authors>
  <commentList>
    <comment ref="AI61" authorId="0" shapeId="0" xr:uid="{543E9D20-9B39-4958-AC9F-9FE0537758D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흐름</t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tc={D44629B5-BF7D-44B8-A490-5415F66E1097}</author>
    <author>tc={3D6D6BEB-6AEB-4E3B-8084-7080F409ACD5}</author>
  </authors>
  <commentList>
    <comment ref="AI48" authorId="0" shapeId="0" xr:uid="{D44629B5-BF7D-44B8-A490-5415F66E1097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흐름
</t>
      </text>
    </comment>
    <comment ref="AI61" authorId="1" shapeId="0" xr:uid="{3D6D6BEB-6AEB-4E3B-8084-7080F409ACD5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흐름
</t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tc={6C3F6457-2298-4F04-AB41-304BF7BF0242}</author>
    <author>tc={D7638D06-77B4-4461-97D3-DD65B9C519D5}</author>
  </authors>
  <commentList>
    <comment ref="AI45" authorId="0" shapeId="0" xr:uid="{6C3F6457-2298-4F04-AB41-304BF7BF024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흐름</t>
      </text>
    </comment>
    <comment ref="AI61" authorId="1" shapeId="0" xr:uid="{D7638D06-77B4-4461-97D3-DD65B9C519D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흐름</t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tc={017B1552-144C-4B9A-B87D-0F2B1AE6BECD}</author>
    <author>tc={FF67F569-DA6E-4946-8528-A7385A879777}</author>
    <author>tc={9EA5FF4D-DDAC-4B8A-AD17-EB7DE7FB8BB2}</author>
    <author>tc={780F3F7B-7228-40E0-ADB0-C4DBB79D427D}</author>
    <author>tc={8BB5CEE5-68DD-4663-85D1-49F26FF451EC}</author>
  </authors>
  <commentList>
    <comment ref="AI38" authorId="0" shapeId="0" xr:uid="{017B1552-144C-4B9A-B87D-0F2B1AE6BEC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청음</t>
      </text>
    </comment>
    <comment ref="AI60" authorId="1" shapeId="0" xr:uid="{FF67F569-DA6E-4946-8528-A7385A879777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노게이지
</t>
      </text>
    </comment>
    <comment ref="AI61" authorId="2" shapeId="0" xr:uid="{9EA5FF4D-DDAC-4B8A-AD17-EB7DE7FB8BB2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흐름
</t>
      </text>
    </comment>
    <comment ref="AI67" authorId="3" shapeId="0" xr:uid="{780F3F7B-7228-40E0-ADB0-C4DBB79D427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롤링5
터짐1</t>
      </text>
    </comment>
    <comment ref="AI74" authorId="4" shapeId="0" xr:uid="{8BB5CEE5-68DD-4663-85D1-49F26FF451EC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롤링
</t>
      </text>
    </comment>
  </commentList>
</comments>
</file>

<file path=xl/sharedStrings.xml><?xml version="1.0" encoding="utf-8"?>
<sst xmlns="http://schemas.openxmlformats.org/spreadsheetml/2006/main" count="6049" uniqueCount="169">
  <si>
    <t>생산수량</t>
  </si>
  <si>
    <t>불량금액</t>
  </si>
  <si>
    <t>불량수량</t>
  </si>
  <si>
    <t>TM NO.</t>
  </si>
  <si>
    <t>CODE
(ERP)</t>
  </si>
  <si>
    <t>품     명</t>
  </si>
  <si>
    <t>거래선</t>
  </si>
  <si>
    <t>단가</t>
  </si>
  <si>
    <t>불량금액
(단가x수량)</t>
  </si>
  <si>
    <t>불량율
 (PPM)</t>
  </si>
  <si>
    <t>소계 SUBTOTAL(가로)</t>
  </si>
  <si>
    <t>폐기</t>
    <phoneticPr fontId="3" type="noConversion"/>
  </si>
  <si>
    <t>소재불량</t>
    <phoneticPr fontId="3" type="noConversion"/>
  </si>
  <si>
    <t>생산수량</t>
    <phoneticPr fontId="3" type="noConversion"/>
  </si>
  <si>
    <t>불량수량</t>
    <phoneticPr fontId="3" type="noConversion"/>
  </si>
  <si>
    <t>불량율(ppm)</t>
    <phoneticPr fontId="3" type="noConversion"/>
  </si>
  <si>
    <t>거래선 및 불량금액</t>
    <phoneticPr fontId="3" type="noConversion"/>
  </si>
  <si>
    <t>종합</t>
    <phoneticPr fontId="3" type="noConversion"/>
  </si>
  <si>
    <t>깨짐</t>
    <phoneticPr fontId="3" type="noConversion"/>
  </si>
  <si>
    <t>찍힘</t>
    <phoneticPr fontId="3" type="noConversion"/>
  </si>
  <si>
    <t>CRACK</t>
    <phoneticPr fontId="3" type="noConversion"/>
  </si>
  <si>
    <t>눌림</t>
    <phoneticPr fontId="3" type="noConversion"/>
  </si>
  <si>
    <t>기포</t>
    <phoneticPr fontId="3" type="noConversion"/>
  </si>
  <si>
    <t>초기가동</t>
    <phoneticPr fontId="3" type="noConversion"/>
  </si>
  <si>
    <t>편차수정</t>
    <phoneticPr fontId="3" type="noConversion"/>
  </si>
  <si>
    <t>중량불량</t>
    <phoneticPr fontId="3" type="noConversion"/>
  </si>
  <si>
    <t>설비Error</t>
    <phoneticPr fontId="3" type="noConversion"/>
  </si>
  <si>
    <t>Pellet누락</t>
    <phoneticPr fontId="3" type="noConversion"/>
  </si>
  <si>
    <t>낙물</t>
    <phoneticPr fontId="3" type="noConversion"/>
  </si>
  <si>
    <t>산화</t>
    <phoneticPr fontId="3" type="noConversion"/>
  </si>
  <si>
    <t>휨</t>
    <phoneticPr fontId="3" type="noConversion"/>
  </si>
  <si>
    <t>분말소착</t>
    <phoneticPr fontId="3" type="noConversion"/>
  </si>
  <si>
    <t>역싸이징</t>
    <phoneticPr fontId="3" type="noConversion"/>
  </si>
  <si>
    <t>이물질소착</t>
    <phoneticPr fontId="3" type="noConversion"/>
  </si>
  <si>
    <t>녹불량</t>
    <phoneticPr fontId="3" type="noConversion"/>
  </si>
  <si>
    <t>기타</t>
    <phoneticPr fontId="3" type="noConversion"/>
  </si>
  <si>
    <t>합계</t>
    <phoneticPr fontId="3" type="noConversion"/>
  </si>
  <si>
    <t>오기
유/무</t>
    <phoneticPr fontId="3" type="noConversion"/>
  </si>
  <si>
    <t>스크래치</t>
    <phoneticPr fontId="3" type="noConversion"/>
  </si>
  <si>
    <t>윈도우
GO</t>
    <phoneticPr fontId="3" type="noConversion"/>
  </si>
  <si>
    <t>윈도우
NO</t>
    <phoneticPr fontId="3" type="noConversion"/>
  </si>
  <si>
    <t>조립불량</t>
    <phoneticPr fontId="3" type="noConversion"/>
  </si>
  <si>
    <t>침투불량</t>
    <phoneticPr fontId="3" type="noConversion"/>
  </si>
  <si>
    <t>치형뜯김</t>
    <phoneticPr fontId="3" type="noConversion"/>
  </si>
  <si>
    <t>5001-00</t>
  </si>
  <si>
    <t>PLATE 1-2-3-4 CLU BKG</t>
  </si>
  <si>
    <t>5002-00</t>
  </si>
  <si>
    <t>PLATE 4-5-6 CLU BKG</t>
  </si>
  <si>
    <t>PLATE 3-5-REV CLU BKG</t>
  </si>
  <si>
    <t>5004-00</t>
  </si>
  <si>
    <t>PLATE LOW &amp; REV CLU BKG</t>
  </si>
  <si>
    <t>WHEEL-A/TRANS INPUT SHF SPD SEN RELUCTOR</t>
  </si>
  <si>
    <t>5006-00</t>
  </si>
  <si>
    <t>5010-00</t>
  </si>
  <si>
    <t>WHEEL-A/TRANS INPUT SHF SPD</t>
  </si>
  <si>
    <t>CARRIER-REACTION</t>
  </si>
  <si>
    <t>CARRIER-INPUT</t>
  </si>
  <si>
    <t>CARRIER - REACTION</t>
  </si>
  <si>
    <t>CARRIER - INPUT</t>
  </si>
  <si>
    <t>CARRIER PLANET</t>
  </si>
  <si>
    <t>CARRIER PALNET</t>
  </si>
  <si>
    <t>차종</t>
    <phoneticPr fontId="3" type="noConversion"/>
  </si>
  <si>
    <t>BALL NUT PULLEY</t>
  </si>
  <si>
    <t>PULLEY LARGE</t>
  </si>
  <si>
    <t>MOTOR PULLEY</t>
  </si>
  <si>
    <t>PULLEY</t>
  </si>
  <si>
    <t>1360-00</t>
  </si>
  <si>
    <t>1361-00</t>
  </si>
  <si>
    <t>1361-01</t>
  </si>
  <si>
    <t>1464-00</t>
  </si>
  <si>
    <t>5003-00</t>
  </si>
  <si>
    <t>5005-00</t>
  </si>
  <si>
    <t>5007-00</t>
  </si>
  <si>
    <t>5008-00</t>
  </si>
  <si>
    <t>5009-00</t>
  </si>
  <si>
    <t>5011-00</t>
  </si>
  <si>
    <t>5012-00</t>
  </si>
  <si>
    <t>5013-00</t>
  </si>
  <si>
    <t>5014-00</t>
  </si>
  <si>
    <t>5015-00</t>
  </si>
  <si>
    <t>5016-00</t>
  </si>
  <si>
    <t>6001-00</t>
  </si>
  <si>
    <t>6002-00</t>
  </si>
  <si>
    <t>PRESSURE PLATE</t>
  </si>
  <si>
    <t>6011-00</t>
  </si>
  <si>
    <t>1510-00</t>
  </si>
  <si>
    <t>1510-01</t>
  </si>
  <si>
    <t>CARRIER PLANET MID</t>
  </si>
  <si>
    <t>불량수량</t>
    <phoneticPr fontId="3" type="noConversion"/>
  </si>
  <si>
    <t>1464-01</t>
  </si>
  <si>
    <t>1510-02</t>
  </si>
  <si>
    <t>1785-00</t>
  </si>
  <si>
    <t>1695-00</t>
  </si>
  <si>
    <t>1781-00</t>
  </si>
  <si>
    <t>1883-00</t>
  </si>
  <si>
    <t>SLIDE</t>
  </si>
  <si>
    <t>5003-01</t>
  </si>
  <si>
    <t>6009-01</t>
  </si>
  <si>
    <t>6009-02</t>
  </si>
  <si>
    <t>6009-03</t>
  </si>
  <si>
    <t>6009-04</t>
  </si>
  <si>
    <t>6009-05</t>
  </si>
  <si>
    <t>6009-06</t>
  </si>
  <si>
    <t>6009-07</t>
  </si>
  <si>
    <t>6009-08</t>
  </si>
  <si>
    <t>6009-09</t>
  </si>
  <si>
    <t>6007-00</t>
  </si>
  <si>
    <t>6004-00</t>
  </si>
  <si>
    <t>5017-00</t>
  </si>
  <si>
    <t>5018-00</t>
  </si>
  <si>
    <t>1786-00</t>
  </si>
  <si>
    <t>6004-01</t>
  </si>
  <si>
    <t>6017-00</t>
  </si>
  <si>
    <t>1903-00</t>
  </si>
  <si>
    <t>1935-00</t>
  </si>
  <si>
    <t>HOUSING GUIDE RING</t>
  </si>
  <si>
    <t>BELT GUIDE</t>
  </si>
  <si>
    <t>Driven Pulley</t>
  </si>
  <si>
    <t>1360-01</t>
  </si>
  <si>
    <t>1361-02</t>
  </si>
  <si>
    <t>1361-50</t>
  </si>
  <si>
    <t>6007-01</t>
  </si>
  <si>
    <t>6009-10</t>
  </si>
  <si>
    <t>6009-11</t>
  </si>
  <si>
    <t>6017-01</t>
  </si>
  <si>
    <t>6019-00</t>
  </si>
  <si>
    <t>6020-00</t>
  </si>
  <si>
    <t>1917-00</t>
  </si>
  <si>
    <t>BODY</t>
  </si>
  <si>
    <t>1914-00</t>
  </si>
  <si>
    <t>1987-00J</t>
  </si>
  <si>
    <t>BELT PULLEY</t>
  </si>
  <si>
    <t>1986-00J</t>
  </si>
  <si>
    <t>1581-00</t>
  </si>
  <si>
    <t>성형-BODY</t>
  </si>
  <si>
    <t>2059-00</t>
  </si>
  <si>
    <t>6023-00AJ</t>
  </si>
  <si>
    <t>불량수량</t>
    <phoneticPr fontId="3" type="noConversion"/>
  </si>
  <si>
    <t>불량수량</t>
    <phoneticPr fontId="3" type="noConversion"/>
  </si>
  <si>
    <t>불량수량</t>
    <phoneticPr fontId="3" type="noConversion"/>
  </si>
  <si>
    <t xml:space="preserve"> </t>
    <phoneticPr fontId="3" type="noConversion"/>
  </si>
  <si>
    <t>1361-03</t>
  </si>
  <si>
    <t>1361-01</t>
    <phoneticPr fontId="3" type="noConversion"/>
  </si>
  <si>
    <t>6009-00</t>
  </si>
  <si>
    <t>성형-PRESSURE PLATE</t>
  </si>
  <si>
    <t>1987-01J</t>
  </si>
  <si>
    <t>2202-00</t>
  </si>
  <si>
    <t>CARRIER PALNET</t>
    <phoneticPr fontId="3" type="noConversion"/>
  </si>
  <si>
    <t>5014-00</t>
    <phoneticPr fontId="3" type="noConversion"/>
  </si>
  <si>
    <t>1785-00</t>
    <phoneticPr fontId="3" type="noConversion"/>
  </si>
  <si>
    <t>2206-00</t>
  </si>
  <si>
    <t>성형-BALL NUT PULLEY</t>
  </si>
  <si>
    <t>6004-01</t>
    <phoneticPr fontId="3" type="noConversion"/>
  </si>
  <si>
    <t>6004-00</t>
    <phoneticPr fontId="3" type="noConversion"/>
  </si>
  <si>
    <t>5013-00</t>
    <phoneticPr fontId="3" type="noConversion"/>
  </si>
  <si>
    <t>BELT PULLEY</t>
    <phoneticPr fontId="3" type="noConversion"/>
  </si>
  <si>
    <t>CARRIER PALNET</t>
    <phoneticPr fontId="3" type="noConversion"/>
  </si>
  <si>
    <t>WHEEL-A/TRANS INPUT SHF SPD SEN RELUCTOR</t>
    <phoneticPr fontId="3" type="noConversion"/>
  </si>
  <si>
    <t>CARRIER - INPUT</t>
    <phoneticPr fontId="3" type="noConversion"/>
  </si>
  <si>
    <t>CARRIER PALNET</t>
    <phoneticPr fontId="3" type="noConversion"/>
  </si>
  <si>
    <t>PLATE 1-2-3-4 CLU BKG</t>
    <phoneticPr fontId="3" type="noConversion"/>
  </si>
  <si>
    <t>CARRIER PLANET MID</t>
    <phoneticPr fontId="3" type="noConversion"/>
  </si>
  <si>
    <t>CARRIER-INPUT</t>
    <phoneticPr fontId="3" type="noConversion"/>
  </si>
  <si>
    <t>CARRIER - REACTION</t>
    <phoneticPr fontId="3" type="noConversion"/>
  </si>
  <si>
    <t>성형-REB,RETAINER</t>
  </si>
  <si>
    <t>1630-00</t>
  </si>
  <si>
    <t>1630-00</t>
    <phoneticPr fontId="3" type="noConversion"/>
  </si>
  <si>
    <t>TM NO.</t>
    <phoneticPr fontId="3" type="noConversion"/>
  </si>
  <si>
    <t>MOTOR PULLEY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</si>
</sst>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#,##0_);[Red]\(#,##0\)"/>
    <numFmt numFmtId="177" formatCode="mm&quot;월&quot;\ dd&quot;일&quot;"/>
  </numFmts>
  <fonts count="2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11"/>
      <color indexed="10"/>
      <name val="맑은 고딕"/>
      <family val="3"/>
      <charset val="129"/>
      <scheme val="major"/>
    </font>
    <font>
      <b/>
      <sz val="11"/>
      <color rgb="FFFF0000"/>
      <name val="돋움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sz val="11"/>
      <name val="돋움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28"/>
      <color indexed="10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ajor"/>
    </font>
  </fonts>
  <fills count="3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96">
    <border>
      <left/>
      <right/>
      <top/>
      <bottom/>
      <diagonal/>
    </border>
    <border>
      <left/>
      <right style="medium">
        <color indexed="62"/>
      </right>
      <top/>
      <bottom/>
      <diagonal/>
    </border>
    <border>
      <left/>
      <right style="thin">
        <color indexed="17"/>
      </right>
      <top style="medium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medium">
        <color indexed="17"/>
      </top>
      <bottom style="thin">
        <color indexed="17"/>
      </bottom>
      <diagonal/>
    </border>
    <border>
      <left/>
      <right style="thin">
        <color indexed="17"/>
      </right>
      <top style="thin">
        <color indexed="17"/>
      </top>
      <bottom/>
      <diagonal/>
    </border>
    <border>
      <left style="thin">
        <color indexed="17"/>
      </left>
      <right style="thin">
        <color indexed="17"/>
      </right>
      <top style="thin">
        <color indexed="17"/>
      </top>
      <bottom/>
      <diagonal/>
    </border>
    <border>
      <left style="medium">
        <color indexed="62"/>
      </left>
      <right style="medium">
        <color indexed="62"/>
      </right>
      <top/>
      <bottom/>
      <diagonal/>
    </border>
    <border>
      <left style="medium">
        <color indexed="62"/>
      </left>
      <right style="thin">
        <color indexed="17"/>
      </right>
      <top style="thin">
        <color indexed="17"/>
      </top>
      <bottom/>
      <diagonal/>
    </border>
    <border>
      <left style="medium">
        <color indexed="62"/>
      </left>
      <right style="thin">
        <color indexed="17"/>
      </right>
      <top/>
      <bottom style="medium">
        <color indexed="17"/>
      </bottom>
      <diagonal/>
    </border>
    <border>
      <left style="thin">
        <color indexed="17"/>
      </left>
      <right style="thin">
        <color indexed="17"/>
      </right>
      <top/>
      <bottom style="medium">
        <color indexed="17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1"/>
      </left>
      <right style="thin">
        <color indexed="21"/>
      </right>
      <top style="medium">
        <color indexed="21"/>
      </top>
      <bottom style="thin">
        <color indexed="21"/>
      </bottom>
      <diagonal/>
    </border>
    <border>
      <left/>
      <right style="thin">
        <color indexed="21"/>
      </right>
      <top style="medium">
        <color indexed="21"/>
      </top>
      <bottom style="thin">
        <color indexed="21"/>
      </bottom>
      <diagonal/>
    </border>
    <border>
      <left style="thin">
        <color indexed="62"/>
      </left>
      <right style="thin">
        <color indexed="21"/>
      </right>
      <top style="medium">
        <color indexed="21"/>
      </top>
      <bottom style="thin">
        <color indexed="21"/>
      </bottom>
      <diagonal/>
    </border>
    <border>
      <left style="thin">
        <color indexed="21"/>
      </left>
      <right style="thin">
        <color indexed="62"/>
      </right>
      <top style="medium">
        <color indexed="21"/>
      </top>
      <bottom style="thin">
        <color indexed="21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18"/>
      </left>
      <right/>
      <top style="medium">
        <color indexed="18"/>
      </top>
      <bottom style="thin">
        <color indexed="18"/>
      </bottom>
      <diagonal/>
    </border>
    <border>
      <left style="thin">
        <color indexed="18"/>
      </left>
      <right/>
      <top style="thin">
        <color indexed="18"/>
      </top>
      <bottom style="thin">
        <color indexed="18"/>
      </bottom>
      <diagonal/>
    </border>
    <border>
      <left style="thin">
        <color indexed="18"/>
      </left>
      <right/>
      <top style="thin">
        <color indexed="18"/>
      </top>
      <bottom style="medium">
        <color indexed="18"/>
      </bottom>
      <diagonal/>
    </border>
    <border>
      <left/>
      <right/>
      <top style="thin">
        <color indexed="17"/>
      </top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 style="thin">
        <color indexed="18"/>
      </right>
      <top/>
      <bottom style="thin">
        <color indexed="18"/>
      </bottom>
      <diagonal/>
    </border>
    <border>
      <left/>
      <right style="thin">
        <color indexed="18"/>
      </right>
      <top style="thin">
        <color indexed="18"/>
      </top>
      <bottom style="medium">
        <color indexed="18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18"/>
      </bottom>
      <diagonal/>
    </border>
    <border>
      <left/>
      <right/>
      <top/>
      <bottom style="medium">
        <color indexed="18"/>
      </bottom>
      <diagonal/>
    </border>
    <border>
      <left style="thin">
        <color rgb="FF02255E"/>
      </left>
      <right style="thin">
        <color rgb="FF02255E"/>
      </right>
      <top style="thin">
        <color indexed="18"/>
      </top>
      <bottom style="medium">
        <color indexed="17"/>
      </bottom>
      <diagonal/>
    </border>
    <border>
      <left/>
      <right style="medium">
        <color indexed="62"/>
      </right>
      <top/>
      <bottom style="medium">
        <color indexed="17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 style="medium">
        <color indexed="17"/>
      </top>
      <bottom style="thin">
        <color indexed="17"/>
      </bottom>
      <diagonal/>
    </border>
    <border>
      <left style="thin">
        <color indexed="17"/>
      </left>
      <right/>
      <top style="thin">
        <color indexed="17"/>
      </top>
      <bottom/>
      <diagonal/>
    </border>
    <border>
      <left style="thin">
        <color indexed="17"/>
      </left>
      <right/>
      <top/>
      <bottom style="medium">
        <color indexed="17"/>
      </bottom>
      <diagonal/>
    </border>
    <border>
      <left style="thin">
        <color indexed="62"/>
      </left>
      <right style="thin">
        <color indexed="17"/>
      </right>
      <top/>
      <bottom/>
      <diagonal/>
    </border>
    <border>
      <left style="thin">
        <color indexed="62"/>
      </left>
      <right style="thin">
        <color indexed="17"/>
      </right>
      <top/>
      <bottom style="medium">
        <color indexed="17"/>
      </bottom>
      <diagonal/>
    </border>
    <border>
      <left style="thin">
        <color indexed="17"/>
      </left>
      <right style="thin">
        <color indexed="17"/>
      </right>
      <top style="medium">
        <color indexed="21"/>
      </top>
      <bottom style="thin">
        <color indexed="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17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22"/>
      </top>
      <bottom style="thin">
        <color indexed="22"/>
      </bottom>
      <diagonal/>
    </border>
    <border>
      <left style="thin">
        <color indexed="17"/>
      </left>
      <right style="thin">
        <color indexed="17"/>
      </right>
      <top style="medium">
        <color indexed="17"/>
      </top>
      <bottom/>
      <diagonal/>
    </border>
    <border>
      <left style="thin">
        <color indexed="17"/>
      </left>
      <right style="thin">
        <color indexed="17"/>
      </right>
      <top/>
      <bottom style="thin">
        <color indexed="17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3743705557422"/>
      </right>
      <top style="medium">
        <color indexed="17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indexed="22"/>
      </top>
      <bottom style="thin">
        <color indexed="22"/>
      </bottom>
      <diagonal/>
    </border>
    <border>
      <left style="thin">
        <color indexed="17"/>
      </left>
      <right/>
      <top style="medium">
        <color indexed="17"/>
      </top>
      <bottom style="thin">
        <color indexed="17"/>
      </bottom>
      <diagonal/>
    </border>
    <border>
      <left style="thin">
        <color indexed="17"/>
      </left>
      <right/>
      <top style="medium">
        <color indexed="21"/>
      </top>
      <bottom style="thin">
        <color indexed="21"/>
      </bottom>
      <diagonal/>
    </border>
    <border>
      <left style="double">
        <color indexed="17"/>
      </left>
      <right style="thin">
        <color indexed="17"/>
      </right>
      <top style="medium">
        <color indexed="17"/>
      </top>
      <bottom style="thin">
        <color indexed="17"/>
      </bottom>
      <diagonal/>
    </border>
    <border>
      <left style="double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double">
        <color indexed="17"/>
      </left>
      <right/>
      <top/>
      <bottom/>
      <diagonal/>
    </border>
    <border>
      <left style="double">
        <color indexed="17"/>
      </left>
      <right/>
      <top/>
      <bottom style="medium">
        <color indexed="17"/>
      </bottom>
      <diagonal/>
    </border>
    <border>
      <left style="double">
        <color indexed="17"/>
      </left>
      <right style="thin">
        <color indexed="22"/>
      </right>
      <top/>
      <bottom style="thin">
        <color indexed="22"/>
      </bottom>
      <diagonal/>
    </border>
    <border>
      <left style="double">
        <color indexed="17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17"/>
      </left>
      <right style="thin">
        <color indexed="21"/>
      </right>
      <top style="medium">
        <color indexed="21"/>
      </top>
      <bottom style="thin">
        <color indexed="21"/>
      </bottom>
      <diagonal/>
    </border>
    <border>
      <left/>
      <right/>
      <top style="medium">
        <color indexed="18"/>
      </top>
      <bottom style="thin">
        <color indexed="18"/>
      </bottom>
      <diagonal/>
    </border>
    <border>
      <left/>
      <right style="thin">
        <color indexed="18"/>
      </right>
      <top style="medium">
        <color indexed="18"/>
      </top>
      <bottom style="thin">
        <color indexed="18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indexed="18"/>
      </bottom>
      <diagonal/>
    </border>
    <border>
      <left style="thin">
        <color indexed="18"/>
      </left>
      <right/>
      <top/>
      <bottom style="medium">
        <color indexed="18"/>
      </bottom>
      <diagonal/>
    </border>
    <border>
      <left style="thin">
        <color indexed="18"/>
      </left>
      <right/>
      <top/>
      <bottom/>
      <diagonal/>
    </border>
    <border>
      <left style="thin">
        <color indexed="22"/>
      </left>
      <right/>
      <top style="thin">
        <color indexed="22"/>
      </top>
      <bottom style="medium">
        <color indexed="2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21"/>
      </bottom>
      <diagonal/>
    </border>
    <border>
      <left style="thin">
        <color indexed="6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2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indexed="22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indexed="62"/>
      </left>
      <right style="thin">
        <color rgb="FFC0C0C0"/>
      </right>
      <top style="thin">
        <color rgb="FFC0C0C0"/>
      </top>
      <bottom style="medium">
        <color indexed="21"/>
      </bottom>
      <diagonal/>
    </border>
    <border>
      <left style="thin">
        <color rgb="FFC0C0C0"/>
      </left>
      <right/>
      <top style="thin">
        <color rgb="FFC0C0C0"/>
      </top>
      <bottom style="medium">
        <color indexed="21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 style="thin">
        <color theme="0" tint="-0.14996795556505021"/>
      </left>
      <right style="thin">
        <color theme="0" tint="-0.14993743705557422"/>
      </right>
      <top style="thin">
        <color indexed="22"/>
      </top>
      <bottom/>
      <diagonal/>
    </border>
    <border>
      <left style="medium">
        <color indexed="62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double">
        <color indexed="17"/>
      </right>
      <top style="thin">
        <color rgb="FFC0C0C0"/>
      </top>
      <bottom style="thin">
        <color rgb="FFC0C0C0"/>
      </bottom>
      <diagonal/>
    </border>
    <border>
      <left style="medium">
        <color indexed="62"/>
      </left>
      <right style="thin">
        <color rgb="FFC0C0C0"/>
      </right>
      <top style="thin">
        <color rgb="FFC0C0C0"/>
      </top>
      <bottom style="medium">
        <color indexed="2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medium">
        <color indexed="21"/>
      </bottom>
      <diagonal/>
    </border>
    <border>
      <left style="thin">
        <color rgb="FFC0C0C0"/>
      </left>
      <right style="double">
        <color indexed="17"/>
      </right>
      <top style="thin">
        <color rgb="FFC0C0C0"/>
      </top>
      <bottom style="medium">
        <color indexed="21"/>
      </bottom>
      <diagonal/>
    </border>
    <border>
      <left style="thin">
        <color indexed="17"/>
      </left>
      <right style="double">
        <color indexed="17"/>
      </right>
      <top style="thin">
        <color indexed="17"/>
      </top>
      <bottom/>
      <diagonal/>
    </border>
    <border>
      <left style="double">
        <color indexed="17"/>
      </left>
      <right style="thin">
        <color indexed="62"/>
      </right>
      <top style="thin">
        <color indexed="17"/>
      </top>
      <bottom/>
      <diagonal/>
    </border>
    <border>
      <left style="double">
        <color indexed="17"/>
      </left>
      <right style="thin">
        <color indexed="62"/>
      </right>
      <top/>
      <bottom style="medium">
        <color indexed="17"/>
      </bottom>
      <diagonal/>
    </border>
    <border>
      <left style="thin">
        <color indexed="17"/>
      </left>
      <right style="double">
        <color indexed="17"/>
      </right>
      <top/>
      <bottom style="medium">
        <color indexed="17"/>
      </bottom>
      <diagonal/>
    </border>
    <border>
      <left style="thin">
        <color indexed="62"/>
      </left>
      <right style="thin">
        <color indexed="17"/>
      </right>
      <top style="thin">
        <color indexed="17"/>
      </top>
      <bottom/>
      <diagonal/>
    </border>
  </borders>
  <cellStyleXfs count="5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0" borderId="0"/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3" borderId="33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8" fillId="24" borderId="12" applyNumberFormat="0" applyFon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6" borderId="34" applyNumberFormat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1" fillId="0" borderId="36" applyNumberFormat="0" applyFill="0" applyAlignment="0" applyProtection="0">
      <alignment vertical="center"/>
    </xf>
    <xf numFmtId="0" fontId="22" fillId="10" borderId="33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7" applyNumberFormat="0" applyFill="0" applyAlignment="0" applyProtection="0">
      <alignment vertical="center"/>
    </xf>
    <xf numFmtId="0" fontId="23" fillId="0" borderId="38" applyNumberFormat="0" applyFill="0" applyAlignment="0" applyProtection="0">
      <alignment vertical="center"/>
    </xf>
    <xf numFmtId="0" fontId="11" fillId="0" borderId="3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23" borderId="40" applyNumberFormat="0" applyAlignment="0" applyProtection="0">
      <alignment vertical="center"/>
    </xf>
    <xf numFmtId="42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189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41" fontId="4" fillId="0" borderId="19" xfId="1" applyFont="1" applyFill="1" applyBorder="1" applyAlignment="1">
      <alignment vertical="center" shrinkToFit="1"/>
    </xf>
    <xf numFmtId="0" fontId="4" fillId="0" borderId="1" xfId="0" applyFont="1" applyBorder="1" applyAlignment="1">
      <alignment horizontal="center" vertical="center"/>
    </xf>
    <xf numFmtId="41" fontId="4" fillId="0" borderId="2" xfId="0" applyNumberFormat="1" applyFont="1" applyBorder="1" applyAlignment="1">
      <alignment horizontal="center" vertical="center"/>
    </xf>
    <xf numFmtId="41" fontId="4" fillId="0" borderId="3" xfId="0" applyNumberFormat="1" applyFont="1" applyBorder="1" applyAlignment="1">
      <alignment horizontal="center" vertical="center"/>
    </xf>
    <xf numFmtId="41" fontId="4" fillId="0" borderId="1" xfId="0" applyNumberFormat="1" applyFont="1" applyBorder="1" applyAlignment="1">
      <alignment horizontal="center" vertical="center"/>
    </xf>
    <xf numFmtId="41" fontId="4" fillId="0" borderId="4" xfId="0" applyNumberFormat="1" applyFont="1" applyBorder="1" applyAlignment="1">
      <alignment horizontal="center" vertical="center"/>
    </xf>
    <xf numFmtId="41" fontId="4" fillId="0" borderId="5" xfId="0" applyNumberFormat="1" applyFont="1" applyBorder="1" applyAlignment="1">
      <alignment horizontal="center" vertical="center"/>
    </xf>
    <xf numFmtId="41" fontId="2" fillId="0" borderId="6" xfId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shrinkToFit="1"/>
    </xf>
    <xf numFmtId="42" fontId="4" fillId="0" borderId="20" xfId="0" applyNumberFormat="1" applyFont="1" applyBorder="1" applyAlignment="1">
      <alignment horizontal="center" vertical="center" shrinkToFit="1"/>
    </xf>
    <xf numFmtId="41" fontId="4" fillId="0" borderId="11" xfId="1" applyFont="1" applyFill="1" applyBorder="1" applyAlignment="1">
      <alignment horizontal="center" vertical="center"/>
    </xf>
    <xf numFmtId="41" fontId="4" fillId="0" borderId="10" xfId="1" applyFont="1" applyFill="1" applyBorder="1" applyAlignment="1">
      <alignment horizontal="center" vertical="center"/>
    </xf>
    <xf numFmtId="41" fontId="4" fillId="0" borderId="6" xfId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shrinkToFit="1"/>
    </xf>
    <xf numFmtId="42" fontId="4" fillId="3" borderId="14" xfId="0" applyNumberFormat="1" applyFont="1" applyFill="1" applyBorder="1" applyAlignment="1">
      <alignment horizontal="center" vertical="center" shrinkToFit="1"/>
    </xf>
    <xf numFmtId="41" fontId="4" fillId="3" borderId="13" xfId="1" applyFont="1" applyFill="1" applyBorder="1" applyAlignment="1">
      <alignment horizontal="center" vertical="center"/>
    </xf>
    <xf numFmtId="41" fontId="4" fillId="3" borderId="12" xfId="1" applyFont="1" applyFill="1" applyBorder="1" applyAlignment="1">
      <alignment horizontal="center" vertical="center"/>
    </xf>
    <xf numFmtId="41" fontId="7" fillId="2" borderId="12" xfId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42" fontId="4" fillId="0" borderId="14" xfId="0" applyNumberFormat="1" applyFont="1" applyBorder="1" applyAlignment="1">
      <alignment horizontal="center" vertical="center" shrinkToFit="1"/>
    </xf>
    <xf numFmtId="41" fontId="4" fillId="0" borderId="13" xfId="1" applyFont="1" applyFill="1" applyBorder="1" applyAlignment="1">
      <alignment horizontal="center" vertical="center"/>
    </xf>
    <xf numFmtId="41" fontId="4" fillId="0" borderId="12" xfId="1" applyFont="1" applyFill="1" applyBorder="1" applyAlignment="1">
      <alignment horizontal="center" vertical="center"/>
    </xf>
    <xf numFmtId="41" fontId="7" fillId="0" borderId="12" xfId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41" fontId="6" fillId="0" borderId="10" xfId="1" applyFont="1" applyFill="1" applyBorder="1" applyAlignment="1">
      <alignment horizontal="center" vertical="center"/>
    </xf>
    <xf numFmtId="41" fontId="4" fillId="0" borderId="29" xfId="1" applyFont="1" applyFill="1" applyBorder="1" applyAlignment="1">
      <alignment vertical="center" shrinkToFit="1"/>
    </xf>
    <xf numFmtId="41" fontId="2" fillId="0" borderId="32" xfId="1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 shrinkToFit="1"/>
    </xf>
    <xf numFmtId="0" fontId="2" fillId="0" borderId="31" xfId="0" applyFont="1" applyBorder="1" applyAlignment="1">
      <alignment horizontal="center" vertical="center" wrapText="1" shrinkToFit="1"/>
    </xf>
    <xf numFmtId="41" fontId="2" fillId="0" borderId="31" xfId="1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41" fontId="2" fillId="0" borderId="28" xfId="1" applyFont="1" applyFill="1" applyBorder="1" applyAlignment="1">
      <alignment horizontal="center" vertical="center"/>
    </xf>
    <xf numFmtId="41" fontId="4" fillId="0" borderId="43" xfId="0" applyNumberFormat="1" applyFont="1" applyBorder="1" applyAlignment="1">
      <alignment horizontal="center" vertical="center"/>
    </xf>
    <xf numFmtId="41" fontId="4" fillId="0" borderId="24" xfId="0" applyNumberFormat="1" applyFont="1" applyBorder="1" applyAlignment="1">
      <alignment horizontal="center" vertical="center"/>
    </xf>
    <xf numFmtId="41" fontId="4" fillId="0" borderId="42" xfId="1" applyFont="1" applyFill="1" applyBorder="1" applyAlignment="1">
      <alignment horizontal="center" vertical="center"/>
    </xf>
    <xf numFmtId="41" fontId="4" fillId="3" borderId="41" xfId="1" applyFont="1" applyFill="1" applyBorder="1" applyAlignment="1">
      <alignment horizontal="center" vertical="center"/>
    </xf>
    <xf numFmtId="41" fontId="4" fillId="0" borderId="41" xfId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 shrinkToFit="1"/>
    </xf>
    <xf numFmtId="41" fontId="2" fillId="2" borderId="15" xfId="1" applyFont="1" applyFill="1" applyBorder="1" applyAlignment="1">
      <alignment horizontal="center" vertical="center"/>
    </xf>
    <xf numFmtId="41" fontId="2" fillId="2" borderId="17" xfId="1" applyFont="1" applyFill="1" applyBorder="1" applyAlignment="1">
      <alignment horizontal="center" vertical="center" wrapText="1"/>
    </xf>
    <xf numFmtId="41" fontId="2" fillId="2" borderId="18" xfId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1" fontId="2" fillId="2" borderId="48" xfId="1" applyFont="1" applyFill="1" applyBorder="1" applyAlignment="1">
      <alignment horizontal="center" vertical="center"/>
    </xf>
    <xf numFmtId="41" fontId="4" fillId="0" borderId="49" xfId="1" applyFont="1" applyFill="1" applyBorder="1" applyAlignment="1">
      <alignment horizontal="center" vertical="center"/>
    </xf>
    <xf numFmtId="41" fontId="4" fillId="3" borderId="50" xfId="1" applyFont="1" applyFill="1" applyBorder="1" applyAlignment="1">
      <alignment horizontal="center" vertical="center"/>
    </xf>
    <xf numFmtId="41" fontId="4" fillId="0" borderId="50" xfId="1" applyFont="1" applyFill="1" applyBorder="1" applyAlignment="1">
      <alignment horizontal="center" vertical="center"/>
    </xf>
    <xf numFmtId="41" fontId="4" fillId="0" borderId="53" xfId="1" applyFont="1" applyFill="1" applyBorder="1" applyAlignment="1">
      <alignment horizontal="center" vertical="center"/>
    </xf>
    <xf numFmtId="41" fontId="4" fillId="3" borderId="54" xfId="1" applyFont="1" applyFill="1" applyBorder="1" applyAlignment="1">
      <alignment horizontal="center" vertical="center"/>
    </xf>
    <xf numFmtId="41" fontId="4" fillId="0" borderId="54" xfId="1" applyFont="1" applyFill="1" applyBorder="1" applyAlignment="1">
      <alignment horizontal="center" vertical="center"/>
    </xf>
    <xf numFmtId="41" fontId="4" fillId="0" borderId="55" xfId="1" applyFont="1" applyFill="1" applyBorder="1" applyAlignment="1">
      <alignment horizontal="center" vertical="center"/>
    </xf>
    <xf numFmtId="41" fontId="4" fillId="3" borderId="56" xfId="1" applyFont="1" applyFill="1" applyBorder="1" applyAlignment="1">
      <alignment horizontal="center" vertical="center"/>
    </xf>
    <xf numFmtId="41" fontId="4" fillId="0" borderId="56" xfId="1" applyFont="1" applyFill="1" applyBorder="1" applyAlignment="1">
      <alignment horizontal="center" vertical="center"/>
    </xf>
    <xf numFmtId="41" fontId="4" fillId="0" borderId="57" xfId="0" applyNumberFormat="1" applyFont="1" applyBorder="1" applyAlignment="1">
      <alignment horizontal="center" vertical="center"/>
    </xf>
    <xf numFmtId="41" fontId="4" fillId="0" borderId="44" xfId="0" applyNumberFormat="1" applyFont="1" applyBorder="1" applyAlignment="1">
      <alignment horizontal="center" vertical="center"/>
    </xf>
    <xf numFmtId="41" fontId="2" fillId="2" borderId="58" xfId="1" applyFont="1" applyFill="1" applyBorder="1" applyAlignment="1">
      <alignment horizontal="center" vertical="center"/>
    </xf>
    <xf numFmtId="41" fontId="4" fillId="0" borderId="59" xfId="0" applyNumberFormat="1" applyFont="1" applyBorder="1" applyAlignment="1">
      <alignment horizontal="center" vertical="center"/>
    </xf>
    <xf numFmtId="41" fontId="4" fillId="0" borderId="60" xfId="0" applyNumberFormat="1" applyFont="1" applyBorder="1" applyAlignment="1">
      <alignment horizontal="center" vertical="center"/>
    </xf>
    <xf numFmtId="41" fontId="4" fillId="0" borderId="63" xfId="1" applyFont="1" applyFill="1" applyBorder="1" applyAlignment="1">
      <alignment horizontal="center" vertical="center"/>
    </xf>
    <xf numFmtId="41" fontId="4" fillId="3" borderId="64" xfId="1" applyFont="1" applyFill="1" applyBorder="1" applyAlignment="1">
      <alignment horizontal="center" vertical="center"/>
    </xf>
    <xf numFmtId="41" fontId="4" fillId="0" borderId="64" xfId="1" applyFont="1" applyFill="1" applyBorder="1" applyAlignment="1">
      <alignment horizontal="center" vertical="center"/>
    </xf>
    <xf numFmtId="41" fontId="2" fillId="2" borderId="65" xfId="1" applyFont="1" applyFill="1" applyBorder="1" applyAlignment="1">
      <alignment horizontal="center" vertical="center"/>
    </xf>
    <xf numFmtId="17" fontId="4" fillId="0" borderId="12" xfId="0" quotePrefix="1" applyNumberFormat="1" applyFont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41" fontId="2" fillId="4" borderId="0" xfId="1" applyFont="1" applyFill="1" applyBorder="1" applyAlignment="1">
      <alignment horizontal="center" vertical="center" shrinkToFit="1"/>
    </xf>
    <xf numFmtId="41" fontId="4" fillId="0" borderId="68" xfId="1" applyFont="1" applyFill="1" applyBorder="1" applyAlignment="1">
      <alignment vertical="center" shrinkToFit="1"/>
    </xf>
    <xf numFmtId="41" fontId="4" fillId="0" borderId="69" xfId="1" applyFont="1" applyFill="1" applyBorder="1" applyAlignment="1">
      <alignment vertical="center" shrinkToFit="1"/>
    </xf>
    <xf numFmtId="41" fontId="4" fillId="0" borderId="70" xfId="1" applyFont="1" applyFill="1" applyBorder="1" applyAlignment="1">
      <alignment horizontal="center" vertical="center" shrinkToFit="1"/>
    </xf>
    <xf numFmtId="41" fontId="4" fillId="0" borderId="71" xfId="1" applyFont="1" applyFill="1" applyBorder="1" applyAlignment="1">
      <alignment horizontal="center" vertical="center" shrinkToFit="1"/>
    </xf>
    <xf numFmtId="41" fontId="5" fillId="0" borderId="71" xfId="1" applyFont="1" applyFill="1" applyBorder="1" applyAlignment="1">
      <alignment horizontal="center" vertical="center" shrinkToFit="1"/>
    </xf>
    <xf numFmtId="3" fontId="4" fillId="0" borderId="10" xfId="0" applyNumberFormat="1" applyFont="1" applyBorder="1" applyAlignment="1">
      <alignment horizontal="center" vertical="center"/>
    </xf>
    <xf numFmtId="3" fontId="4" fillId="3" borderId="12" xfId="0" applyNumberFormat="1" applyFont="1" applyFill="1" applyBorder="1" applyAlignment="1">
      <alignment horizontal="center" vertical="center"/>
    </xf>
    <xf numFmtId="3" fontId="4" fillId="0" borderId="12" xfId="0" applyNumberFormat="1" applyFont="1" applyBorder="1" applyAlignment="1">
      <alignment horizontal="center" vertical="center"/>
    </xf>
    <xf numFmtId="3" fontId="4" fillId="3" borderId="12" xfId="0" applyNumberFormat="1" applyFont="1" applyFill="1" applyBorder="1" applyAlignment="1">
      <alignment horizontal="center" vertical="center" wrapText="1"/>
    </xf>
    <xf numFmtId="17" fontId="4" fillId="3" borderId="12" xfId="0" quotePrefix="1" applyNumberFormat="1" applyFont="1" applyFill="1" applyBorder="1" applyAlignment="1">
      <alignment horizontal="center" vertical="center"/>
    </xf>
    <xf numFmtId="17" fontId="4" fillId="0" borderId="12" xfId="0" applyNumberFormat="1" applyFont="1" applyBorder="1" applyAlignment="1">
      <alignment horizontal="center" vertical="center"/>
    </xf>
    <xf numFmtId="17" fontId="4" fillId="3" borderId="1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42" fontId="4" fillId="0" borderId="0" xfId="0" applyNumberFormat="1" applyFont="1" applyAlignment="1">
      <alignment horizontal="center" vertical="center" shrinkToFit="1"/>
    </xf>
    <xf numFmtId="41" fontId="4" fillId="0" borderId="0" xfId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17" fontId="4" fillId="30" borderId="12" xfId="0" quotePrefix="1" applyNumberFormat="1" applyFont="1" applyFill="1" applyBorder="1" applyAlignment="1">
      <alignment horizontal="center" vertical="center"/>
    </xf>
    <xf numFmtId="0" fontId="4" fillId="30" borderId="0" xfId="0" applyFont="1" applyFill="1" applyAlignment="1">
      <alignment horizontal="center" vertical="center" shrinkToFit="1"/>
    </xf>
    <xf numFmtId="42" fontId="4" fillId="30" borderId="0" xfId="0" applyNumberFormat="1" applyFont="1" applyFill="1" applyAlignment="1">
      <alignment horizontal="center" vertical="center" shrinkToFit="1"/>
    </xf>
    <xf numFmtId="41" fontId="4" fillId="30" borderId="0" xfId="1" applyFont="1" applyFill="1" applyBorder="1" applyAlignment="1">
      <alignment horizontal="center" vertical="center"/>
    </xf>
    <xf numFmtId="41" fontId="4" fillId="30" borderId="6" xfId="1" applyFont="1" applyFill="1" applyBorder="1" applyAlignment="1">
      <alignment horizontal="center" vertical="center"/>
    </xf>
    <xf numFmtId="41" fontId="4" fillId="30" borderId="64" xfId="1" applyFont="1" applyFill="1" applyBorder="1" applyAlignment="1">
      <alignment horizontal="center" vertical="center"/>
    </xf>
    <xf numFmtId="3" fontId="4" fillId="30" borderId="12" xfId="0" applyNumberFormat="1" applyFont="1" applyFill="1" applyBorder="1" applyAlignment="1">
      <alignment horizontal="center" vertical="center"/>
    </xf>
    <xf numFmtId="0" fontId="4" fillId="30" borderId="41" xfId="0" applyFont="1" applyFill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17" fontId="4" fillId="30" borderId="12" xfId="0" applyNumberFormat="1" applyFont="1" applyFill="1" applyBorder="1" applyAlignment="1">
      <alignment horizontal="center" vertical="center"/>
    </xf>
    <xf numFmtId="17" fontId="4" fillId="0" borderId="73" xfId="0" quotePrefix="1" applyNumberFormat="1" applyFont="1" applyBorder="1" applyAlignment="1">
      <alignment horizontal="center" vertical="center"/>
    </xf>
    <xf numFmtId="3" fontId="4" fillId="0" borderId="73" xfId="0" applyNumberFormat="1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 shrinkToFit="1"/>
    </xf>
    <xf numFmtId="41" fontId="4" fillId="0" borderId="75" xfId="1" applyFont="1" applyFill="1" applyBorder="1" applyAlignment="1">
      <alignment horizontal="center" vertical="center"/>
    </xf>
    <xf numFmtId="41" fontId="4" fillId="3" borderId="75" xfId="1" applyFont="1" applyFill="1" applyBorder="1" applyAlignment="1">
      <alignment horizontal="center" vertical="center"/>
    </xf>
    <xf numFmtId="41" fontId="4" fillId="0" borderId="76" xfId="1" applyFont="1" applyFill="1" applyBorder="1" applyAlignment="1">
      <alignment horizontal="center" vertical="center"/>
    </xf>
    <xf numFmtId="41" fontId="4" fillId="0" borderId="77" xfId="1" applyFont="1" applyFill="1" applyBorder="1" applyAlignment="1">
      <alignment horizontal="center" vertical="center"/>
    </xf>
    <xf numFmtId="41" fontId="4" fillId="30" borderId="76" xfId="1" applyFont="1" applyFill="1" applyBorder="1" applyAlignment="1">
      <alignment horizontal="center" vertical="center"/>
    </xf>
    <xf numFmtId="41" fontId="4" fillId="30" borderId="78" xfId="1" applyFont="1" applyFill="1" applyBorder="1" applyAlignment="1">
      <alignment horizontal="center" vertical="center"/>
    </xf>
    <xf numFmtId="41" fontId="4" fillId="0" borderId="78" xfId="1" applyFont="1" applyFill="1" applyBorder="1" applyAlignment="1">
      <alignment horizontal="center" vertical="center"/>
    </xf>
    <xf numFmtId="41" fontId="4" fillId="0" borderId="79" xfId="1" applyFont="1" applyFill="1" applyBorder="1" applyAlignment="1">
      <alignment horizontal="center" vertical="center"/>
    </xf>
    <xf numFmtId="41" fontId="4" fillId="0" borderId="80" xfId="1" applyFont="1" applyFill="1" applyBorder="1" applyAlignment="1">
      <alignment horizontal="center" vertical="center"/>
    </xf>
    <xf numFmtId="41" fontId="4" fillId="0" borderId="81" xfId="1" applyFont="1" applyFill="1" applyBorder="1" applyAlignment="1">
      <alignment horizontal="center" vertical="center"/>
    </xf>
    <xf numFmtId="41" fontId="4" fillId="0" borderId="82" xfId="1" applyFont="1" applyFill="1" applyBorder="1" applyAlignment="1">
      <alignment horizontal="center" vertical="center"/>
    </xf>
    <xf numFmtId="41" fontId="4" fillId="0" borderId="83" xfId="1" applyFont="1" applyFill="1" applyBorder="1" applyAlignment="1">
      <alignment horizontal="center" vertical="center"/>
    </xf>
    <xf numFmtId="41" fontId="4" fillId="0" borderId="84" xfId="1" applyFont="1" applyFill="1" applyBorder="1" applyAlignment="1">
      <alignment horizontal="center" vertical="center"/>
    </xf>
    <xf numFmtId="41" fontId="4" fillId="30" borderId="85" xfId="1" applyFont="1" applyFill="1" applyBorder="1" applyAlignment="1">
      <alignment horizontal="center" vertical="center"/>
    </xf>
    <xf numFmtId="41" fontId="4" fillId="30" borderId="86" xfId="1" applyFont="1" applyFill="1" applyBorder="1" applyAlignment="1">
      <alignment horizontal="center" vertical="center"/>
    </xf>
    <xf numFmtId="41" fontId="4" fillId="30" borderId="87" xfId="1" applyFont="1" applyFill="1" applyBorder="1" applyAlignment="1">
      <alignment horizontal="center" vertical="center"/>
    </xf>
    <xf numFmtId="41" fontId="4" fillId="0" borderId="85" xfId="1" applyFont="1" applyFill="1" applyBorder="1" applyAlignment="1">
      <alignment horizontal="center" vertical="center"/>
    </xf>
    <xf numFmtId="41" fontId="4" fillId="0" borderId="86" xfId="1" applyFont="1" applyFill="1" applyBorder="1" applyAlignment="1">
      <alignment horizontal="center" vertical="center"/>
    </xf>
    <xf numFmtId="41" fontId="4" fillId="0" borderId="87" xfId="1" applyFont="1" applyFill="1" applyBorder="1" applyAlignment="1">
      <alignment horizontal="center" vertical="center"/>
    </xf>
    <xf numFmtId="41" fontId="4" fillId="0" borderId="88" xfId="1" applyFont="1" applyFill="1" applyBorder="1" applyAlignment="1">
      <alignment horizontal="center" vertical="center"/>
    </xf>
    <xf numFmtId="41" fontId="4" fillId="0" borderId="89" xfId="1" applyFont="1" applyFill="1" applyBorder="1" applyAlignment="1">
      <alignment horizontal="center" vertical="center"/>
    </xf>
    <xf numFmtId="41" fontId="4" fillId="0" borderId="90" xfId="1" applyFont="1" applyFill="1" applyBorder="1" applyAlignment="1">
      <alignment horizontal="center" vertical="center"/>
    </xf>
    <xf numFmtId="41" fontId="7" fillId="31" borderId="12" xfId="1" applyFont="1" applyFill="1" applyBorder="1" applyAlignment="1">
      <alignment horizontal="center" vertical="center"/>
    </xf>
    <xf numFmtId="0" fontId="0" fillId="32" borderId="0" xfId="0" applyFill="1">
      <alignment vertical="center"/>
    </xf>
    <xf numFmtId="41" fontId="4" fillId="30" borderId="13" xfId="1" applyFont="1" applyFill="1" applyBorder="1" applyAlignment="1">
      <alignment horizontal="center" vertical="center"/>
    </xf>
    <xf numFmtId="41" fontId="4" fillId="30" borderId="12" xfId="1" applyFont="1" applyFill="1" applyBorder="1" applyAlignment="1">
      <alignment horizontal="center" vertical="center"/>
    </xf>
    <xf numFmtId="41" fontId="4" fillId="30" borderId="41" xfId="1" applyFont="1" applyFill="1" applyBorder="1" applyAlignment="1">
      <alignment horizontal="center" vertical="center"/>
    </xf>
    <xf numFmtId="41" fontId="4" fillId="30" borderId="50" xfId="1" applyFont="1" applyFill="1" applyBorder="1" applyAlignment="1">
      <alignment horizontal="center" vertical="center"/>
    </xf>
    <xf numFmtId="41" fontId="4" fillId="30" borderId="54" xfId="1" applyFont="1" applyFill="1" applyBorder="1" applyAlignment="1">
      <alignment horizontal="center" vertical="center"/>
    </xf>
    <xf numFmtId="41" fontId="4" fillId="30" borderId="56" xfId="1" applyFont="1" applyFill="1" applyBorder="1" applyAlignment="1">
      <alignment horizontal="center" vertical="center"/>
    </xf>
    <xf numFmtId="0" fontId="4" fillId="30" borderId="12" xfId="0" applyFont="1" applyFill="1" applyBorder="1" applyAlignment="1">
      <alignment horizontal="center" vertical="center" shrinkToFit="1"/>
    </xf>
    <xf numFmtId="0" fontId="4" fillId="0" borderId="73" xfId="0" applyFont="1" applyBorder="1" applyAlignment="1">
      <alignment horizontal="center" vertical="center" shrinkToFit="1"/>
    </xf>
    <xf numFmtId="0" fontId="27" fillId="0" borderId="0" xfId="0" applyFont="1">
      <alignment vertical="center"/>
    </xf>
    <xf numFmtId="41" fontId="4" fillId="3" borderId="41" xfId="1" applyFont="1" applyFill="1" applyBorder="1" applyAlignment="1">
      <alignment horizontal="center" vertical="center" wrapText="1"/>
    </xf>
    <xf numFmtId="176" fontId="4" fillId="0" borderId="11" xfId="1" applyNumberFormat="1" applyFont="1" applyFill="1" applyBorder="1" applyAlignment="1">
      <alignment horizontal="center" vertical="center"/>
    </xf>
    <xf numFmtId="176" fontId="4" fillId="3" borderId="13" xfId="1" applyNumberFormat="1" applyFont="1" applyFill="1" applyBorder="1" applyAlignment="1">
      <alignment horizontal="center" vertical="center"/>
    </xf>
    <xf numFmtId="176" fontId="4" fillId="0" borderId="13" xfId="1" applyNumberFormat="1" applyFont="1" applyFill="1" applyBorder="1" applyAlignment="1">
      <alignment horizontal="center" vertical="center"/>
    </xf>
    <xf numFmtId="176" fontId="4" fillId="0" borderId="14" xfId="0" applyNumberFormat="1" applyFont="1" applyBorder="1" applyAlignment="1">
      <alignment horizontal="center" vertical="center" shrinkToFit="1"/>
    </xf>
    <xf numFmtId="176" fontId="4" fillId="3" borderId="74" xfId="1" applyNumberFormat="1" applyFont="1" applyFill="1" applyBorder="1" applyAlignment="1">
      <alignment horizontal="center" vertical="center"/>
    </xf>
    <xf numFmtId="176" fontId="4" fillId="0" borderId="76" xfId="1" applyNumberFormat="1" applyFont="1" applyFill="1" applyBorder="1" applyAlignment="1">
      <alignment horizontal="center" vertical="center"/>
    </xf>
    <xf numFmtId="176" fontId="4" fillId="30" borderId="76" xfId="1" applyNumberFormat="1" applyFont="1" applyFill="1" applyBorder="1" applyAlignment="1">
      <alignment horizontal="center" vertical="center"/>
    </xf>
    <xf numFmtId="176" fontId="4" fillId="3" borderId="14" xfId="0" applyNumberFormat="1" applyFont="1" applyFill="1" applyBorder="1" applyAlignment="1">
      <alignment horizontal="center" vertical="center" shrinkToFit="1"/>
    </xf>
    <xf numFmtId="176" fontId="4" fillId="30" borderId="13" xfId="1" applyNumberFormat="1" applyFont="1" applyFill="1" applyBorder="1" applyAlignment="1">
      <alignment horizontal="center" vertical="center"/>
    </xf>
    <xf numFmtId="17" fontId="4" fillId="3" borderId="12" xfId="1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17" fontId="4" fillId="0" borderId="12" xfId="1" applyNumberFormat="1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41" fontId="28" fillId="0" borderId="50" xfId="1" applyFont="1" applyFill="1" applyBorder="1" applyAlignment="1">
      <alignment horizontal="center" vertical="center"/>
    </xf>
    <xf numFmtId="41" fontId="4" fillId="0" borderId="0" xfId="0" applyNumberFormat="1" applyFont="1" applyAlignment="1">
      <alignment horizontal="center" vertical="center"/>
    </xf>
    <xf numFmtId="0" fontId="2" fillId="0" borderId="46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/>
    </xf>
    <xf numFmtId="0" fontId="2" fillId="29" borderId="5" xfId="0" applyFont="1" applyFill="1" applyBorder="1" applyAlignment="1">
      <alignment horizontal="center" vertical="center" wrapText="1"/>
    </xf>
    <xf numFmtId="0" fontId="2" fillId="29" borderId="9" xfId="0" applyFont="1" applyFill="1" applyBorder="1" applyAlignment="1">
      <alignment horizontal="center" vertical="center"/>
    </xf>
    <xf numFmtId="0" fontId="2" fillId="29" borderId="9" xfId="0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horizontal="center" vertical="center" wrapText="1"/>
    </xf>
    <xf numFmtId="0" fontId="2" fillId="27" borderId="9" xfId="0" applyFont="1" applyFill="1" applyBorder="1" applyAlignment="1">
      <alignment horizontal="center" vertical="center" wrapText="1"/>
    </xf>
    <xf numFmtId="0" fontId="2" fillId="28" borderId="44" xfId="0" applyFont="1" applyFill="1" applyBorder="1" applyAlignment="1">
      <alignment horizontal="center" vertical="center" wrapText="1"/>
    </xf>
    <xf numFmtId="0" fontId="2" fillId="28" borderId="45" xfId="0" applyFont="1" applyFill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29" borderId="5" xfId="0" applyFont="1" applyFill="1" applyBorder="1" applyAlignment="1">
      <alignment horizontal="center" vertical="center"/>
    </xf>
    <xf numFmtId="0" fontId="2" fillId="29" borderId="44" xfId="0" applyFont="1" applyFill="1" applyBorder="1" applyAlignment="1">
      <alignment horizontal="center" vertical="center"/>
    </xf>
    <xf numFmtId="0" fontId="2" fillId="29" borderId="45" xfId="0" applyFont="1" applyFill="1" applyBorder="1" applyAlignment="1">
      <alignment horizontal="center" vertical="center"/>
    </xf>
    <xf numFmtId="0" fontId="26" fillId="2" borderId="66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" fillId="0" borderId="25" xfId="0" applyFont="1" applyBorder="1" applyAlignment="1">
      <alignment horizontal="center" vertical="center" wrapText="1"/>
    </xf>
    <xf numFmtId="0" fontId="2" fillId="29" borderId="7" xfId="0" applyFont="1" applyFill="1" applyBorder="1" applyAlignment="1">
      <alignment horizontal="center" vertical="center"/>
    </xf>
    <xf numFmtId="0" fontId="2" fillId="29" borderId="8" xfId="0" applyFont="1" applyFill="1" applyBorder="1" applyAlignment="1">
      <alignment horizontal="center" vertical="center"/>
    </xf>
    <xf numFmtId="41" fontId="4" fillId="0" borderId="21" xfId="1" applyFont="1" applyFill="1" applyBorder="1" applyAlignment="1">
      <alignment horizontal="center" vertical="center" shrinkToFit="1"/>
    </xf>
    <xf numFmtId="41" fontId="4" fillId="0" borderId="67" xfId="1" applyFont="1" applyFill="1" applyBorder="1" applyAlignment="1">
      <alignment horizontal="center" vertical="center" shrinkToFit="1"/>
    </xf>
    <xf numFmtId="42" fontId="2" fillId="4" borderId="0" xfId="2" applyFont="1" applyFill="1" applyBorder="1" applyAlignment="1">
      <alignment horizontal="center" vertical="center" shrinkToFit="1"/>
    </xf>
    <xf numFmtId="41" fontId="4" fillId="0" borderId="0" xfId="1" applyFont="1" applyFill="1" applyBorder="1" applyAlignment="1">
      <alignment horizontal="center" vertical="center" shrinkToFit="1"/>
    </xf>
    <xf numFmtId="41" fontId="4" fillId="0" borderId="30" xfId="1" applyFont="1" applyFill="1" applyBorder="1" applyAlignment="1">
      <alignment horizontal="center" vertical="center" shrinkToFit="1"/>
    </xf>
    <xf numFmtId="41" fontId="5" fillId="0" borderId="22" xfId="1" applyFont="1" applyFill="1" applyBorder="1" applyAlignment="1">
      <alignment horizontal="center" vertical="center" shrinkToFit="1"/>
    </xf>
    <xf numFmtId="41" fontId="5" fillId="0" borderId="26" xfId="1" applyFont="1" applyFill="1" applyBorder="1" applyAlignment="1">
      <alignment horizontal="center" vertical="center" shrinkToFit="1"/>
    </xf>
    <xf numFmtId="41" fontId="4" fillId="2" borderId="51" xfId="0" applyNumberFormat="1" applyFont="1" applyFill="1" applyBorder="1" applyAlignment="1">
      <alignment horizontal="center" vertical="center"/>
    </xf>
    <xf numFmtId="41" fontId="4" fillId="2" borderId="52" xfId="0" applyNumberFormat="1" applyFont="1" applyFill="1" applyBorder="1" applyAlignment="1">
      <alignment horizontal="center" vertical="center"/>
    </xf>
    <xf numFmtId="41" fontId="4" fillId="0" borderId="23" xfId="1" applyFont="1" applyFill="1" applyBorder="1" applyAlignment="1">
      <alignment horizontal="center" vertical="center" shrinkToFit="1"/>
    </xf>
    <xf numFmtId="41" fontId="4" fillId="0" borderId="28" xfId="1" applyFont="1" applyFill="1" applyBorder="1" applyAlignment="1">
      <alignment horizontal="center" vertical="center" shrinkToFit="1"/>
    </xf>
    <xf numFmtId="0" fontId="26" fillId="2" borderId="67" xfId="0" applyFont="1" applyFill="1" applyBorder="1" applyAlignment="1">
      <alignment horizontal="center" vertical="center" shrinkToFit="1"/>
    </xf>
    <xf numFmtId="0" fontId="2" fillId="0" borderId="21" xfId="0" applyFont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 wrapText="1"/>
    </xf>
    <xf numFmtId="0" fontId="2" fillId="0" borderId="67" xfId="0" applyFont="1" applyBorder="1" applyAlignment="1">
      <alignment horizontal="center" vertical="center" wrapText="1"/>
    </xf>
    <xf numFmtId="0" fontId="2" fillId="0" borderId="95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28" borderId="91" xfId="0" applyFont="1" applyFill="1" applyBorder="1" applyAlignment="1">
      <alignment horizontal="center" vertical="center" wrapText="1"/>
    </xf>
    <xf numFmtId="0" fontId="2" fillId="28" borderId="94" xfId="0" applyFont="1" applyFill="1" applyBorder="1" applyAlignment="1">
      <alignment horizontal="center" vertical="center" wrapText="1"/>
    </xf>
    <xf numFmtId="0" fontId="2" fillId="0" borderId="92" xfId="0" applyFont="1" applyBorder="1" applyAlignment="1">
      <alignment horizontal="center" vertical="center"/>
    </xf>
    <xf numFmtId="0" fontId="2" fillId="0" borderId="93" xfId="0" applyFont="1" applyBorder="1" applyAlignment="1">
      <alignment horizontal="center" vertical="center"/>
    </xf>
  </cellXfs>
  <cellStyles count="52">
    <cellStyle name="20% - 강조색1 2" xfId="4" xr:uid="{00000000-0005-0000-0000-000000000000}"/>
    <cellStyle name="20% - 강조색2 2" xfId="5" xr:uid="{00000000-0005-0000-0000-000001000000}"/>
    <cellStyle name="20% - 강조색3 2" xfId="6" xr:uid="{00000000-0005-0000-0000-000002000000}"/>
    <cellStyle name="20% - 강조색4 2" xfId="7" xr:uid="{00000000-0005-0000-0000-000003000000}"/>
    <cellStyle name="20% - 강조색5 2" xfId="8" xr:uid="{00000000-0005-0000-0000-000004000000}"/>
    <cellStyle name="20% - 강조색6 2" xfId="9" xr:uid="{00000000-0005-0000-0000-000005000000}"/>
    <cellStyle name="40% - 강조색1 2" xfId="10" xr:uid="{00000000-0005-0000-0000-000006000000}"/>
    <cellStyle name="40% - 강조색2 2" xfId="11" xr:uid="{00000000-0005-0000-0000-000007000000}"/>
    <cellStyle name="40% - 강조색3 2" xfId="12" xr:uid="{00000000-0005-0000-0000-000008000000}"/>
    <cellStyle name="40% - 강조색4 2" xfId="13" xr:uid="{00000000-0005-0000-0000-000009000000}"/>
    <cellStyle name="40% - 강조색5 2" xfId="14" xr:uid="{00000000-0005-0000-0000-00000A000000}"/>
    <cellStyle name="40% - 강조색6 2" xfId="15" xr:uid="{00000000-0005-0000-0000-00000B000000}"/>
    <cellStyle name="60% - 강조색1 2" xfId="16" xr:uid="{00000000-0005-0000-0000-00000C000000}"/>
    <cellStyle name="60% - 강조색2 2" xfId="17" xr:uid="{00000000-0005-0000-0000-00000D000000}"/>
    <cellStyle name="60% - 강조색3 2" xfId="18" xr:uid="{00000000-0005-0000-0000-00000E000000}"/>
    <cellStyle name="60% - 강조색4 2" xfId="19" xr:uid="{00000000-0005-0000-0000-00000F000000}"/>
    <cellStyle name="60% - 강조색5 2" xfId="20" xr:uid="{00000000-0005-0000-0000-000010000000}"/>
    <cellStyle name="60% - 강조색6 2" xfId="21" xr:uid="{00000000-0005-0000-0000-000011000000}"/>
    <cellStyle name="강조색1 2" xfId="22" xr:uid="{00000000-0005-0000-0000-000012000000}"/>
    <cellStyle name="강조색2 2" xfId="23" xr:uid="{00000000-0005-0000-0000-000013000000}"/>
    <cellStyle name="강조색3 2" xfId="24" xr:uid="{00000000-0005-0000-0000-000014000000}"/>
    <cellStyle name="강조색4 2" xfId="25" xr:uid="{00000000-0005-0000-0000-000015000000}"/>
    <cellStyle name="강조색5 2" xfId="26" xr:uid="{00000000-0005-0000-0000-000016000000}"/>
    <cellStyle name="강조색6 2" xfId="27" xr:uid="{00000000-0005-0000-0000-000017000000}"/>
    <cellStyle name="경고문 2" xfId="28" xr:uid="{00000000-0005-0000-0000-000018000000}"/>
    <cellStyle name="계산 2" xfId="29" xr:uid="{00000000-0005-0000-0000-000019000000}"/>
    <cellStyle name="나쁨 2" xfId="30" xr:uid="{00000000-0005-0000-0000-00001A000000}"/>
    <cellStyle name="메모 2" xfId="31" xr:uid="{00000000-0005-0000-0000-00001B000000}"/>
    <cellStyle name="보통 2" xfId="32" xr:uid="{00000000-0005-0000-0000-00001C000000}"/>
    <cellStyle name="설명 텍스트 2" xfId="33" xr:uid="{00000000-0005-0000-0000-00001D000000}"/>
    <cellStyle name="셀 확인 2" xfId="34" xr:uid="{00000000-0005-0000-0000-00001E000000}"/>
    <cellStyle name="쉼표 [0]" xfId="1" builtinId="6"/>
    <cellStyle name="쉼표 [0] 2" xfId="36" xr:uid="{00000000-0005-0000-0000-000020000000}"/>
    <cellStyle name="쉼표 [0] 3" xfId="35" xr:uid="{00000000-0005-0000-0000-000021000000}"/>
    <cellStyle name="연결된 셀 2" xfId="37" xr:uid="{00000000-0005-0000-0000-000022000000}"/>
    <cellStyle name="요약 2" xfId="38" xr:uid="{00000000-0005-0000-0000-000023000000}"/>
    <cellStyle name="입력 2" xfId="39" xr:uid="{00000000-0005-0000-0000-000024000000}"/>
    <cellStyle name="제목 1 2" xfId="41" xr:uid="{00000000-0005-0000-0000-000025000000}"/>
    <cellStyle name="제목 2 2" xfId="42" xr:uid="{00000000-0005-0000-0000-000026000000}"/>
    <cellStyle name="제목 3 2" xfId="43" xr:uid="{00000000-0005-0000-0000-000027000000}"/>
    <cellStyle name="제목 4 2" xfId="44" xr:uid="{00000000-0005-0000-0000-000028000000}"/>
    <cellStyle name="제목 5" xfId="40" xr:uid="{00000000-0005-0000-0000-000029000000}"/>
    <cellStyle name="좋음 2" xfId="45" xr:uid="{00000000-0005-0000-0000-00002A000000}"/>
    <cellStyle name="출력 2" xfId="46" xr:uid="{00000000-0005-0000-0000-00002B000000}"/>
    <cellStyle name="통화 [0]" xfId="2" builtinId="7"/>
    <cellStyle name="통화 [0] 2" xfId="47" xr:uid="{00000000-0005-0000-0000-00002D000000}"/>
    <cellStyle name="표준" xfId="0" builtinId="0"/>
    <cellStyle name="표준 2" xfId="48" xr:uid="{00000000-0005-0000-0000-00002F000000}"/>
    <cellStyle name="표준 3" xfId="49" xr:uid="{00000000-0005-0000-0000-000030000000}"/>
    <cellStyle name="표준 4" xfId="50" xr:uid="{00000000-0005-0000-0000-000031000000}"/>
    <cellStyle name="표준 5" xfId="51" xr:uid="{00000000-0005-0000-0000-000032000000}"/>
    <cellStyle name="표준 6" xfId="3" xr:uid="{00000000-0005-0000-0000-000033000000}"/>
  </cellStyles>
  <dxfs count="78"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99"/>
      <color rgb="FF02255E"/>
      <color rgb="FFCCFFCC"/>
      <color rgb="FFC0C0C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eJi Choi" id="{6FDF2A2D-6AF8-463D-B815-36259523B765}" userId="S::HeeJi.Choi@johnsonelectric.com::25b8a739-2c2b-46f4-b6fc-c36b0c52dc57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I67" dT="2026-04-02T01:14:15.49" personId="{6FDF2A2D-6AF8-463D-B815-36259523B765}" id="{0E8C1593-3492-4EBA-AD45-8AC59BB01528}">
    <text>롤링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I62" dT="2026-04-06T01:01:56.75" personId="{6FDF2A2D-6AF8-463D-B815-36259523B765}" id="{FD6041EB-DAAD-47C1-9F1D-BD50C3D3F8EB}">
    <text>흐름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G74" dT="2026-04-06T01:08:44.58" personId="{6FDF2A2D-6AF8-463D-B815-36259523B765}" id="{99C62F2E-C807-4379-AC21-0CDD1D54B15D}">
    <text>롤링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I45" dT="2026-03-06T02:12:33.78" personId="{6FDF2A2D-6AF8-463D-B815-36259523B765}" id="{ABE6B3A2-3AE1-49B2-BB8A-C5C0335CD506}">
    <text xml:space="preserve">흐름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I30" dT="2026-07-07T02:16:41.73" personId="{6FDF2A2D-6AF8-463D-B815-36259523B765}" id="{609459AE-8A32-47B4-B940-2874C82B5ADB}">
    <text>카본?</text>
  </threadedComment>
  <threadedComment ref="AI62" dT="2026-04-07T01:33:03.34" personId="{6FDF2A2D-6AF8-463D-B815-36259523B765}" id="{695CCC14-BCA6-4E9D-A623-51CEEA8A7CC9}">
    <text xml:space="preserve">흐름
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I60" dT="2026-07-08T02:02:49.78" personId="{6FDF2A2D-6AF8-463D-B815-36259523B765}" id="{EEE48437-9DFF-47DF-9E5A-91CC4ECFB5DA}">
    <text>노게이지</text>
  </threadedComment>
  <threadedComment ref="AI62" dT="2026-04-08T05:21:43.34" personId="{6FDF2A2D-6AF8-463D-B815-36259523B765}" id="{60B4AFC5-70AC-4F80-808F-AB9A75D709B9}">
    <text>흐름</text>
  </threadedComment>
  <threadedComment ref="AI67" dT="2026-05-08T02:19:51.95" personId="{6FDF2A2D-6AF8-463D-B815-36259523B765}" id="{70898B3B-9E9A-4331-A844-7508E5A283C5}">
    <text>롤링터짐 4
터짐 1</text>
  </threadedComment>
  <threadedComment ref="AI68" dT="2026-05-08T02:27:33.28" personId="{6FDF2A2D-6AF8-463D-B815-36259523B765}" id="{0F5EF6C8-4572-4046-A75B-50E7D0A46ABE}">
    <text>터짐 1</text>
  </threadedComment>
  <threadedComment ref="AI74" dT="2026-05-08T02:19:51.95" personId="{6FDF2A2D-6AF8-463D-B815-36259523B765}" id="{C5D68E97-B0D0-4C42-A7CA-A6856F54C7B9}">
    <text xml:space="preserve">롤링터짐 2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I30" dT="2026-07-09T00:04:56.70" personId="{6FDF2A2D-6AF8-463D-B815-36259523B765}" id="{02B68672-5836-4150-9F1B-ECA342374B4F}">
    <text>카본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AI76" dT="2026-03-10T01:40:34.16" personId="{6FDF2A2D-6AF8-463D-B815-36259523B765}" id="{420535A8-FF0D-4891-8193-1B15B5E7CF62}">
    <text>마킹불량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I9" dT="2026-06-11T01:04:43.17" personId="{6FDF2A2D-6AF8-463D-B815-36259523B765}" id="{6A96A19D-3B08-443D-8749-893D930D9B83}">
    <text xml:space="preserve">안착불량
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AI45" dT="2026-07-13T01:28:06.41" personId="{6FDF2A2D-6AF8-463D-B815-36259523B765}" id="{AC385DE6-0FF9-4348-8CAB-5072328D7D56}">
    <text>흐름</text>
  </threadedComment>
  <threadedComment ref="AI74" dT="2026-06-14T23:53:41.59" personId="{6FDF2A2D-6AF8-463D-B815-36259523B765}" id="{90E3DF89-6B43-4813-AB33-A3F2B9216274}">
    <text>마킹불량</text>
  </threadedComment>
  <threadedComment ref="AI76" dT="2026-06-14T23:49:38.14" personId="{6FDF2A2D-6AF8-463D-B815-36259523B765}" id="{3FAFB71F-3F02-421D-9A23-A4A03EE08987}">
    <text xml:space="preserve">마킹불량
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AI61" dT="2026-03-13T01:21:27.62" personId="{6FDF2A2D-6AF8-463D-B815-36259523B765}" id="{1DE91BB4-1093-4529-8744-08EA5A312C98}">
    <text>흐름</text>
  </threadedComment>
  <threadedComment ref="AI67" dT="2026-03-13T01:18:21.93" personId="{6FDF2A2D-6AF8-463D-B815-36259523B765}" id="{9109E46B-59B8-4254-843E-679DFA9947DE}">
    <text xml:space="preserve">롤링불량
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AI67" dT="2026-05-14T01:20:59.91" personId="{6FDF2A2D-6AF8-463D-B815-36259523B765}" id="{CD63323C-F4B6-4B91-A61D-209F450A919E}">
    <text>터짐</text>
  </threadedComment>
  <threadedComment ref="AI74" dT="2026-07-14T00:58:50.24" personId="{6FDF2A2D-6AF8-463D-B815-36259523B765}" id="{91300408-EB21-4819-AD92-EC5ABFB610D9}">
    <text>마킹불량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AI61" dT="2026-03-17T04:17:16.87" personId="{6FDF2A2D-6AF8-463D-B815-36259523B765}" id="{C7E65D65-1ACD-4B15-B3D1-F8C2F28822ED}">
    <text xml:space="preserve">흐름
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AI60" dT="2026-06-18T00:39:19.30" personId="{6FDF2A2D-6AF8-463D-B815-36259523B765}" id="{28D70A84-3C92-43AC-A3E5-7A0618E9FECE}">
    <text>노게이지</text>
  </threadedComment>
  <threadedComment ref="AI67" dT="2026-04-20T02:01:45.85" personId="{6FDF2A2D-6AF8-463D-B815-36259523B765}" id="{DAA72897-FD30-4535-9D55-EF53C7694BB5}">
    <text>롤링</text>
  </threadedComment>
  <threadedComment ref="AI74" dT="2026-04-20T02:01:34.42" personId="{6FDF2A2D-6AF8-463D-B815-36259523B765}" id="{F288F1A0-832D-442C-83AA-8A3625DAD034}">
    <text>마킹불량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AI61" dT="2026-05-19T06:37:12.02" personId="{6FDF2A2D-6AF8-463D-B815-36259523B765}" id="{87E7E555-8A6A-4F88-9A12-F0E82FC665CD}">
    <text>흐름</text>
  </threadedComment>
  <threadedComment ref="AI67" dT="2026-05-19T06:36:39.99" personId="{6FDF2A2D-6AF8-463D-B815-36259523B765}" id="{63C47E8F-71D9-49AD-B9EC-5541F99E1E16}">
    <text>롤링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AI67" dT="2026-03-20T00:24:29.45" personId="{6FDF2A2D-6AF8-463D-B815-36259523B765}" id="{F8561E72-7709-47CA-A158-CC4F5D8EA2EC}">
    <text xml:space="preserve">터짐 5
롤링 4
</text>
  </threadedComment>
  <threadedComment ref="AI76" dT="2026-05-20T02:06:57.29" personId="{6FDF2A2D-6AF8-463D-B815-36259523B765}" id="{20112CBC-449C-46AF-B5F6-A2A1009015F8}">
    <text>동심도 불량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AI9" dT="2026-04-21T02:40:51.28" personId="{6FDF2A2D-6AF8-463D-B815-36259523B765}" id="{D900631E-1F5A-455F-A293-A0BD2FBADAE1}">
    <text>코킹?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AI67" dT="2026-02-23T02:23:03.63" personId="{6FDF2A2D-6AF8-463D-B815-36259523B765}" id="{D57D619B-9ABE-40ED-A22B-196C6F039AB1}">
    <text xml:space="preserve">롤링 1
</text>
  </threadedComment>
  <threadedComment ref="AI74" dT="2026-02-23T02:23:45.42" personId="{6FDF2A2D-6AF8-463D-B815-36259523B765}" id="{EDC4B347-88D4-4642-AC45-55FF420D4EFC}">
    <text>롤링터짐 1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AJ74" dT="2026-03-25T00:18:10.47" personId="{6FDF2A2D-6AF8-463D-B815-36259523B765}" id="{9AC6F2C5-6791-4EF9-9DF9-8FBC9C3A51EC}">
    <text>롤링불량 뜯김</text>
  </threadedComment>
</ThreadedComments>
</file>

<file path=xl/threadedComments/threadedComment20.xml><?xml version="1.0" encoding="utf-8"?>
<ThreadedComments xmlns="http://schemas.microsoft.com/office/spreadsheetml/2018/threadedcomments" xmlns:x="http://schemas.openxmlformats.org/spreadsheetml/2006/main">
  <threadedComment ref="AI61" dT="2026-06-26T00:31:56.58" personId="{6FDF2A2D-6AF8-463D-B815-36259523B765}" id="{CC65401B-01CC-4F73-86FF-1AB149ADD158}">
    <text>흐름</text>
  </threadedComment>
  <threadedComment ref="AI67" dT="2026-05-26T04:47:19.60" personId="{6FDF2A2D-6AF8-463D-B815-36259523B765}" id="{3CD90988-7744-4469-94A7-AC2F7E026BB3}">
    <text>롤링</text>
  </threadedComment>
</ThreadedComments>
</file>

<file path=xl/threadedComments/threadedComment21.xml><?xml version="1.0" encoding="utf-8"?>
<ThreadedComments xmlns="http://schemas.microsoft.com/office/spreadsheetml/2018/threadedcomments" xmlns:x="http://schemas.openxmlformats.org/spreadsheetml/2006/main">
  <threadedComment ref="AI61" dT="2026-03-27T02:00:51.98" personId="{6FDF2A2D-6AF8-463D-B815-36259523B765}" id="{AA1D8270-64E1-4955-A9BD-807441F61755}">
    <text xml:space="preserve">흐름
</text>
  </threadedComment>
  <threadedComment ref="AI67" dT="2026-02-27T00:48:52.78" personId="{6FDF2A2D-6AF8-463D-B815-36259523B765}" id="{7C44A9C4-9F96-491A-853F-F0322E7C87BA}">
    <text>롤링</text>
  </threadedComment>
</ThreadedComments>
</file>

<file path=xl/threadedComments/threadedComment22.xml><?xml version="1.0" encoding="utf-8"?>
<ThreadedComments xmlns="http://schemas.microsoft.com/office/spreadsheetml/2018/threadedcomments" xmlns:x="http://schemas.openxmlformats.org/spreadsheetml/2006/main">
  <threadedComment ref="AI61" dT="2026-05-28T01:30:26.58" personId="{6FDF2A2D-6AF8-463D-B815-36259523B765}" id="{543E9D20-9B39-4958-AC9F-9FE0537758D9}">
    <text>흐름</text>
  </threadedComment>
</ThreadedComments>
</file>

<file path=xl/threadedComments/threadedComment23.xml><?xml version="1.0" encoding="utf-8"?>
<ThreadedComments xmlns="http://schemas.microsoft.com/office/spreadsheetml/2018/threadedcomments" xmlns:x="http://schemas.openxmlformats.org/spreadsheetml/2006/main">
  <threadedComment ref="AI48" dT="2026-03-30T00:53:17.40" personId="{6FDF2A2D-6AF8-463D-B815-36259523B765}" id="{D44629B5-BF7D-44B8-A490-5415F66E1097}">
    <text xml:space="preserve">흐름
</text>
  </threadedComment>
  <threadedComment ref="AI61" dT="2026-05-29T00:20:12.94" personId="{6FDF2A2D-6AF8-463D-B815-36259523B765}" id="{3D6D6BEB-6AEB-4E3B-8084-7080F409ACD5}">
    <text xml:space="preserve">흐름
</text>
  </threadedComment>
</ThreadedComments>
</file>

<file path=xl/threadedComments/threadedComment24.xml><?xml version="1.0" encoding="utf-8"?>
<ThreadedComments xmlns="http://schemas.microsoft.com/office/spreadsheetml/2018/threadedcomments" xmlns:x="http://schemas.openxmlformats.org/spreadsheetml/2006/main">
  <threadedComment ref="AI45" dT="2026-06-01T00:33:32.40" personId="{6FDF2A2D-6AF8-463D-B815-36259523B765}" id="{6C3F6457-2298-4F04-AB41-304BF7BF0242}">
    <text>흐름</text>
  </threadedComment>
  <threadedComment ref="AI61" dT="2026-06-01T00:37:39.99" personId="{6FDF2A2D-6AF8-463D-B815-36259523B765}" id="{D7638D06-77B4-4461-97D3-DD65B9C519D5}">
    <text>흐름</text>
  </threadedComment>
</ThreadedComments>
</file>

<file path=xl/threadedComments/threadedComment25.xml><?xml version="1.0" encoding="utf-8"?>
<ThreadedComments xmlns="http://schemas.microsoft.com/office/spreadsheetml/2018/threadedcomments" xmlns:x="http://schemas.openxmlformats.org/spreadsheetml/2006/main">
  <threadedComment ref="AI38" dT="2026-05-04T02:09:13.50" personId="{6FDF2A2D-6AF8-463D-B815-36259523B765}" id="{017B1552-144C-4B9A-B87D-0F2B1AE6BECD}">
    <text>청음</text>
  </threadedComment>
  <threadedComment ref="AI60" dT="2026-05-04T02:05:49.48" personId="{6FDF2A2D-6AF8-463D-B815-36259523B765}" id="{FF67F569-DA6E-4946-8528-A7385A879777}">
    <text xml:space="preserve">노게이지
</text>
  </threadedComment>
  <threadedComment ref="AI61" dT="2026-03-31T00:29:00.26" personId="{6FDF2A2D-6AF8-463D-B815-36259523B765}" id="{9EA5FF4D-DDAC-4B8A-AD17-EB7DE7FB8BB2}">
    <text xml:space="preserve">흐름
</text>
  </threadedComment>
  <threadedComment ref="AI67" dT="2026-03-31T00:30:12.68" personId="{6FDF2A2D-6AF8-463D-B815-36259523B765}" id="{780F3F7B-7228-40E0-ADB0-C4DBB79D427D}">
    <text>롤링5
터짐1</text>
  </threadedComment>
  <threadedComment ref="AI74" dT="2026-03-31T00:33:34.35" personId="{6FDF2A2D-6AF8-463D-B815-36259523B765}" id="{8BB5CEE5-68DD-4663-85D1-49F26FF451EC}">
    <text xml:space="preserve">롤링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6.bin"/><Relationship Id="rId4" Type="http://schemas.microsoft.com/office/2017/10/relationships/threadedComment" Target="../threadedComments/threadedComment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7.bin"/><Relationship Id="rId4" Type="http://schemas.microsoft.com/office/2017/10/relationships/threadedComment" Target="../threadedComments/threadedComment1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8.bin"/><Relationship Id="rId4" Type="http://schemas.microsoft.com/office/2017/10/relationships/threadedComment" Target="../threadedComments/threadedComment1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9.bin"/><Relationship Id="rId4" Type="http://schemas.microsoft.com/office/2017/10/relationships/threadedComment" Target="../threadedComments/threadedComment1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0.bin"/><Relationship Id="rId4" Type="http://schemas.microsoft.com/office/2017/10/relationships/threadedComment" Target="../threadedComments/threadedComment17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1.bin"/><Relationship Id="rId4" Type="http://schemas.microsoft.com/office/2017/10/relationships/threadedComment" Target="../threadedComments/threadedComment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19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20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21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22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23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9.bin"/><Relationship Id="rId4" Type="http://schemas.microsoft.com/office/2017/10/relationships/threadedComment" Target="../threadedComments/threadedComment2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30.bin"/><Relationship Id="rId4" Type="http://schemas.microsoft.com/office/2017/10/relationships/threadedComment" Target="../threadedComments/threadedComment2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 filterMode="1">
    <pageSetUpPr fitToPage="1"/>
  </sheetPr>
  <dimension ref="A1:AM103"/>
  <sheetViews>
    <sheetView showGridLines="0" zoomScale="85" zoomScaleNormal="85" workbookViewId="0">
      <pane ySplit="5" topLeftCell="A19" activePane="bottomLeft" state="frozen"/>
      <selection activeCell="P19" sqref="P19"/>
      <selection pane="bottomLeft"/>
    </sheetView>
  </sheetViews>
  <sheetFormatPr defaultColWidth="9" defaultRowHeight="16.5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15" width="8.75"/>
    <col min="16" max="20" width="9" customWidth="1"/>
    <col min="21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5" customHeight="1" thickBot="1">
      <c r="A1" s="37" t="s">
        <v>13</v>
      </c>
      <c r="B1" s="168">
        <f>H97</f>
        <v>38395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4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5" customHeight="1" thickBot="1">
      <c r="A2" s="37" t="s">
        <v>14</v>
      </c>
      <c r="B2" s="173">
        <f>I97</f>
        <v>12</v>
      </c>
      <c r="C2" s="174"/>
      <c r="D2" s="75"/>
      <c r="E2" s="71"/>
      <c r="F2" s="2"/>
      <c r="G2" s="2"/>
      <c r="H2" s="171"/>
      <c r="I2" s="171"/>
      <c r="J2" s="171"/>
      <c r="K2" s="3"/>
      <c r="L2" s="4">
        <f t="shared" ref="L2:AK2" si="0">SUBTOTAL(9,L6:L96)</f>
        <v>3</v>
      </c>
      <c r="M2" s="4">
        <f t="shared" si="0"/>
        <v>1</v>
      </c>
      <c r="N2" s="4">
        <f t="shared" si="0"/>
        <v>0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39">
        <f t="shared" si="0"/>
        <v>0</v>
      </c>
      <c r="U2" s="5">
        <f t="shared" si="0"/>
        <v>1</v>
      </c>
      <c r="V2" s="5">
        <f t="shared" si="0"/>
        <v>1</v>
      </c>
      <c r="W2" s="5">
        <f t="shared" si="0"/>
        <v>0</v>
      </c>
      <c r="X2" s="5">
        <f t="shared" si="0"/>
        <v>0</v>
      </c>
      <c r="Y2" s="5">
        <f t="shared" si="0"/>
        <v>1</v>
      </c>
      <c r="Z2" s="5">
        <f t="shared" si="0"/>
        <v>0</v>
      </c>
      <c r="AA2" s="5">
        <f t="shared" si="0"/>
        <v>0</v>
      </c>
      <c r="AB2" s="5">
        <f t="shared" si="0"/>
        <v>1</v>
      </c>
      <c r="AC2" s="5">
        <f t="shared" si="0"/>
        <v>3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0</v>
      </c>
      <c r="AH2" s="5">
        <f t="shared" si="0"/>
        <v>0</v>
      </c>
      <c r="AI2" s="5">
        <f t="shared" si="0"/>
        <v>1</v>
      </c>
      <c r="AJ2" s="5">
        <f t="shared" si="0"/>
        <v>0</v>
      </c>
      <c r="AK2" s="59">
        <f t="shared" si="0"/>
        <v>0</v>
      </c>
      <c r="AL2" s="62">
        <f>SUBTOTAL(9,AL6:AL74)</f>
        <v>12</v>
      </c>
      <c r="AM2" s="175"/>
    </row>
    <row r="3" spans="1:39" customFormat="1" ht="22.5" customHeight="1" thickBot="1">
      <c r="A3" s="38" t="s">
        <v>15</v>
      </c>
      <c r="B3" s="177">
        <f>IF(ISERROR(B2/(B2+B1)*1000000),"",(B2/(B2+B1)*1000000))</f>
        <v>312.4430442367277</v>
      </c>
      <c r="C3" s="178"/>
      <c r="D3" s="73"/>
      <c r="E3" s="72"/>
      <c r="F3" s="32"/>
      <c r="G3" s="32"/>
      <c r="H3" s="172"/>
      <c r="I3" s="172"/>
      <c r="J3" s="172"/>
      <c r="K3" s="6"/>
      <c r="L3" s="7">
        <f t="shared" ref="L3:AK3" si="1">SUM(L6:L96)</f>
        <v>3</v>
      </c>
      <c r="M3" s="7">
        <f t="shared" si="1"/>
        <v>1</v>
      </c>
      <c r="N3" s="7">
        <f t="shared" si="1"/>
        <v>0</v>
      </c>
      <c r="O3" s="7">
        <f t="shared" si="1"/>
        <v>0</v>
      </c>
      <c r="P3" s="7">
        <f t="shared" si="1"/>
        <v>0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40">
        <f t="shared" si="1"/>
        <v>0</v>
      </c>
      <c r="U3" s="8">
        <f t="shared" si="1"/>
        <v>1</v>
      </c>
      <c r="V3" s="8">
        <f t="shared" si="1"/>
        <v>1</v>
      </c>
      <c r="W3" s="8">
        <f t="shared" si="1"/>
        <v>0</v>
      </c>
      <c r="X3" s="8">
        <f t="shared" si="1"/>
        <v>0</v>
      </c>
      <c r="Y3" s="8">
        <f t="shared" si="1"/>
        <v>1</v>
      </c>
      <c r="Z3" s="8">
        <f t="shared" si="1"/>
        <v>0</v>
      </c>
      <c r="AA3" s="8">
        <f t="shared" si="1"/>
        <v>0</v>
      </c>
      <c r="AB3" s="8">
        <f t="shared" si="1"/>
        <v>1</v>
      </c>
      <c r="AC3" s="8">
        <f t="shared" si="1"/>
        <v>3</v>
      </c>
      <c r="AD3" s="8">
        <f t="shared" si="1"/>
        <v>0</v>
      </c>
      <c r="AE3" s="8">
        <f t="shared" si="1"/>
        <v>0</v>
      </c>
      <c r="AF3" s="8">
        <f t="shared" si="1"/>
        <v>0</v>
      </c>
      <c r="AG3" s="8">
        <f t="shared" si="1"/>
        <v>0</v>
      </c>
      <c r="AH3" s="8">
        <f t="shared" si="1"/>
        <v>0</v>
      </c>
      <c r="AI3" s="8">
        <f t="shared" si="1"/>
        <v>1</v>
      </c>
      <c r="AJ3" s="8">
        <f t="shared" si="1"/>
        <v>0</v>
      </c>
      <c r="AK3" s="60">
        <f t="shared" si="1"/>
        <v>0</v>
      </c>
      <c r="AL3" s="63">
        <f>SUM(AL6:AL74)</f>
        <v>12</v>
      </c>
      <c r="AM3" s="176"/>
    </row>
    <row r="4" spans="1:39" customFormat="1" ht="43.5" customHeight="1">
      <c r="A4" s="163" t="str">
        <f>AM97</f>
        <v>OK</v>
      </c>
      <c r="B4" s="163"/>
      <c r="C4" s="163"/>
      <c r="D4" s="164"/>
      <c r="E4" s="165" t="s">
        <v>16</v>
      </c>
      <c r="F4" s="165"/>
      <c r="G4" s="165"/>
      <c r="H4" s="165" t="s">
        <v>17</v>
      </c>
      <c r="I4" s="165"/>
      <c r="J4" s="165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1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56" t="s">
        <v>12</v>
      </c>
      <c r="AL4" s="158" t="s">
        <v>36</v>
      </c>
      <c r="AM4" s="149" t="s">
        <v>37</v>
      </c>
    </row>
    <row r="5" spans="1:39" customFormat="1" ht="33.75" thickBot="1">
      <c r="A5" s="34" t="s">
        <v>3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137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6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3"/>
      <c r="AJ5" s="155"/>
      <c r="AK5" s="157"/>
      <c r="AL5" s="159"/>
      <c r="AM5" s="150"/>
    </row>
    <row r="6" spans="1:39" customFormat="1" hidden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34"/>
      <c r="I6" s="15">
        <f>SUM(L6:AK6)</f>
        <v>0</v>
      </c>
      <c r="J6" s="15"/>
      <c r="K6" s="16"/>
      <c r="L6" s="15"/>
      <c r="M6" s="15"/>
      <c r="N6" s="15"/>
      <c r="O6" s="15"/>
      <c r="P6" s="15"/>
      <c r="Q6" s="15"/>
      <c r="R6" s="15"/>
      <c r="S6" s="15"/>
      <c r="T6" s="41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3"/>
      <c r="AJ6" s="56"/>
      <c r="AK6" s="53"/>
      <c r="AL6" s="64">
        <f>SUM(L6:AK6)</f>
        <v>0</v>
      </c>
      <c r="AM6" s="31" t="str">
        <f t="shared" ref="AM6:AM74" si="2">IF(AL6=I6,"OK","NG")</f>
        <v>OK</v>
      </c>
    </row>
    <row r="7" spans="1:39" customFormat="1" hidden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135"/>
      <c r="I7" s="21">
        <f t="shared" ref="I7:I70" si="3">SUM(L7:AK7)</f>
        <v>0</v>
      </c>
      <c r="J7" s="21"/>
      <c r="K7" s="16"/>
      <c r="L7" s="21"/>
      <c r="M7" s="21"/>
      <c r="N7" s="21"/>
      <c r="O7" s="21"/>
      <c r="P7" s="21"/>
      <c r="Q7" s="21"/>
      <c r="R7" s="21"/>
      <c r="S7" s="21"/>
      <c r="T7" s="42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4"/>
      <c r="AJ7" s="57"/>
      <c r="AK7" s="54"/>
      <c r="AL7" s="65">
        <f t="shared" ref="AL7:AL74" si="4">SUM(L7:AK7)</f>
        <v>0</v>
      </c>
      <c r="AM7" s="22" t="str">
        <f t="shared" si="2"/>
        <v>OK</v>
      </c>
    </row>
    <row r="8" spans="1:39" customFormat="1" hidden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36"/>
      <c r="I8" s="27">
        <f t="shared" si="3"/>
        <v>0</v>
      </c>
      <c r="J8" s="27"/>
      <c r="K8" s="16"/>
      <c r="L8" s="27"/>
      <c r="M8" s="27"/>
      <c r="N8" s="27"/>
      <c r="O8" s="27"/>
      <c r="P8" s="27"/>
      <c r="Q8" s="27"/>
      <c r="R8" s="27"/>
      <c r="S8" s="27"/>
      <c r="T8" s="4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5"/>
      <c r="AJ8" s="58"/>
      <c r="AK8" s="55"/>
      <c r="AL8" s="66">
        <f t="shared" si="4"/>
        <v>0</v>
      </c>
      <c r="AM8" s="28" t="str">
        <f t="shared" si="2"/>
        <v>OK</v>
      </c>
    </row>
    <row r="9" spans="1:39" customFormat="1" hidden="1">
      <c r="A9" s="17" t="s">
        <v>142</v>
      </c>
      <c r="B9" s="77">
        <v>10897</v>
      </c>
      <c r="C9" s="17" t="s">
        <v>62</v>
      </c>
      <c r="D9" s="69"/>
      <c r="E9" s="18"/>
      <c r="F9" s="18"/>
      <c r="G9" s="19"/>
      <c r="H9" s="135"/>
      <c r="I9" s="21">
        <f t="shared" si="3"/>
        <v>0</v>
      </c>
      <c r="J9" s="21"/>
      <c r="K9" s="16"/>
      <c r="L9" s="21"/>
      <c r="M9" s="21"/>
      <c r="N9" s="21"/>
      <c r="O9" s="21"/>
      <c r="P9" s="21"/>
      <c r="Q9" s="21"/>
      <c r="R9" s="21"/>
      <c r="S9" s="21"/>
      <c r="T9" s="42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4"/>
      <c r="AJ9" s="57"/>
      <c r="AK9" s="54"/>
      <c r="AL9" s="65">
        <f t="shared" si="4"/>
        <v>0</v>
      </c>
      <c r="AM9" s="22" t="str">
        <f t="shared" si="2"/>
        <v>OK</v>
      </c>
    </row>
    <row r="10" spans="1:39" customFormat="1" hidden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36"/>
      <c r="I10" s="27">
        <f t="shared" si="3"/>
        <v>0</v>
      </c>
      <c r="J10" s="27"/>
      <c r="K10" s="16"/>
      <c r="L10" s="27"/>
      <c r="M10" s="27"/>
      <c r="N10" s="27"/>
      <c r="O10" s="27"/>
      <c r="P10" s="27"/>
      <c r="Q10" s="27"/>
      <c r="R10" s="27"/>
      <c r="S10" s="27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5"/>
      <c r="AJ10" s="58"/>
      <c r="AK10" s="55"/>
      <c r="AL10" s="66">
        <f t="shared" si="4"/>
        <v>0</v>
      </c>
      <c r="AM10" s="28" t="str">
        <f t="shared" si="2"/>
        <v>OK</v>
      </c>
    </row>
    <row r="11" spans="1:39" customFormat="1" hidden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135"/>
      <c r="I11" s="21">
        <f t="shared" si="3"/>
        <v>0</v>
      </c>
      <c r="J11" s="21"/>
      <c r="K11" s="16"/>
      <c r="L11" s="21"/>
      <c r="M11" s="21"/>
      <c r="N11" s="21"/>
      <c r="O11" s="21"/>
      <c r="P11" s="21"/>
      <c r="Q11" s="21"/>
      <c r="R11" s="21"/>
      <c r="S11" s="21"/>
      <c r="T11" s="42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4"/>
      <c r="AJ11" s="57"/>
      <c r="AK11" s="54"/>
      <c r="AL11" s="65">
        <f t="shared" si="4"/>
        <v>0</v>
      </c>
      <c r="AM11" s="22" t="str">
        <f t="shared" si="2"/>
        <v>OK</v>
      </c>
    </row>
    <row r="12" spans="1:39" customFormat="1" hidden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36"/>
      <c r="I12" s="27">
        <f t="shared" si="3"/>
        <v>0</v>
      </c>
      <c r="J12" s="27"/>
      <c r="K12" s="16"/>
      <c r="L12" s="27"/>
      <c r="M12" s="27"/>
      <c r="N12" s="27"/>
      <c r="O12" s="27"/>
      <c r="P12" s="27"/>
      <c r="Q12" s="27"/>
      <c r="R12" s="27"/>
      <c r="S12" s="27"/>
      <c r="T12" s="43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8"/>
      <c r="AK12" s="55"/>
      <c r="AL12" s="66">
        <f t="shared" si="4"/>
        <v>0</v>
      </c>
      <c r="AM12" s="28" t="str">
        <f t="shared" si="2"/>
        <v>OK</v>
      </c>
    </row>
    <row r="13" spans="1:39" customFormat="1" hidden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135"/>
      <c r="I13" s="21">
        <f t="shared" si="3"/>
        <v>0</v>
      </c>
      <c r="J13" s="21"/>
      <c r="K13" s="16"/>
      <c r="L13" s="21"/>
      <c r="M13" s="21"/>
      <c r="N13" s="21"/>
      <c r="O13" s="21"/>
      <c r="P13" s="21"/>
      <c r="Q13" s="21"/>
      <c r="R13" s="21"/>
      <c r="S13" s="21"/>
      <c r="T13" s="4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4"/>
      <c r="AJ13" s="57"/>
      <c r="AK13" s="54"/>
      <c r="AL13" s="65">
        <f t="shared" si="4"/>
        <v>0</v>
      </c>
      <c r="AM13" s="22" t="str">
        <f t="shared" si="2"/>
        <v>OK</v>
      </c>
    </row>
    <row r="14" spans="1:39" customFormat="1" hidden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36"/>
      <c r="I14" s="27">
        <f t="shared" si="3"/>
        <v>0</v>
      </c>
      <c r="J14" s="27"/>
      <c r="K14" s="16"/>
      <c r="L14" s="27"/>
      <c r="M14" s="27"/>
      <c r="N14" s="27"/>
      <c r="O14" s="27"/>
      <c r="P14" s="27"/>
      <c r="Q14" s="27"/>
      <c r="R14" s="27"/>
      <c r="S14" s="27"/>
      <c r="T14" s="43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5"/>
      <c r="AJ14" s="58"/>
      <c r="AK14" s="55"/>
      <c r="AL14" s="66">
        <f t="shared" si="4"/>
        <v>0</v>
      </c>
      <c r="AM14" s="28" t="str">
        <f t="shared" si="2"/>
        <v>OK</v>
      </c>
    </row>
    <row r="15" spans="1:39" customFormat="1" hidden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135"/>
      <c r="I15" s="21">
        <f t="shared" si="3"/>
        <v>0</v>
      </c>
      <c r="J15" s="21"/>
      <c r="K15" s="16"/>
      <c r="L15" s="21"/>
      <c r="M15" s="21"/>
      <c r="N15" s="21"/>
      <c r="O15" s="21"/>
      <c r="P15" s="21"/>
      <c r="Q15" s="21"/>
      <c r="R15" s="21"/>
      <c r="S15" s="21"/>
      <c r="T15" s="42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4"/>
      <c r="AJ15" s="57"/>
      <c r="AK15" s="54"/>
      <c r="AL15" s="65">
        <f t="shared" si="4"/>
        <v>0</v>
      </c>
      <c r="AM15" s="22" t="str">
        <f t="shared" si="2"/>
        <v>OK</v>
      </c>
    </row>
    <row r="16" spans="1:39" customFormat="1" hidden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36"/>
      <c r="I16" s="27">
        <f t="shared" si="3"/>
        <v>0</v>
      </c>
      <c r="J16" s="27"/>
      <c r="K16" s="16"/>
      <c r="L16" s="27"/>
      <c r="M16" s="27"/>
      <c r="N16" s="27"/>
      <c r="O16" s="27"/>
      <c r="P16" s="27"/>
      <c r="Q16" s="27"/>
      <c r="R16" s="27"/>
      <c r="S16" s="27"/>
      <c r="T16" s="43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8"/>
      <c r="AK16" s="55"/>
      <c r="AL16" s="66">
        <f t="shared" si="4"/>
        <v>0</v>
      </c>
      <c r="AM16" s="28" t="str">
        <f t="shared" si="2"/>
        <v>OK</v>
      </c>
    </row>
    <row r="17" spans="1:39" customFormat="1" hidden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135"/>
      <c r="I17" s="21">
        <f t="shared" si="3"/>
        <v>0</v>
      </c>
      <c r="J17" s="21"/>
      <c r="K17" s="16"/>
      <c r="L17" s="21"/>
      <c r="M17" s="21"/>
      <c r="N17" s="21"/>
      <c r="O17" s="21"/>
      <c r="P17" s="21"/>
      <c r="Q17" s="21"/>
      <c r="R17" s="21"/>
      <c r="S17" s="21"/>
      <c r="T17" s="42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4"/>
      <c r="AJ17" s="57"/>
      <c r="AK17" s="54"/>
      <c r="AL17" s="65">
        <f t="shared" si="4"/>
        <v>0</v>
      </c>
      <c r="AM17" s="22" t="str">
        <f t="shared" si="2"/>
        <v>OK</v>
      </c>
    </row>
    <row r="18" spans="1:39" customFormat="1" hidden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36">
        <f>880+2120</f>
        <v>3000</v>
      </c>
      <c r="I18" s="27">
        <f t="shared" si="3"/>
        <v>0</v>
      </c>
      <c r="J18" s="27"/>
      <c r="K18" s="16"/>
      <c r="L18" s="27"/>
      <c r="M18" s="27"/>
      <c r="N18" s="27"/>
      <c r="O18" s="27"/>
      <c r="P18" s="27"/>
      <c r="Q18" s="27"/>
      <c r="R18" s="27"/>
      <c r="S18" s="27"/>
      <c r="T18" s="43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8"/>
      <c r="AK18" s="55"/>
      <c r="AL18" s="66">
        <f t="shared" si="4"/>
        <v>0</v>
      </c>
      <c r="AM18" s="28" t="str">
        <f t="shared" si="2"/>
        <v>OK</v>
      </c>
    </row>
    <row r="19" spans="1:39" customFormat="1">
      <c r="A19" s="17" t="s">
        <v>91</v>
      </c>
      <c r="B19" s="77">
        <v>14988</v>
      </c>
      <c r="C19" s="17" t="s">
        <v>64</v>
      </c>
      <c r="D19" s="69"/>
      <c r="E19" s="18"/>
      <c r="F19" s="18"/>
      <c r="G19" s="19"/>
      <c r="H19" s="135">
        <f>600+5400+4800</f>
        <v>10800</v>
      </c>
      <c r="I19" s="21">
        <f t="shared" si="3"/>
        <v>1</v>
      </c>
      <c r="J19" s="21"/>
      <c r="K19" s="16"/>
      <c r="L19" s="21">
        <v>1</v>
      </c>
      <c r="M19" s="21"/>
      <c r="N19" s="21"/>
      <c r="O19" s="21"/>
      <c r="P19" s="21"/>
      <c r="Q19" s="21"/>
      <c r="R19" s="21"/>
      <c r="S19" s="21"/>
      <c r="T19" s="42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4"/>
      <c r="AJ19" s="57"/>
      <c r="AK19" s="54"/>
      <c r="AL19" s="65">
        <f t="shared" si="4"/>
        <v>1</v>
      </c>
      <c r="AM19" s="22" t="str">
        <f t="shared" si="2"/>
        <v>OK</v>
      </c>
    </row>
    <row r="20" spans="1:39" customFormat="1" hidden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136"/>
      <c r="I20" s="27">
        <f t="shared" si="3"/>
        <v>0</v>
      </c>
      <c r="J20" s="27"/>
      <c r="K20" s="16"/>
      <c r="L20" s="27"/>
      <c r="M20" s="27"/>
      <c r="N20" s="27"/>
      <c r="O20" s="27"/>
      <c r="P20" s="27"/>
      <c r="Q20" s="27"/>
      <c r="R20" s="27"/>
      <c r="S20" s="27"/>
      <c r="T20" s="43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8"/>
      <c r="AK20" s="55"/>
      <c r="AL20" s="66">
        <f t="shared" si="4"/>
        <v>0</v>
      </c>
      <c r="AM20" s="28" t="str">
        <f t="shared" si="2"/>
        <v>OK</v>
      </c>
    </row>
    <row r="21" spans="1:39" customFormat="1" hidden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135"/>
      <c r="I21" s="21">
        <f t="shared" si="3"/>
        <v>0</v>
      </c>
      <c r="J21" s="21"/>
      <c r="K21" s="16"/>
      <c r="L21" s="21"/>
      <c r="M21" s="21"/>
      <c r="N21" s="21"/>
      <c r="O21" s="21"/>
      <c r="P21" s="21"/>
      <c r="Q21" s="21"/>
      <c r="R21" s="21"/>
      <c r="S21" s="21"/>
      <c r="T21" s="4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4"/>
      <c r="AJ21" s="57"/>
      <c r="AK21" s="54"/>
      <c r="AL21" s="65">
        <f t="shared" si="4"/>
        <v>0</v>
      </c>
      <c r="AM21" s="22" t="str">
        <f t="shared" si="2"/>
        <v>OK</v>
      </c>
    </row>
    <row r="22" spans="1:39" customFormat="1" hidden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36"/>
      <c r="I22" s="27">
        <f t="shared" si="3"/>
        <v>0</v>
      </c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43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5"/>
      <c r="AJ22" s="58"/>
      <c r="AK22" s="55"/>
      <c r="AL22" s="66">
        <f t="shared" si="4"/>
        <v>0</v>
      </c>
      <c r="AM22" s="28" t="str">
        <f t="shared" si="2"/>
        <v>OK</v>
      </c>
    </row>
    <row r="23" spans="1:39" customFormat="1" hidden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135"/>
      <c r="I23" s="21">
        <f t="shared" si="3"/>
        <v>0</v>
      </c>
      <c r="J23" s="21"/>
      <c r="K23" s="16"/>
      <c r="L23" s="21"/>
      <c r="M23" s="21"/>
      <c r="N23" s="21"/>
      <c r="O23" s="21"/>
      <c r="P23" s="21"/>
      <c r="Q23" s="21"/>
      <c r="R23" s="21"/>
      <c r="S23" s="21"/>
      <c r="T23" s="42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7"/>
      <c r="AK23" s="54"/>
      <c r="AL23" s="65">
        <f>SUM(L23:AK23)</f>
        <v>0</v>
      </c>
      <c r="AM23" s="22" t="str">
        <f t="shared" si="2"/>
        <v>OK</v>
      </c>
    </row>
    <row r="24" spans="1:39" customFormat="1">
      <c r="A24" s="68" t="s">
        <v>44</v>
      </c>
      <c r="B24" s="78">
        <v>10163</v>
      </c>
      <c r="C24" s="23" t="s">
        <v>45</v>
      </c>
      <c r="D24" s="24"/>
      <c r="E24" s="24"/>
      <c r="F24" s="24"/>
      <c r="G24" s="25"/>
      <c r="H24" s="136">
        <f>336+672+672</f>
        <v>1680</v>
      </c>
      <c r="I24" s="27">
        <f t="shared" si="3"/>
        <v>2</v>
      </c>
      <c r="J24" s="27"/>
      <c r="K24" s="16"/>
      <c r="L24" s="27">
        <v>1</v>
      </c>
      <c r="M24" s="27"/>
      <c r="N24" s="27"/>
      <c r="O24" s="27"/>
      <c r="P24" s="27"/>
      <c r="Q24" s="27"/>
      <c r="R24" s="27"/>
      <c r="S24" s="27"/>
      <c r="T24" s="43"/>
      <c r="U24" s="52"/>
      <c r="V24" s="52"/>
      <c r="W24" s="52"/>
      <c r="X24" s="52"/>
      <c r="Y24" s="52"/>
      <c r="Z24" s="52"/>
      <c r="AA24" s="52"/>
      <c r="AB24" s="52"/>
      <c r="AC24" s="52">
        <v>1</v>
      </c>
      <c r="AD24" s="52"/>
      <c r="AE24" s="52"/>
      <c r="AF24" s="52"/>
      <c r="AG24" s="52"/>
      <c r="AH24" s="52"/>
      <c r="AI24" s="55"/>
      <c r="AJ24" s="58"/>
      <c r="AK24" s="55"/>
      <c r="AL24" s="66">
        <f t="shared" si="4"/>
        <v>2</v>
      </c>
      <c r="AM24" s="28" t="str">
        <f t="shared" si="2"/>
        <v>OK</v>
      </c>
    </row>
    <row r="25" spans="1:39" customFormat="1" hidden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135"/>
      <c r="I25" s="21">
        <f t="shared" si="3"/>
        <v>0</v>
      </c>
      <c r="J25" s="21"/>
      <c r="K25" s="16"/>
      <c r="L25" s="21"/>
      <c r="M25" s="21"/>
      <c r="N25" s="21"/>
      <c r="O25" s="21"/>
      <c r="P25" s="21"/>
      <c r="Q25" s="21"/>
      <c r="R25" s="21"/>
      <c r="S25" s="21"/>
      <c r="T25" s="42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4"/>
      <c r="AJ25" s="57"/>
      <c r="AK25" s="54"/>
      <c r="AL25" s="65">
        <f t="shared" si="4"/>
        <v>0</v>
      </c>
      <c r="AM25" s="22" t="str">
        <f t="shared" si="2"/>
        <v>OK</v>
      </c>
    </row>
    <row r="26" spans="1:39" customFormat="1" hidden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36"/>
      <c r="I26" s="27">
        <f t="shared" si="3"/>
        <v>0</v>
      </c>
      <c r="J26" s="27"/>
      <c r="K26" s="16"/>
      <c r="L26" s="27"/>
      <c r="M26" s="27"/>
      <c r="N26" s="27"/>
      <c r="O26" s="27"/>
      <c r="P26" s="27"/>
      <c r="Q26" s="27"/>
      <c r="R26" s="27"/>
      <c r="S26" s="27"/>
      <c r="T26" s="43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8"/>
      <c r="AK26" s="55"/>
      <c r="AL26" s="66">
        <f t="shared" si="4"/>
        <v>0</v>
      </c>
      <c r="AM26" s="28" t="str">
        <f t="shared" si="2"/>
        <v>OK</v>
      </c>
    </row>
    <row r="27" spans="1:39" customFormat="1" hidden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135"/>
      <c r="I27" s="21">
        <f t="shared" si="3"/>
        <v>0</v>
      </c>
      <c r="J27" s="21"/>
      <c r="K27" s="16"/>
      <c r="L27" s="21"/>
      <c r="M27" s="21"/>
      <c r="N27" s="21"/>
      <c r="O27" s="21"/>
      <c r="P27" s="21"/>
      <c r="Q27" s="21"/>
      <c r="R27" s="21"/>
      <c r="S27" s="21"/>
      <c r="T27" s="4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7"/>
      <c r="AK27" s="54"/>
      <c r="AL27" s="65">
        <f t="shared" si="4"/>
        <v>0</v>
      </c>
      <c r="AM27" s="22" t="str">
        <f t="shared" si="2"/>
        <v>OK</v>
      </c>
    </row>
    <row r="28" spans="1:39" customFormat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136">
        <v>2184</v>
      </c>
      <c r="I28" s="27">
        <f t="shared" si="3"/>
        <v>2</v>
      </c>
      <c r="J28" s="27"/>
      <c r="K28" s="16"/>
      <c r="L28" s="27">
        <v>1</v>
      </c>
      <c r="M28" s="27"/>
      <c r="N28" s="27"/>
      <c r="O28" s="27"/>
      <c r="P28" s="27"/>
      <c r="Q28" s="27"/>
      <c r="R28" s="27"/>
      <c r="S28" s="27"/>
      <c r="T28" s="43"/>
      <c r="U28" s="52"/>
      <c r="V28" s="52"/>
      <c r="W28" s="52"/>
      <c r="X28" s="52"/>
      <c r="Y28" s="52">
        <v>1</v>
      </c>
      <c r="Z28" s="52"/>
      <c r="AA28" s="52"/>
      <c r="AB28" s="52"/>
      <c r="AC28" s="52"/>
      <c r="AD28" s="52"/>
      <c r="AE28" s="52"/>
      <c r="AF28" s="52"/>
      <c r="AG28" s="52"/>
      <c r="AH28" s="52"/>
      <c r="AI28" s="55"/>
      <c r="AJ28" s="58"/>
      <c r="AK28" s="55"/>
      <c r="AL28" s="66">
        <f t="shared" si="4"/>
        <v>2</v>
      </c>
      <c r="AM28" s="28" t="str">
        <f t="shared" si="2"/>
        <v>OK</v>
      </c>
    </row>
    <row r="29" spans="1:39" customFormat="1" hidden="1">
      <c r="A29" s="80" t="s">
        <v>71</v>
      </c>
      <c r="B29" s="77">
        <v>10151</v>
      </c>
      <c r="C29" s="17" t="s">
        <v>51</v>
      </c>
      <c r="D29" s="69"/>
      <c r="E29" s="18"/>
      <c r="F29" s="18"/>
      <c r="G29" s="19"/>
      <c r="H29" s="135">
        <v>1980</v>
      </c>
      <c r="I29" s="21">
        <f t="shared" si="3"/>
        <v>0</v>
      </c>
      <c r="J29" s="21"/>
      <c r="K29" s="16"/>
      <c r="L29" s="21"/>
      <c r="M29" s="21"/>
      <c r="N29" s="21"/>
      <c r="O29" s="21"/>
      <c r="P29" s="21"/>
      <c r="Q29" s="21"/>
      <c r="R29" s="21"/>
      <c r="S29" s="21"/>
      <c r="T29" s="42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4"/>
      <c r="AJ29" s="57"/>
      <c r="AK29" s="54"/>
      <c r="AL29" s="65">
        <f t="shared" si="4"/>
        <v>0</v>
      </c>
      <c r="AM29" s="22" t="str">
        <f t="shared" si="2"/>
        <v>OK</v>
      </c>
    </row>
    <row r="30" spans="1:39" customFormat="1" hidden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137">
        <f>648+342</f>
        <v>990</v>
      </c>
      <c r="I30" s="27">
        <f t="shared" si="3"/>
        <v>0</v>
      </c>
      <c r="J30" s="27"/>
      <c r="K30" s="16"/>
      <c r="L30" s="27"/>
      <c r="M30" s="27"/>
      <c r="N30" s="27"/>
      <c r="O30" s="27"/>
      <c r="P30" s="27"/>
      <c r="Q30" s="27"/>
      <c r="R30" s="27"/>
      <c r="S30" s="27"/>
      <c r="T30" s="43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5"/>
      <c r="AJ30" s="58"/>
      <c r="AK30" s="55"/>
      <c r="AL30" s="66">
        <f t="shared" si="4"/>
        <v>0</v>
      </c>
      <c r="AM30" s="28" t="str">
        <f t="shared" si="2"/>
        <v>OK</v>
      </c>
    </row>
    <row r="31" spans="1:39" customFormat="1" hidden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135"/>
      <c r="I31" s="21">
        <f t="shared" si="3"/>
        <v>0</v>
      </c>
      <c r="J31" s="21"/>
      <c r="K31" s="16"/>
      <c r="L31" s="21"/>
      <c r="M31" s="21"/>
      <c r="N31" s="21"/>
      <c r="O31" s="21"/>
      <c r="P31" s="21"/>
      <c r="Q31" s="21"/>
      <c r="R31" s="21"/>
      <c r="S31" s="21"/>
      <c r="T31" s="4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7"/>
      <c r="AK31" s="54"/>
      <c r="AL31" s="65">
        <f t="shared" si="4"/>
        <v>0</v>
      </c>
      <c r="AM31" s="22" t="str">
        <f t="shared" si="2"/>
        <v>OK</v>
      </c>
    </row>
    <row r="32" spans="1:39" customFormat="1" hidden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136"/>
      <c r="I32" s="27">
        <f t="shared" si="3"/>
        <v>0</v>
      </c>
      <c r="J32" s="27"/>
      <c r="K32" s="16"/>
      <c r="L32" s="27"/>
      <c r="M32" s="27"/>
      <c r="N32" s="27"/>
      <c r="O32" s="27"/>
      <c r="P32" s="27"/>
      <c r="Q32" s="27"/>
      <c r="R32" s="27"/>
      <c r="S32" s="27"/>
      <c r="T32" s="43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5"/>
      <c r="AJ32" s="58"/>
      <c r="AK32" s="55"/>
      <c r="AL32" s="66">
        <f t="shared" si="4"/>
        <v>0</v>
      </c>
      <c r="AM32" s="28" t="str">
        <f t="shared" si="2"/>
        <v>OK</v>
      </c>
    </row>
    <row r="33" spans="1:39" customFormat="1" hidden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135"/>
      <c r="I33" s="21">
        <f t="shared" si="3"/>
        <v>0</v>
      </c>
      <c r="J33" s="21"/>
      <c r="K33" s="16"/>
      <c r="L33" s="21"/>
      <c r="M33" s="21"/>
      <c r="N33" s="21"/>
      <c r="O33" s="21"/>
      <c r="P33" s="21"/>
      <c r="Q33" s="21"/>
      <c r="R33" s="21"/>
      <c r="S33" s="21"/>
      <c r="T33" s="42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4"/>
      <c r="AJ33" s="57"/>
      <c r="AK33" s="54"/>
      <c r="AL33" s="65">
        <f t="shared" si="4"/>
        <v>0</v>
      </c>
      <c r="AM33" s="22" t="str">
        <f t="shared" si="2"/>
        <v>OK</v>
      </c>
    </row>
    <row r="34" spans="1:39" customFormat="1" hidden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136">
        <v>660</v>
      </c>
      <c r="I34" s="27">
        <f t="shared" si="3"/>
        <v>0</v>
      </c>
      <c r="J34" s="27"/>
      <c r="K34" s="16"/>
      <c r="L34" s="27"/>
      <c r="M34" s="27"/>
      <c r="N34" s="27"/>
      <c r="O34" s="27"/>
      <c r="P34" s="27"/>
      <c r="Q34" s="27"/>
      <c r="R34" s="27"/>
      <c r="S34" s="27"/>
      <c r="T34" s="43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5"/>
      <c r="AJ34" s="58"/>
      <c r="AK34" s="55"/>
      <c r="AL34" s="66">
        <f t="shared" si="4"/>
        <v>0</v>
      </c>
      <c r="AM34" s="28" t="str">
        <f t="shared" si="2"/>
        <v>OK</v>
      </c>
    </row>
    <row r="35" spans="1:39" customFormat="1" hidden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135"/>
      <c r="I35" s="21">
        <f t="shared" si="3"/>
        <v>0</v>
      </c>
      <c r="J35" s="21"/>
      <c r="K35" s="16"/>
      <c r="L35" s="21"/>
      <c r="M35" s="21"/>
      <c r="N35" s="21"/>
      <c r="O35" s="21"/>
      <c r="P35" s="21"/>
      <c r="Q35" s="21"/>
      <c r="R35" s="21"/>
      <c r="S35" s="21"/>
      <c r="T35" s="42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4"/>
      <c r="AJ35" s="57"/>
      <c r="AK35" s="54"/>
      <c r="AL35" s="65">
        <f t="shared" si="4"/>
        <v>0</v>
      </c>
      <c r="AM35" s="22" t="str">
        <f t="shared" si="2"/>
        <v>OK</v>
      </c>
    </row>
    <row r="36" spans="1:39" customFormat="1" hidden="1">
      <c r="A36" s="68" t="s">
        <v>76</v>
      </c>
      <c r="B36" s="78">
        <v>10135</v>
      </c>
      <c r="C36" s="23" t="s">
        <v>56</v>
      </c>
      <c r="D36" s="24"/>
      <c r="E36" s="24"/>
      <c r="F36" s="24"/>
      <c r="G36" s="25"/>
      <c r="H36" s="136"/>
      <c r="I36" s="27">
        <f t="shared" si="3"/>
        <v>0</v>
      </c>
      <c r="J36" s="27"/>
      <c r="K36" s="16"/>
      <c r="L36" s="27"/>
      <c r="M36" s="27"/>
      <c r="N36" s="27"/>
      <c r="O36" s="27"/>
      <c r="P36" s="27"/>
      <c r="Q36" s="27"/>
      <c r="R36" s="27"/>
      <c r="S36" s="27"/>
      <c r="T36" s="43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5"/>
      <c r="AJ36" s="58"/>
      <c r="AK36" s="55"/>
      <c r="AL36" s="66">
        <f t="shared" si="4"/>
        <v>0</v>
      </c>
      <c r="AM36" s="28" t="str">
        <f t="shared" si="2"/>
        <v>OK</v>
      </c>
    </row>
    <row r="37" spans="1:39" customFormat="1" hidden="1">
      <c r="A37" s="80" t="s">
        <v>77</v>
      </c>
      <c r="B37" s="77">
        <v>10133</v>
      </c>
      <c r="C37" s="17" t="s">
        <v>55</v>
      </c>
      <c r="D37" s="69"/>
      <c r="E37" s="18"/>
      <c r="F37" s="18"/>
      <c r="G37" s="19"/>
      <c r="H37" s="135">
        <v>935</v>
      </c>
      <c r="I37" s="21">
        <f t="shared" si="3"/>
        <v>0</v>
      </c>
      <c r="J37" s="21"/>
      <c r="K37" s="16"/>
      <c r="L37" s="21"/>
      <c r="M37" s="21"/>
      <c r="N37" s="21"/>
      <c r="O37" s="21"/>
      <c r="P37" s="21"/>
      <c r="Q37" s="21"/>
      <c r="R37" s="21"/>
      <c r="S37" s="21"/>
      <c r="T37" s="42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4"/>
      <c r="AJ37" s="57"/>
      <c r="AK37" s="54"/>
      <c r="AL37" s="65">
        <f t="shared" si="4"/>
        <v>0</v>
      </c>
      <c r="AM37" s="22" t="str">
        <f t="shared" si="2"/>
        <v>OK</v>
      </c>
    </row>
    <row r="38" spans="1:39" customFormat="1">
      <c r="A38" s="68" t="s">
        <v>78</v>
      </c>
      <c r="B38" s="78">
        <v>10131</v>
      </c>
      <c r="C38" s="23" t="s">
        <v>56</v>
      </c>
      <c r="D38" s="24"/>
      <c r="E38" s="24"/>
      <c r="F38" s="24"/>
      <c r="G38" s="25"/>
      <c r="H38" s="136">
        <f>700+1250+952</f>
        <v>2902</v>
      </c>
      <c r="I38" s="27">
        <f t="shared" si="3"/>
        <v>2</v>
      </c>
      <c r="J38" s="27"/>
      <c r="K38" s="16"/>
      <c r="L38" s="27"/>
      <c r="M38" s="27">
        <v>1</v>
      </c>
      <c r="N38" s="27"/>
      <c r="O38" s="27"/>
      <c r="P38" s="27"/>
      <c r="Q38" s="27"/>
      <c r="R38" s="27"/>
      <c r="S38" s="27"/>
      <c r="T38" s="43"/>
      <c r="U38" s="52"/>
      <c r="V38" s="52"/>
      <c r="W38" s="52"/>
      <c r="X38" s="52"/>
      <c r="Y38" s="52"/>
      <c r="Z38" s="52"/>
      <c r="AA38" s="52"/>
      <c r="AB38" s="52">
        <v>1</v>
      </c>
      <c r="AC38" s="52"/>
      <c r="AD38" s="52"/>
      <c r="AE38" s="52"/>
      <c r="AF38" s="52"/>
      <c r="AG38" s="52"/>
      <c r="AH38" s="52"/>
      <c r="AI38" s="55"/>
      <c r="AJ38" s="58"/>
      <c r="AK38" s="55"/>
      <c r="AL38" s="66">
        <f t="shared" ref="AL38:AL50" si="5">SUM(L38:AK38)</f>
        <v>2</v>
      </c>
      <c r="AM38" s="28" t="str">
        <f t="shared" si="2"/>
        <v>OK</v>
      </c>
    </row>
    <row r="39" spans="1:39" customFormat="1" hidden="1">
      <c r="A39" s="17" t="s">
        <v>79</v>
      </c>
      <c r="B39" s="77">
        <v>10129</v>
      </c>
      <c r="C39" s="17" t="s">
        <v>57</v>
      </c>
      <c r="D39" s="69"/>
      <c r="E39" s="18"/>
      <c r="F39" s="18"/>
      <c r="G39" s="19"/>
      <c r="H39" s="135">
        <f>1120+150</f>
        <v>1270</v>
      </c>
      <c r="I39" s="21">
        <f t="shared" si="3"/>
        <v>0</v>
      </c>
      <c r="J39" s="21"/>
      <c r="K39" s="16"/>
      <c r="L39" s="21"/>
      <c r="M39" s="21"/>
      <c r="N39" s="21"/>
      <c r="O39" s="21"/>
      <c r="P39" s="21"/>
      <c r="Q39" s="21"/>
      <c r="R39" s="21"/>
      <c r="S39" s="21"/>
      <c r="T39" s="42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4"/>
      <c r="AJ39" s="57"/>
      <c r="AK39" s="54"/>
      <c r="AL39" s="65">
        <f t="shared" si="5"/>
        <v>0</v>
      </c>
      <c r="AM39" s="22" t="str">
        <f t="shared" si="2"/>
        <v>OK</v>
      </c>
    </row>
    <row r="40" spans="1:39" customFormat="1" hidden="1">
      <c r="A40" s="68" t="s">
        <v>80</v>
      </c>
      <c r="B40" s="78">
        <v>10127</v>
      </c>
      <c r="C40" s="23" t="s">
        <v>58</v>
      </c>
      <c r="D40" s="24"/>
      <c r="E40" s="24"/>
      <c r="F40" s="24"/>
      <c r="G40" s="25"/>
      <c r="H40" s="136"/>
      <c r="I40" s="27">
        <f t="shared" si="3"/>
        <v>0</v>
      </c>
      <c r="J40" s="27"/>
      <c r="K40" s="16"/>
      <c r="L40" s="27"/>
      <c r="M40" s="27"/>
      <c r="N40" s="27"/>
      <c r="O40" s="27"/>
      <c r="P40" s="27"/>
      <c r="Q40" s="27"/>
      <c r="R40" s="27"/>
      <c r="S40" s="27"/>
      <c r="T40" s="43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5"/>
      <c r="AJ40" s="58"/>
      <c r="AK40" s="55"/>
      <c r="AL40" s="66">
        <f t="shared" si="5"/>
        <v>0</v>
      </c>
      <c r="AM40" s="28" t="str">
        <f t="shared" si="2"/>
        <v>OK</v>
      </c>
    </row>
    <row r="41" spans="1:39" customFormat="1" hidden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135"/>
      <c r="I41" s="21">
        <f t="shared" si="3"/>
        <v>0</v>
      </c>
      <c r="J41" s="21"/>
      <c r="K41" s="16"/>
      <c r="L41" s="21"/>
      <c r="M41" s="21"/>
      <c r="N41" s="21"/>
      <c r="O41" s="21"/>
      <c r="P41" s="21"/>
      <c r="Q41" s="21"/>
      <c r="R41" s="21"/>
      <c r="S41" s="21"/>
      <c r="T41" s="4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4"/>
      <c r="AJ41" s="57"/>
      <c r="AK41" s="54"/>
      <c r="AL41" s="65">
        <f t="shared" si="5"/>
        <v>0</v>
      </c>
      <c r="AM41" s="22" t="str">
        <f t="shared" si="2"/>
        <v>OK</v>
      </c>
    </row>
    <row r="42" spans="1:39" customFormat="1" hidden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136"/>
      <c r="I42" s="27">
        <f t="shared" si="3"/>
        <v>0</v>
      </c>
      <c r="J42" s="27"/>
      <c r="K42" s="16"/>
      <c r="L42" s="27"/>
      <c r="M42" s="27"/>
      <c r="N42" s="27"/>
      <c r="O42" s="27"/>
      <c r="P42" s="27"/>
      <c r="Q42" s="27"/>
      <c r="R42" s="27"/>
      <c r="S42" s="27"/>
      <c r="T42" s="43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5"/>
      <c r="AJ42" s="58"/>
      <c r="AK42" s="55"/>
      <c r="AL42" s="66">
        <f t="shared" si="5"/>
        <v>0</v>
      </c>
      <c r="AM42" s="28" t="str">
        <f t="shared" si="2"/>
        <v>OK</v>
      </c>
    </row>
    <row r="43" spans="1:39" customFormat="1" hidden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135"/>
      <c r="I43" s="21">
        <f t="shared" si="3"/>
        <v>0</v>
      </c>
      <c r="J43" s="21"/>
      <c r="K43" s="16"/>
      <c r="L43" s="21"/>
      <c r="M43" s="21"/>
      <c r="N43" s="21"/>
      <c r="O43" s="21"/>
      <c r="P43" s="21"/>
      <c r="Q43" s="21"/>
      <c r="R43" s="21"/>
      <c r="S43" s="21"/>
      <c r="T43" s="42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4"/>
      <c r="AJ43" s="57"/>
      <c r="AK43" s="54"/>
      <c r="AL43" s="65">
        <f t="shared" si="5"/>
        <v>0</v>
      </c>
      <c r="AM43" s="22" t="str">
        <f t="shared" si="2"/>
        <v>OK</v>
      </c>
    </row>
    <row r="44" spans="1:39" customFormat="1" hidden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136"/>
      <c r="I44" s="27">
        <f t="shared" si="3"/>
        <v>0</v>
      </c>
      <c r="J44" s="27"/>
      <c r="K44" s="16"/>
      <c r="L44" s="27"/>
      <c r="M44" s="27"/>
      <c r="N44" s="27"/>
      <c r="O44" s="27"/>
      <c r="P44" s="27"/>
      <c r="Q44" s="27"/>
      <c r="R44" s="27"/>
      <c r="S44" s="27"/>
      <c r="T44" s="43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5"/>
      <c r="AJ44" s="58"/>
      <c r="AK44" s="55"/>
      <c r="AL44" s="66">
        <f t="shared" si="5"/>
        <v>0</v>
      </c>
      <c r="AM44" s="28" t="str">
        <f t="shared" si="2"/>
        <v>OK</v>
      </c>
    </row>
    <row r="45" spans="1:39" customFormat="1" hidden="1">
      <c r="A45" s="17" t="s">
        <v>107</v>
      </c>
      <c r="B45" s="77">
        <v>13467</v>
      </c>
      <c r="C45" s="17" t="s">
        <v>87</v>
      </c>
      <c r="D45" s="69"/>
      <c r="E45" s="18"/>
      <c r="F45" s="18"/>
      <c r="G45" s="19"/>
      <c r="H45" s="135"/>
      <c r="I45" s="21">
        <f t="shared" si="3"/>
        <v>0</v>
      </c>
      <c r="J45" s="21"/>
      <c r="K45" s="16"/>
      <c r="L45" s="21"/>
      <c r="M45" s="21"/>
      <c r="N45" s="21"/>
      <c r="O45" s="21"/>
      <c r="P45" s="21"/>
      <c r="Q45" s="21"/>
      <c r="R45" s="21"/>
      <c r="S45" s="21"/>
      <c r="T45" s="4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4"/>
      <c r="AJ45" s="57"/>
      <c r="AK45" s="54"/>
      <c r="AL45" s="65">
        <f t="shared" si="5"/>
        <v>0</v>
      </c>
      <c r="AM45" s="22" t="str">
        <f t="shared" si="2"/>
        <v>OK</v>
      </c>
    </row>
    <row r="46" spans="1:39" customFormat="1" hidden="1">
      <c r="A46" s="68" t="s">
        <v>111</v>
      </c>
      <c r="B46" s="78">
        <v>15948</v>
      </c>
      <c r="C46" s="23" t="s">
        <v>87</v>
      </c>
      <c r="D46" s="24"/>
      <c r="E46" s="24"/>
      <c r="F46" s="24"/>
      <c r="G46" s="25"/>
      <c r="H46" s="136"/>
      <c r="I46" s="27">
        <f t="shared" si="3"/>
        <v>0</v>
      </c>
      <c r="J46" s="27"/>
      <c r="K46" s="16"/>
      <c r="L46" s="27"/>
      <c r="M46" s="27"/>
      <c r="N46" s="27"/>
      <c r="O46" s="27"/>
      <c r="P46" s="27"/>
      <c r="Q46" s="27"/>
      <c r="R46" s="27"/>
      <c r="S46" s="27"/>
      <c r="T46" s="43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5"/>
      <c r="AJ46" s="58"/>
      <c r="AK46" s="55"/>
      <c r="AL46" s="66">
        <f t="shared" si="5"/>
        <v>0</v>
      </c>
      <c r="AM46" s="28" t="str">
        <f t="shared" si="2"/>
        <v>OK</v>
      </c>
    </row>
    <row r="47" spans="1:39" customFormat="1" hidden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135"/>
      <c r="I47" s="21">
        <f t="shared" si="3"/>
        <v>0</v>
      </c>
      <c r="J47" s="21"/>
      <c r="K47" s="16"/>
      <c r="L47" s="21"/>
      <c r="M47" s="21"/>
      <c r="N47" s="21"/>
      <c r="O47" s="21"/>
      <c r="P47" s="21"/>
      <c r="Q47" s="21"/>
      <c r="R47" s="21"/>
      <c r="S47" s="21"/>
      <c r="T47" s="42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4"/>
      <c r="AJ47" s="57"/>
      <c r="AK47" s="54"/>
      <c r="AL47" s="65">
        <f t="shared" si="5"/>
        <v>0</v>
      </c>
      <c r="AM47" s="22" t="str">
        <f t="shared" si="2"/>
        <v>OK</v>
      </c>
    </row>
    <row r="48" spans="1:39" customFormat="1">
      <c r="A48" s="68" t="s">
        <v>121</v>
      </c>
      <c r="B48" s="78">
        <v>16598</v>
      </c>
      <c r="C48" s="23" t="s">
        <v>87</v>
      </c>
      <c r="D48" s="24"/>
      <c r="E48" s="24"/>
      <c r="F48" s="24"/>
      <c r="G48" s="25"/>
      <c r="H48" s="136">
        <v>1080</v>
      </c>
      <c r="I48" s="27">
        <f t="shared" si="3"/>
        <v>1</v>
      </c>
      <c r="J48" s="27"/>
      <c r="K48" s="16"/>
      <c r="L48" s="27"/>
      <c r="M48" s="27"/>
      <c r="N48" s="27"/>
      <c r="O48" s="27"/>
      <c r="P48" s="27"/>
      <c r="Q48" s="27"/>
      <c r="R48" s="27"/>
      <c r="S48" s="27"/>
      <c r="T48" s="43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5">
        <v>1</v>
      </c>
      <c r="AJ48" s="58"/>
      <c r="AK48" s="55"/>
      <c r="AL48" s="66">
        <f t="shared" si="5"/>
        <v>1</v>
      </c>
      <c r="AM48" s="28" t="str">
        <f t="shared" si="2"/>
        <v>OK</v>
      </c>
    </row>
    <row r="49" spans="1:39" customFormat="1" hidden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135"/>
      <c r="I49" s="21">
        <f t="shared" si="3"/>
        <v>0</v>
      </c>
      <c r="J49" s="21"/>
      <c r="K49" s="16"/>
      <c r="L49" s="21"/>
      <c r="M49" s="21"/>
      <c r="N49" s="21"/>
      <c r="O49" s="21"/>
      <c r="P49" s="21"/>
      <c r="Q49" s="21"/>
      <c r="R49" s="21"/>
      <c r="S49" s="21"/>
      <c r="T49" s="4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4"/>
      <c r="AJ49" s="57"/>
      <c r="AK49" s="54"/>
      <c r="AL49" s="65">
        <f t="shared" si="5"/>
        <v>0</v>
      </c>
      <c r="AM49" s="22" t="str">
        <f t="shared" si="2"/>
        <v>OK</v>
      </c>
    </row>
    <row r="50" spans="1:39" customFormat="1" hidden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136"/>
      <c r="I50" s="27">
        <f t="shared" si="3"/>
        <v>0</v>
      </c>
      <c r="J50" s="27"/>
      <c r="K50" s="16"/>
      <c r="L50" s="27"/>
      <c r="M50" s="27"/>
      <c r="N50" s="27"/>
      <c r="O50" s="27"/>
      <c r="P50" s="27"/>
      <c r="Q50" s="27"/>
      <c r="R50" s="27"/>
      <c r="S50" s="27"/>
      <c r="T50" s="43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8"/>
      <c r="AK50" s="55"/>
      <c r="AL50" s="66">
        <f t="shared" si="5"/>
        <v>0</v>
      </c>
      <c r="AM50" s="28" t="str">
        <f t="shared" si="2"/>
        <v>OK</v>
      </c>
    </row>
    <row r="51" spans="1:39" customFormat="1" hidden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135"/>
      <c r="I51" s="21">
        <f t="shared" si="3"/>
        <v>0</v>
      </c>
      <c r="J51" s="21"/>
      <c r="K51" s="16"/>
      <c r="L51" s="21"/>
      <c r="M51" s="21"/>
      <c r="N51" s="21"/>
      <c r="O51" s="21"/>
      <c r="P51" s="21"/>
      <c r="Q51" s="21"/>
      <c r="R51" s="21"/>
      <c r="S51" s="21"/>
      <c r="T51" s="4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4"/>
      <c r="AJ51" s="57"/>
      <c r="AK51" s="54"/>
      <c r="AL51" s="65">
        <f>SUM(L51:AK51)</f>
        <v>0</v>
      </c>
      <c r="AM51" s="22" t="str">
        <f t="shared" si="2"/>
        <v>OK</v>
      </c>
    </row>
    <row r="52" spans="1:39" customFormat="1" hidden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136"/>
      <c r="I52" s="27">
        <f t="shared" si="3"/>
        <v>0</v>
      </c>
      <c r="J52" s="27"/>
      <c r="K52" s="16"/>
      <c r="L52" s="27"/>
      <c r="M52" s="27"/>
      <c r="N52" s="27"/>
      <c r="O52" s="27"/>
      <c r="P52" s="27"/>
      <c r="Q52" s="27"/>
      <c r="R52" s="27"/>
      <c r="S52" s="27"/>
      <c r="T52" s="43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5"/>
      <c r="AJ52" s="58"/>
      <c r="AK52" s="55"/>
      <c r="AL52" s="66">
        <f t="shared" ref="AL52:AL64" si="6">SUM(L52:AK52)</f>
        <v>0</v>
      </c>
      <c r="AM52" s="28" t="str">
        <f t="shared" si="2"/>
        <v>OK</v>
      </c>
    </row>
    <row r="53" spans="1:39" customFormat="1" hidden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135"/>
      <c r="I53" s="21">
        <f t="shared" si="3"/>
        <v>0</v>
      </c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42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4"/>
      <c r="AJ53" s="57"/>
      <c r="AK53" s="54"/>
      <c r="AL53" s="65">
        <f t="shared" si="6"/>
        <v>0</v>
      </c>
      <c r="AM53" s="22" t="str">
        <f t="shared" si="2"/>
        <v>OK</v>
      </c>
    </row>
    <row r="54" spans="1:39" customFormat="1" hidden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136"/>
      <c r="I54" s="27">
        <f t="shared" si="3"/>
        <v>0</v>
      </c>
      <c r="J54" s="27"/>
      <c r="K54" s="16"/>
      <c r="L54" s="27"/>
      <c r="M54" s="27"/>
      <c r="N54" s="27"/>
      <c r="O54" s="27"/>
      <c r="P54" s="27"/>
      <c r="Q54" s="27"/>
      <c r="R54" s="27"/>
      <c r="S54" s="27"/>
      <c r="T54" s="43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5"/>
      <c r="AJ54" s="58"/>
      <c r="AK54" s="55"/>
      <c r="AL54" s="66">
        <f t="shared" si="6"/>
        <v>0</v>
      </c>
      <c r="AM54" s="28" t="str">
        <f t="shared" si="2"/>
        <v>OK</v>
      </c>
    </row>
    <row r="55" spans="1:39" customFormat="1" hidden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135"/>
      <c r="I55" s="21">
        <f t="shared" si="3"/>
        <v>0</v>
      </c>
      <c r="J55" s="21"/>
      <c r="K55" s="16"/>
      <c r="L55" s="21"/>
      <c r="M55" s="21"/>
      <c r="N55" s="21"/>
      <c r="O55" s="21"/>
      <c r="P55" s="21"/>
      <c r="Q55" s="21"/>
      <c r="R55" s="21"/>
      <c r="S55" s="21"/>
      <c r="T55" s="42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4"/>
      <c r="AJ55" s="57"/>
      <c r="AK55" s="54"/>
      <c r="AL55" s="65">
        <f t="shared" si="6"/>
        <v>0</v>
      </c>
      <c r="AM55" s="22" t="str">
        <f t="shared" si="2"/>
        <v>OK</v>
      </c>
    </row>
    <row r="56" spans="1:39" customFormat="1" hidden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136"/>
      <c r="I56" s="27">
        <f t="shared" si="3"/>
        <v>0</v>
      </c>
      <c r="J56" s="27"/>
      <c r="K56" s="16"/>
      <c r="L56" s="27"/>
      <c r="M56" s="27"/>
      <c r="N56" s="27"/>
      <c r="O56" s="27"/>
      <c r="P56" s="27"/>
      <c r="Q56" s="27"/>
      <c r="R56" s="27"/>
      <c r="S56" s="27"/>
      <c r="T56" s="43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5"/>
      <c r="AJ56" s="58"/>
      <c r="AK56" s="55"/>
      <c r="AL56" s="66">
        <f t="shared" si="6"/>
        <v>0</v>
      </c>
      <c r="AM56" s="28" t="str">
        <f t="shared" si="2"/>
        <v>OK</v>
      </c>
    </row>
    <row r="57" spans="1:39" customFormat="1" hidden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135"/>
      <c r="I57" s="21">
        <f t="shared" si="3"/>
        <v>0</v>
      </c>
      <c r="J57" s="21"/>
      <c r="K57" s="16"/>
      <c r="L57" s="21"/>
      <c r="M57" s="21"/>
      <c r="N57" s="21"/>
      <c r="O57" s="21"/>
      <c r="P57" s="21"/>
      <c r="Q57" s="21"/>
      <c r="R57" s="21"/>
      <c r="S57" s="21"/>
      <c r="T57" s="42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4"/>
      <c r="AJ57" s="57"/>
      <c r="AK57" s="54"/>
      <c r="AL57" s="65">
        <f t="shared" si="6"/>
        <v>0</v>
      </c>
      <c r="AM57" s="22" t="str">
        <f t="shared" si="2"/>
        <v>OK</v>
      </c>
    </row>
    <row r="58" spans="1:39" customFormat="1" hidden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136"/>
      <c r="I58" s="27">
        <f t="shared" si="3"/>
        <v>0</v>
      </c>
      <c r="J58" s="27"/>
      <c r="K58" s="16"/>
      <c r="L58" s="27"/>
      <c r="M58" s="27"/>
      <c r="N58" s="27"/>
      <c r="O58" s="27"/>
      <c r="P58" s="27"/>
      <c r="Q58" s="27"/>
      <c r="R58" s="27"/>
      <c r="S58" s="27"/>
      <c r="T58" s="43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5"/>
      <c r="AJ58" s="58"/>
      <c r="AK58" s="55"/>
      <c r="AL58" s="66">
        <f t="shared" si="6"/>
        <v>0</v>
      </c>
      <c r="AM58" s="28" t="str">
        <f t="shared" si="2"/>
        <v>OK</v>
      </c>
    </row>
    <row r="59" spans="1:39" customFormat="1" hidden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135"/>
      <c r="I59" s="21">
        <f t="shared" si="3"/>
        <v>0</v>
      </c>
      <c r="J59" s="21"/>
      <c r="K59" s="16"/>
      <c r="L59" s="21"/>
      <c r="M59" s="21"/>
      <c r="N59" s="21"/>
      <c r="O59" s="21"/>
      <c r="P59" s="21"/>
      <c r="Q59" s="21"/>
      <c r="R59" s="21"/>
      <c r="S59" s="21"/>
      <c r="T59" s="4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4"/>
      <c r="AJ59" s="57"/>
      <c r="AK59" s="54"/>
      <c r="AL59" s="65">
        <f t="shared" si="6"/>
        <v>0</v>
      </c>
      <c r="AM59" s="22" t="str">
        <f t="shared" si="2"/>
        <v>OK</v>
      </c>
    </row>
    <row r="60" spans="1:39" customFormat="1">
      <c r="A60" s="68" t="s">
        <v>84</v>
      </c>
      <c r="B60" s="78">
        <v>11380</v>
      </c>
      <c r="C60" s="23" t="s">
        <v>60</v>
      </c>
      <c r="D60" s="24"/>
      <c r="E60" s="24"/>
      <c r="F60" s="24"/>
      <c r="G60" s="25"/>
      <c r="H60" s="136">
        <f>870+1370+1116</f>
        <v>3356</v>
      </c>
      <c r="I60" s="27">
        <f t="shared" si="3"/>
        <v>3</v>
      </c>
      <c r="J60" s="27"/>
      <c r="K60" s="16"/>
      <c r="L60" s="27"/>
      <c r="M60" s="27"/>
      <c r="N60" s="27"/>
      <c r="O60" s="27"/>
      <c r="P60" s="27"/>
      <c r="Q60" s="27"/>
      <c r="R60" s="27"/>
      <c r="S60" s="27"/>
      <c r="T60" s="43"/>
      <c r="U60" s="52">
        <v>1</v>
      </c>
      <c r="V60" s="52"/>
      <c r="W60" s="52"/>
      <c r="X60" s="52"/>
      <c r="Y60" s="52"/>
      <c r="Z60" s="52"/>
      <c r="AA60" s="52"/>
      <c r="AB60" s="52"/>
      <c r="AC60" s="52">
        <v>2</v>
      </c>
      <c r="AD60" s="52"/>
      <c r="AE60" s="52"/>
      <c r="AF60" s="52"/>
      <c r="AG60" s="52"/>
      <c r="AH60" s="52"/>
      <c r="AI60" s="55"/>
      <c r="AJ60" s="58"/>
      <c r="AK60" s="55"/>
      <c r="AL60" s="66">
        <f t="shared" si="6"/>
        <v>3</v>
      </c>
      <c r="AM60" s="28" t="str">
        <f t="shared" si="2"/>
        <v>OK</v>
      </c>
    </row>
    <row r="61" spans="1:39" customFormat="1" ht="17.25" thickBot="1">
      <c r="A61" s="80" t="s">
        <v>112</v>
      </c>
      <c r="B61" s="77">
        <v>18518</v>
      </c>
      <c r="C61" s="17" t="s">
        <v>87</v>
      </c>
      <c r="D61" s="69"/>
      <c r="E61" s="18"/>
      <c r="F61" s="18"/>
      <c r="G61" s="19"/>
      <c r="H61" s="135">
        <f>970+1008+1020</f>
        <v>2998</v>
      </c>
      <c r="I61" s="21">
        <f t="shared" si="3"/>
        <v>1</v>
      </c>
      <c r="J61" s="21"/>
      <c r="K61" s="16"/>
      <c r="L61" s="21"/>
      <c r="M61" s="21"/>
      <c r="N61" s="21"/>
      <c r="O61" s="21"/>
      <c r="P61" s="21"/>
      <c r="Q61" s="21"/>
      <c r="R61" s="21"/>
      <c r="S61" s="21"/>
      <c r="T61" s="42"/>
      <c r="U61" s="51"/>
      <c r="V61" s="51">
        <v>1</v>
      </c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4"/>
      <c r="AJ61" s="57"/>
      <c r="AK61" s="54"/>
      <c r="AL61" s="65">
        <f t="shared" si="6"/>
        <v>1</v>
      </c>
      <c r="AM61" s="22" t="str">
        <f t="shared" si="2"/>
        <v>OK</v>
      </c>
    </row>
    <row r="62" spans="1:39" customFormat="1" ht="17.25" hidden="1" thickBot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136"/>
      <c r="I62" s="27">
        <f t="shared" si="3"/>
        <v>0</v>
      </c>
      <c r="J62" s="27"/>
      <c r="K62" s="16"/>
      <c r="L62" s="27"/>
      <c r="M62" s="27"/>
      <c r="N62" s="27"/>
      <c r="O62" s="27"/>
      <c r="P62" s="27"/>
      <c r="Q62" s="27"/>
      <c r="R62" s="27"/>
      <c r="S62" s="27"/>
      <c r="T62" s="43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5"/>
      <c r="AJ62" s="58"/>
      <c r="AK62" s="55"/>
      <c r="AL62" s="66">
        <f t="shared" si="6"/>
        <v>0</v>
      </c>
      <c r="AM62" s="28" t="str">
        <f t="shared" si="2"/>
        <v>OK</v>
      </c>
    </row>
    <row r="63" spans="1:39" customFormat="1" ht="17.25" hidden="1" thickBot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135"/>
      <c r="I63" s="21">
        <f t="shared" si="3"/>
        <v>0</v>
      </c>
      <c r="J63" s="21"/>
      <c r="K63" s="16"/>
      <c r="L63" s="21"/>
      <c r="M63" s="21"/>
      <c r="N63" s="21"/>
      <c r="O63" s="21"/>
      <c r="P63" s="21"/>
      <c r="Q63" s="21"/>
      <c r="R63" s="21"/>
      <c r="S63" s="21"/>
      <c r="T63" s="4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4"/>
      <c r="AJ63" s="57"/>
      <c r="AK63" s="54"/>
      <c r="AL63" s="65">
        <f t="shared" si="6"/>
        <v>0</v>
      </c>
      <c r="AM63" s="22" t="str">
        <f t="shared" si="2"/>
        <v>OK</v>
      </c>
    </row>
    <row r="64" spans="1:39" customFormat="1" ht="17.25" hidden="1" thickBot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136">
        <v>720</v>
      </c>
      <c r="I64" s="27">
        <f t="shared" si="3"/>
        <v>0</v>
      </c>
      <c r="J64" s="27"/>
      <c r="K64" s="16"/>
      <c r="L64" s="27"/>
      <c r="M64" s="27"/>
      <c r="N64" s="27"/>
      <c r="O64" s="27"/>
      <c r="P64" s="27"/>
      <c r="Q64" s="27"/>
      <c r="R64" s="27"/>
      <c r="S64" s="27"/>
      <c r="T64" s="43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5"/>
      <c r="AJ64" s="58"/>
      <c r="AK64" s="55"/>
      <c r="AL64" s="66">
        <f t="shared" si="6"/>
        <v>0</v>
      </c>
      <c r="AM64" s="28" t="str">
        <f t="shared" si="2"/>
        <v>OK</v>
      </c>
    </row>
    <row r="65" spans="1:39" customFormat="1" ht="17.25" hidden="1" thickBot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135"/>
      <c r="I65" s="21">
        <f t="shared" si="3"/>
        <v>0</v>
      </c>
      <c r="J65" s="21"/>
      <c r="K65" s="16"/>
      <c r="L65" s="21"/>
      <c r="M65" s="21"/>
      <c r="N65" s="21"/>
      <c r="O65" s="21"/>
      <c r="P65" s="21"/>
      <c r="Q65" s="21"/>
      <c r="R65" s="21"/>
      <c r="S65" s="21"/>
      <c r="T65" s="4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4"/>
      <c r="AJ65" s="57"/>
      <c r="AK65" s="54"/>
      <c r="AL65" s="65">
        <f t="shared" si="4"/>
        <v>0</v>
      </c>
      <c r="AM65" s="22" t="str">
        <f t="shared" si="2"/>
        <v>OK</v>
      </c>
    </row>
    <row r="66" spans="1:39" customFormat="1" ht="17.25" hidden="1" thickBot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136">
        <v>960</v>
      </c>
      <c r="I66" s="27">
        <f t="shared" si="3"/>
        <v>0</v>
      </c>
      <c r="J66" s="27"/>
      <c r="K66" s="16"/>
      <c r="L66" s="27"/>
      <c r="M66" s="27"/>
      <c r="N66" s="27"/>
      <c r="O66" s="27"/>
      <c r="P66" s="27"/>
      <c r="Q66" s="27"/>
      <c r="R66" s="27"/>
      <c r="S66" s="27"/>
      <c r="T66" s="43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5"/>
      <c r="AJ66" s="58"/>
      <c r="AK66" s="55"/>
      <c r="AL66" s="66">
        <f t="shared" si="4"/>
        <v>0</v>
      </c>
      <c r="AM66" s="28" t="str">
        <f t="shared" si="2"/>
        <v>OK</v>
      </c>
    </row>
    <row r="67" spans="1:39" customFormat="1" ht="17.25" hidden="1" thickBot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135"/>
      <c r="I67" s="21">
        <f t="shared" si="3"/>
        <v>0</v>
      </c>
      <c r="J67" s="21"/>
      <c r="K67" s="16"/>
      <c r="L67" s="21"/>
      <c r="M67" s="21"/>
      <c r="N67" s="21"/>
      <c r="O67" s="21"/>
      <c r="P67" s="21"/>
      <c r="Q67" s="21"/>
      <c r="R67" s="21"/>
      <c r="S67" s="21"/>
      <c r="T67" s="4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4"/>
      <c r="AJ67" s="57"/>
      <c r="AK67" s="54"/>
      <c r="AL67" s="65">
        <f t="shared" si="4"/>
        <v>0</v>
      </c>
      <c r="AM67" s="22" t="str">
        <f t="shared" si="2"/>
        <v>OK</v>
      </c>
    </row>
    <row r="68" spans="1:39" customFormat="1" ht="17.25" hidden="1" thickBot="1">
      <c r="A68" s="81" t="s">
        <v>132</v>
      </c>
      <c r="B68" s="78">
        <v>20269</v>
      </c>
      <c r="C68" s="23" t="s">
        <v>131</v>
      </c>
      <c r="D68" s="24"/>
      <c r="E68" s="24"/>
      <c r="F68" s="24"/>
      <c r="G68" s="25"/>
      <c r="H68" s="136"/>
      <c r="I68" s="27">
        <f t="shared" si="3"/>
        <v>0</v>
      </c>
      <c r="J68" s="27"/>
      <c r="K68" s="16"/>
      <c r="L68" s="27"/>
      <c r="M68" s="27"/>
      <c r="N68" s="27"/>
      <c r="O68" s="27"/>
      <c r="P68" s="27"/>
      <c r="Q68" s="27"/>
      <c r="R68" s="27"/>
      <c r="S68" s="27"/>
      <c r="T68" s="43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5"/>
      <c r="AJ68" s="58"/>
      <c r="AK68" s="55"/>
      <c r="AL68" s="66">
        <f t="shared" si="4"/>
        <v>0</v>
      </c>
      <c r="AM68" s="28" t="str">
        <f t="shared" si="2"/>
        <v>OK</v>
      </c>
    </row>
    <row r="69" spans="1:39" customFormat="1" ht="17.25" hidden="1" thickBot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135"/>
      <c r="I69" s="21">
        <f t="shared" si="3"/>
        <v>0</v>
      </c>
      <c r="J69" s="21"/>
      <c r="K69" s="16"/>
      <c r="L69" s="21"/>
      <c r="M69" s="21"/>
      <c r="N69" s="21"/>
      <c r="O69" s="21"/>
      <c r="P69" s="21"/>
      <c r="Q69" s="21"/>
      <c r="R69" s="21"/>
      <c r="S69" s="21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7"/>
      <c r="AK69" s="54"/>
      <c r="AL69" s="65">
        <f t="shared" si="4"/>
        <v>0</v>
      </c>
      <c r="AM69" s="22" t="str">
        <f t="shared" si="2"/>
        <v>OK</v>
      </c>
    </row>
    <row r="70" spans="1:39" customFormat="1" ht="17.25" hidden="1" thickBot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136"/>
      <c r="I70" s="27">
        <f t="shared" si="3"/>
        <v>0</v>
      </c>
      <c r="J70" s="27"/>
      <c r="K70" s="16"/>
      <c r="L70" s="27"/>
      <c r="M70" s="27"/>
      <c r="N70" s="27"/>
      <c r="O70" s="27"/>
      <c r="P70" s="27"/>
      <c r="Q70" s="27"/>
      <c r="R70" s="27"/>
      <c r="S70" s="27"/>
      <c r="T70" s="43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5"/>
      <c r="AJ70" s="58"/>
      <c r="AK70" s="55"/>
      <c r="AL70" s="66">
        <f t="shared" si="4"/>
        <v>0</v>
      </c>
      <c r="AM70" s="28" t="str">
        <f t="shared" si="2"/>
        <v>OK</v>
      </c>
    </row>
    <row r="71" spans="1:39" customFormat="1" ht="17.25" hidden="1" thickBot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135"/>
      <c r="I71" s="21">
        <f t="shared" ref="I71:I96" si="7">SUM(L71:AK71)</f>
        <v>0</v>
      </c>
      <c r="J71" s="21"/>
      <c r="K71" s="16"/>
      <c r="L71" s="21"/>
      <c r="M71" s="21"/>
      <c r="N71" s="21"/>
      <c r="O71" s="21"/>
      <c r="P71" s="21"/>
      <c r="Q71" s="21"/>
      <c r="R71" s="21"/>
      <c r="S71" s="21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4"/>
      <c r="AJ71" s="57"/>
      <c r="AK71" s="54"/>
      <c r="AL71" s="65">
        <f t="shared" si="4"/>
        <v>0</v>
      </c>
      <c r="AM71" s="22" t="str">
        <f t="shared" si="2"/>
        <v>OK</v>
      </c>
    </row>
    <row r="72" spans="1:39" customFormat="1" ht="17.25" hidden="1" thickBot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136"/>
      <c r="I72" s="27">
        <f t="shared" si="7"/>
        <v>0</v>
      </c>
      <c r="J72" s="27"/>
      <c r="K72" s="16"/>
      <c r="L72" s="27"/>
      <c r="M72" s="27"/>
      <c r="N72" s="27"/>
      <c r="O72" s="27"/>
      <c r="P72" s="27"/>
      <c r="Q72" s="27"/>
      <c r="R72" s="27"/>
      <c r="S72" s="27"/>
      <c r="T72" s="43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5"/>
      <c r="AJ72" s="58"/>
      <c r="AK72" s="55"/>
      <c r="AL72" s="66">
        <f t="shared" si="4"/>
        <v>0</v>
      </c>
      <c r="AM72" s="28" t="str">
        <f t="shared" si="2"/>
        <v>OK</v>
      </c>
    </row>
    <row r="73" spans="1:39" customFormat="1" ht="17.25" hidden="1" thickBot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138"/>
      <c r="I73" s="101">
        <f t="shared" si="7"/>
        <v>0</v>
      </c>
      <c r="J73" s="21"/>
      <c r="K73" s="16"/>
      <c r="L73" s="21"/>
      <c r="M73" s="21"/>
      <c r="N73" s="21"/>
      <c r="O73" s="21"/>
      <c r="P73" s="21"/>
      <c r="Q73" s="21"/>
      <c r="R73" s="21"/>
      <c r="S73" s="21"/>
      <c r="T73" s="42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4"/>
      <c r="AJ73" s="57"/>
      <c r="AK73" s="54"/>
      <c r="AL73" s="65">
        <f t="shared" si="4"/>
        <v>0</v>
      </c>
      <c r="AM73" s="22" t="str">
        <f t="shared" si="2"/>
        <v>OK</v>
      </c>
    </row>
    <row r="74" spans="1:39" customFormat="1" ht="17.25" hidden="1" thickBot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139"/>
      <c r="I74" s="103">
        <f t="shared" si="7"/>
        <v>0</v>
      </c>
      <c r="J74" s="27"/>
      <c r="K74" s="16"/>
      <c r="L74" s="100"/>
      <c r="M74" s="100"/>
      <c r="N74" s="100"/>
      <c r="O74" s="100"/>
      <c r="P74" s="100"/>
      <c r="Q74" s="100"/>
      <c r="R74" s="100"/>
      <c r="S74" s="100"/>
      <c r="T74" s="109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1"/>
      <c r="AJ74" s="112"/>
      <c r="AK74" s="111"/>
      <c r="AL74" s="66">
        <f t="shared" si="4"/>
        <v>0</v>
      </c>
      <c r="AM74" s="28" t="str">
        <f t="shared" si="2"/>
        <v>OK</v>
      </c>
    </row>
    <row r="75" spans="1:39" ht="17.25" hidden="1" thickBot="1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40"/>
      <c r="I75" s="105">
        <f t="shared" si="7"/>
        <v>0</v>
      </c>
      <c r="J75" s="90"/>
      <c r="K75" s="91"/>
      <c r="L75" s="113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5"/>
      <c r="AL75" s="92">
        <f t="shared" ref="AL75:AL80" si="8">SUM(L75:AK75)</f>
        <v>0</v>
      </c>
      <c r="AM75" s="122" t="str">
        <f t="shared" ref="AM75:AM96" si="9">IF(AL75=I75,"OK","NG")</f>
        <v>OK</v>
      </c>
    </row>
    <row r="76" spans="1:39" ht="17.25" hidden="1" thickBot="1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139">
        <f>1080+1560+240</f>
        <v>2880</v>
      </c>
      <c r="I76" s="106">
        <f t="shared" si="7"/>
        <v>0</v>
      </c>
      <c r="J76" s="85"/>
      <c r="K76" s="16"/>
      <c r="L76" s="1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8"/>
      <c r="AL76" s="66">
        <f t="shared" si="8"/>
        <v>0</v>
      </c>
      <c r="AM76" s="28" t="str">
        <f t="shared" si="9"/>
        <v>OK</v>
      </c>
    </row>
    <row r="77" spans="1:39" ht="17.25" hidden="1" thickBot="1">
      <c r="A77" s="87" t="s">
        <v>165</v>
      </c>
      <c r="B77" s="93">
        <v>13007</v>
      </c>
      <c r="C77" s="94" t="s">
        <v>164</v>
      </c>
      <c r="D77" s="88"/>
      <c r="E77" s="88"/>
      <c r="F77" s="88"/>
      <c r="G77" s="89"/>
      <c r="H77" s="104"/>
      <c r="I77" s="105">
        <f t="shared" si="7"/>
        <v>0</v>
      </c>
      <c r="J77" s="90"/>
      <c r="K77" s="91"/>
      <c r="L77" s="113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5"/>
      <c r="AL77" s="92">
        <f t="shared" si="8"/>
        <v>0</v>
      </c>
      <c r="AM77" s="122" t="str">
        <f t="shared" si="9"/>
        <v>OK</v>
      </c>
    </row>
    <row r="78" spans="1:39" ht="17.25" hidden="1" thickBot="1">
      <c r="A78" s="68"/>
      <c r="B78" s="78"/>
      <c r="C78" s="95"/>
      <c r="D78" s="83"/>
      <c r="E78" s="83"/>
      <c r="F78" s="83"/>
      <c r="G78" s="84"/>
      <c r="H78" s="102"/>
      <c r="I78" s="106">
        <f t="shared" si="7"/>
        <v>0</v>
      </c>
      <c r="J78" s="85"/>
      <c r="K78" s="16"/>
      <c r="L78" s="1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66">
        <f t="shared" si="8"/>
        <v>0</v>
      </c>
      <c r="AM78" s="28" t="str">
        <f t="shared" si="9"/>
        <v>OK</v>
      </c>
    </row>
    <row r="79" spans="1:39" ht="17.25" hidden="1" thickBot="1">
      <c r="A79" s="87"/>
      <c r="B79" s="93"/>
      <c r="C79" s="94"/>
      <c r="D79" s="88"/>
      <c r="E79" s="88"/>
      <c r="F79" s="88"/>
      <c r="G79" s="89"/>
      <c r="H79" s="104"/>
      <c r="I79" s="105">
        <f t="shared" si="7"/>
        <v>0</v>
      </c>
      <c r="J79" s="90"/>
      <c r="K79" s="91"/>
      <c r="L79" s="113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5"/>
      <c r="AL79" s="92">
        <f t="shared" si="8"/>
        <v>0</v>
      </c>
      <c r="AM79" s="122" t="str">
        <f t="shared" si="9"/>
        <v>OK</v>
      </c>
    </row>
    <row r="80" spans="1:39" ht="17.25" hidden="1" thickBot="1">
      <c r="A80" s="68"/>
      <c r="B80" s="78"/>
      <c r="C80" s="95"/>
      <c r="D80" s="83"/>
      <c r="E80" s="83"/>
      <c r="F80" s="83"/>
      <c r="G80" s="84"/>
      <c r="H80" s="102"/>
      <c r="I80" s="106">
        <f t="shared" si="7"/>
        <v>0</v>
      </c>
      <c r="J80" s="85"/>
      <c r="K80" s="16"/>
      <c r="L80" s="116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66">
        <f t="shared" si="8"/>
        <v>0</v>
      </c>
      <c r="AM80" s="28" t="str">
        <f t="shared" si="9"/>
        <v>OK</v>
      </c>
    </row>
    <row r="81" spans="1:39" ht="17.25" hidden="1" thickBot="1">
      <c r="A81" s="87"/>
      <c r="B81" s="93"/>
      <c r="C81" s="94"/>
      <c r="D81" s="88"/>
      <c r="E81" s="88"/>
      <c r="F81" s="88"/>
      <c r="G81" s="89"/>
      <c r="H81" s="104"/>
      <c r="I81" s="105">
        <f t="shared" si="7"/>
        <v>0</v>
      </c>
      <c r="J81" s="90"/>
      <c r="K81" s="91"/>
      <c r="L81" s="113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5"/>
      <c r="AL81" s="92">
        <f t="shared" ref="AL81:AL96" si="10">SUM(L81:AK81)</f>
        <v>0</v>
      </c>
      <c r="AM81" s="122" t="str">
        <f t="shared" si="9"/>
        <v>OK</v>
      </c>
    </row>
    <row r="82" spans="1:39" ht="17.25" hidden="1" thickBot="1">
      <c r="A82" s="68"/>
      <c r="B82" s="78"/>
      <c r="C82" s="95"/>
      <c r="D82" s="83"/>
      <c r="E82" s="83"/>
      <c r="F82" s="83"/>
      <c r="G82" s="84"/>
      <c r="H82" s="102"/>
      <c r="I82" s="106">
        <f t="shared" si="7"/>
        <v>0</v>
      </c>
      <c r="J82" s="85"/>
      <c r="K82" s="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66">
        <f t="shared" si="10"/>
        <v>0</v>
      </c>
      <c r="AM82" s="28" t="str">
        <f t="shared" si="9"/>
        <v>OK</v>
      </c>
    </row>
    <row r="83" spans="1:39" ht="17.25" hidden="1" thickBot="1">
      <c r="A83" s="96"/>
      <c r="B83" s="93"/>
      <c r="C83" s="94"/>
      <c r="D83" s="88"/>
      <c r="E83" s="88"/>
      <c r="F83" s="88"/>
      <c r="G83" s="89"/>
      <c r="H83" s="104"/>
      <c r="I83" s="105">
        <f t="shared" si="7"/>
        <v>0</v>
      </c>
      <c r="J83" s="90"/>
      <c r="K83" s="91"/>
      <c r="L83" s="113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5"/>
      <c r="AL83" s="92">
        <f t="shared" si="10"/>
        <v>0</v>
      </c>
      <c r="AM83" s="122" t="str">
        <f t="shared" si="9"/>
        <v>OK</v>
      </c>
    </row>
    <row r="84" spans="1:39" ht="17.25" hidden="1" thickBot="1">
      <c r="A84" s="68"/>
      <c r="B84" s="78"/>
      <c r="C84" s="95"/>
      <c r="D84" s="83"/>
      <c r="E84" s="83"/>
      <c r="F84" s="83"/>
      <c r="G84" s="84"/>
      <c r="H84" s="102"/>
      <c r="I84" s="106">
        <f t="shared" si="7"/>
        <v>0</v>
      </c>
      <c r="J84" s="85"/>
      <c r="K84" s="16"/>
      <c r="L84" s="116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66">
        <f t="shared" si="10"/>
        <v>0</v>
      </c>
      <c r="AM84" s="28" t="str">
        <f t="shared" si="9"/>
        <v>OK</v>
      </c>
    </row>
    <row r="85" spans="1:39" ht="17.25" hidden="1" thickBot="1">
      <c r="A85" s="87"/>
      <c r="B85" s="93"/>
      <c r="C85" s="94"/>
      <c r="D85" s="88"/>
      <c r="E85" s="88"/>
      <c r="F85" s="88"/>
      <c r="G85" s="89"/>
      <c r="H85" s="104"/>
      <c r="I85" s="105">
        <f t="shared" si="7"/>
        <v>0</v>
      </c>
      <c r="J85" s="90"/>
      <c r="K85" s="91"/>
      <c r="L85" s="113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5"/>
      <c r="AL85" s="92">
        <f t="shared" si="10"/>
        <v>0</v>
      </c>
      <c r="AM85" s="122" t="str">
        <f t="shared" si="9"/>
        <v>OK</v>
      </c>
    </row>
    <row r="86" spans="1:39" ht="17.25" hidden="1" thickBot="1">
      <c r="A86" s="68"/>
      <c r="B86" s="78"/>
      <c r="C86" s="95"/>
      <c r="D86" s="83"/>
      <c r="E86" s="83"/>
      <c r="F86" s="83"/>
      <c r="G86" s="84"/>
      <c r="H86" s="102"/>
      <c r="I86" s="106">
        <f t="shared" si="7"/>
        <v>0</v>
      </c>
      <c r="J86" s="85"/>
      <c r="K86" s="16"/>
      <c r="L86" s="116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66">
        <f t="shared" si="10"/>
        <v>0</v>
      </c>
      <c r="AM86" s="28" t="str">
        <f t="shared" si="9"/>
        <v>OK</v>
      </c>
    </row>
    <row r="87" spans="1:39" ht="17.25" hidden="1" thickBot="1">
      <c r="A87" s="87"/>
      <c r="B87" s="93"/>
      <c r="C87" s="94"/>
      <c r="D87" s="88"/>
      <c r="E87" s="88"/>
      <c r="F87" s="88"/>
      <c r="G87" s="89"/>
      <c r="H87" s="104"/>
      <c r="I87" s="105">
        <f t="shared" si="7"/>
        <v>0</v>
      </c>
      <c r="J87" s="90"/>
      <c r="K87" s="91"/>
      <c r="L87" s="113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5"/>
      <c r="AL87" s="92">
        <f t="shared" si="10"/>
        <v>0</v>
      </c>
      <c r="AM87" s="122" t="str">
        <f t="shared" si="9"/>
        <v>OK</v>
      </c>
    </row>
    <row r="88" spans="1:39" ht="17.25" hidden="1" thickBot="1">
      <c r="A88" s="68"/>
      <c r="B88" s="78"/>
      <c r="C88" s="95"/>
      <c r="D88" s="83"/>
      <c r="E88" s="83"/>
      <c r="F88" s="83"/>
      <c r="G88" s="84"/>
      <c r="H88" s="102"/>
      <c r="I88" s="106">
        <f t="shared" si="7"/>
        <v>0</v>
      </c>
      <c r="J88" s="85"/>
      <c r="K88" s="16"/>
      <c r="L88" s="116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66">
        <f t="shared" si="10"/>
        <v>0</v>
      </c>
      <c r="AM88" s="28" t="str">
        <f t="shared" si="9"/>
        <v>OK</v>
      </c>
    </row>
    <row r="89" spans="1:39" ht="17.25" hidden="1" thickBot="1">
      <c r="A89" s="87"/>
      <c r="B89" s="93"/>
      <c r="C89" s="94"/>
      <c r="D89" s="88"/>
      <c r="E89" s="88"/>
      <c r="F89" s="88"/>
      <c r="G89" s="89"/>
      <c r="H89" s="104"/>
      <c r="I89" s="105">
        <f t="shared" si="7"/>
        <v>0</v>
      </c>
      <c r="J89" s="90"/>
      <c r="K89" s="91"/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5"/>
      <c r="AL89" s="92">
        <f t="shared" si="10"/>
        <v>0</v>
      </c>
      <c r="AM89" s="122" t="str">
        <f t="shared" si="9"/>
        <v>OK</v>
      </c>
    </row>
    <row r="90" spans="1:39" ht="17.25" hidden="1" thickBot="1">
      <c r="A90" s="68"/>
      <c r="B90" s="78"/>
      <c r="C90" s="95"/>
      <c r="D90" s="83"/>
      <c r="E90" s="83"/>
      <c r="F90" s="83"/>
      <c r="G90" s="84"/>
      <c r="H90" s="102"/>
      <c r="I90" s="106">
        <f t="shared" si="7"/>
        <v>0</v>
      </c>
      <c r="J90" s="85"/>
      <c r="K90" s="16"/>
      <c r="L90" s="116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66">
        <f t="shared" si="10"/>
        <v>0</v>
      </c>
      <c r="AM90" s="28" t="str">
        <f t="shared" si="9"/>
        <v>OK</v>
      </c>
    </row>
    <row r="91" spans="1:39" ht="17.25" hidden="1" thickBot="1">
      <c r="A91" s="87"/>
      <c r="B91" s="93"/>
      <c r="C91" s="94"/>
      <c r="D91" s="88"/>
      <c r="E91" s="88"/>
      <c r="F91" s="88"/>
      <c r="G91" s="89"/>
      <c r="H91" s="104"/>
      <c r="I91" s="105">
        <f t="shared" si="7"/>
        <v>0</v>
      </c>
      <c r="J91" s="90"/>
      <c r="K91" s="91"/>
      <c r="L91" s="113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5"/>
      <c r="AL91" s="92">
        <f t="shared" si="10"/>
        <v>0</v>
      </c>
      <c r="AM91" s="122" t="str">
        <f t="shared" si="9"/>
        <v>OK</v>
      </c>
    </row>
    <row r="92" spans="1:39" ht="17.25" hidden="1" thickBot="1">
      <c r="A92" s="68"/>
      <c r="B92" s="78"/>
      <c r="C92" s="95"/>
      <c r="D92" s="83"/>
      <c r="E92" s="83"/>
      <c r="F92" s="83"/>
      <c r="G92" s="84"/>
      <c r="H92" s="102"/>
      <c r="I92" s="106">
        <f t="shared" si="7"/>
        <v>0</v>
      </c>
      <c r="J92" s="85"/>
      <c r="K92" s="16"/>
      <c r="L92" s="116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66">
        <f t="shared" si="10"/>
        <v>0</v>
      </c>
      <c r="AM92" s="28" t="str">
        <f t="shared" si="9"/>
        <v>OK</v>
      </c>
    </row>
    <row r="93" spans="1:39" ht="17.25" hidden="1" thickBot="1">
      <c r="A93" s="87"/>
      <c r="B93" s="93"/>
      <c r="C93" s="94"/>
      <c r="D93" s="88"/>
      <c r="E93" s="88"/>
      <c r="F93" s="88"/>
      <c r="G93" s="89"/>
      <c r="H93" s="104"/>
      <c r="I93" s="105">
        <f t="shared" si="7"/>
        <v>0</v>
      </c>
      <c r="J93" s="90"/>
      <c r="K93" s="91"/>
      <c r="L93" s="113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5"/>
      <c r="AL93" s="92">
        <f t="shared" si="10"/>
        <v>0</v>
      </c>
      <c r="AM93" s="122" t="str">
        <f t="shared" si="9"/>
        <v>OK</v>
      </c>
    </row>
    <row r="94" spans="1:39" ht="17.25" hidden="1" thickBot="1">
      <c r="A94" s="68"/>
      <c r="B94" s="78"/>
      <c r="C94" s="95"/>
      <c r="D94" s="83"/>
      <c r="E94" s="83"/>
      <c r="F94" s="83"/>
      <c r="G94" s="84"/>
      <c r="H94" s="102"/>
      <c r="I94" s="106">
        <f t="shared" si="7"/>
        <v>0</v>
      </c>
      <c r="J94" s="85"/>
      <c r="K94" s="16"/>
      <c r="L94" s="116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66">
        <f t="shared" si="10"/>
        <v>0</v>
      </c>
      <c r="AM94" s="28" t="str">
        <f t="shared" si="9"/>
        <v>OK</v>
      </c>
    </row>
    <row r="95" spans="1:39" ht="17.25" hidden="1" thickBot="1">
      <c r="A95" s="87"/>
      <c r="B95" s="93"/>
      <c r="C95" s="94"/>
      <c r="D95" s="88"/>
      <c r="E95" s="88"/>
      <c r="F95" s="88"/>
      <c r="G95" s="89"/>
      <c r="H95" s="104"/>
      <c r="I95" s="105">
        <f t="shared" si="7"/>
        <v>0</v>
      </c>
      <c r="J95" s="90"/>
      <c r="K95" s="91"/>
      <c r="L95" s="113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5"/>
      <c r="AL95" s="92">
        <f t="shared" si="10"/>
        <v>0</v>
      </c>
      <c r="AM95" s="122" t="str">
        <f t="shared" si="9"/>
        <v>OK</v>
      </c>
    </row>
    <row r="96" spans="1:39" ht="17.25" hidden="1" thickBot="1">
      <c r="A96" s="97"/>
      <c r="B96" s="98"/>
      <c r="C96" s="99"/>
      <c r="D96" s="83"/>
      <c r="E96" s="83"/>
      <c r="F96" s="83"/>
      <c r="G96" s="84"/>
      <c r="H96" s="107"/>
      <c r="I96" s="108">
        <f t="shared" si="7"/>
        <v>0</v>
      </c>
      <c r="J96" s="85"/>
      <c r="K96" s="16"/>
      <c r="L96" s="119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1"/>
      <c r="AL96" s="66">
        <f t="shared" si="10"/>
        <v>0</v>
      </c>
      <c r="AM96" s="28" t="str">
        <f t="shared" si="9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38395</v>
      </c>
      <c r="I97" s="46">
        <f>SUM(I6:I96)</f>
        <v>12</v>
      </c>
      <c r="J97" s="47">
        <f>SUM(J6:J74)</f>
        <v>0</v>
      </c>
      <c r="K97" s="9"/>
      <c r="L97" s="45">
        <f>SUM(L6:L96)</f>
        <v>3</v>
      </c>
      <c r="M97" s="45">
        <f t="shared" ref="M97:AI97" si="11">SUM(M6:M96)</f>
        <v>1</v>
      </c>
      <c r="N97" s="45">
        <f t="shared" si="11"/>
        <v>0</v>
      </c>
      <c r="O97" s="45">
        <f t="shared" si="11"/>
        <v>0</v>
      </c>
      <c r="P97" s="45">
        <f t="shared" si="11"/>
        <v>0</v>
      </c>
      <c r="Q97" s="45">
        <f t="shared" si="11"/>
        <v>0</v>
      </c>
      <c r="R97" s="45">
        <f t="shared" si="11"/>
        <v>0</v>
      </c>
      <c r="S97" s="45">
        <f t="shared" si="11"/>
        <v>0</v>
      </c>
      <c r="T97" s="45">
        <f t="shared" si="11"/>
        <v>0</v>
      </c>
      <c r="U97" s="45">
        <f t="shared" si="11"/>
        <v>1</v>
      </c>
      <c r="V97" s="45">
        <f t="shared" si="11"/>
        <v>1</v>
      </c>
      <c r="W97" s="45">
        <f t="shared" si="11"/>
        <v>0</v>
      </c>
      <c r="X97" s="45">
        <f t="shared" si="11"/>
        <v>0</v>
      </c>
      <c r="Y97" s="45">
        <f t="shared" si="11"/>
        <v>1</v>
      </c>
      <c r="Z97" s="45">
        <f t="shared" si="11"/>
        <v>0</v>
      </c>
      <c r="AA97" s="45">
        <f t="shared" si="11"/>
        <v>0</v>
      </c>
      <c r="AB97" s="45">
        <f t="shared" si="11"/>
        <v>1</v>
      </c>
      <c r="AC97" s="45">
        <f t="shared" si="11"/>
        <v>3</v>
      </c>
      <c r="AD97" s="45">
        <f t="shared" si="11"/>
        <v>0</v>
      </c>
      <c r="AE97" s="45">
        <f t="shared" si="11"/>
        <v>0</v>
      </c>
      <c r="AF97" s="45">
        <f t="shared" si="11"/>
        <v>0</v>
      </c>
      <c r="AG97" s="45">
        <f t="shared" si="11"/>
        <v>0</v>
      </c>
      <c r="AH97" s="45">
        <f t="shared" si="11"/>
        <v>0</v>
      </c>
      <c r="AI97" s="45">
        <f t="shared" si="11"/>
        <v>1</v>
      </c>
      <c r="AJ97" s="49">
        <f>SUM(AJ6:AJ96)</f>
        <v>0</v>
      </c>
      <c r="AK97" s="61">
        <f>SUM(AK6:AK96)</f>
        <v>0</v>
      </c>
      <c r="AL97" s="67">
        <f>SUM(AL6:AL96)</f>
        <v>12</v>
      </c>
      <c r="AM97" s="48" t="str">
        <f>IF(AL97=SUM(I97),"OK","NG")</f>
        <v>OK</v>
      </c>
    </row>
    <row r="103" spans="1:39">
      <c r="L103" s="86"/>
    </row>
  </sheetData>
  <autoFilter ref="A5:AM97" xr:uid="{00000000-0001-0000-0000-000000000000}">
    <filterColumn colId="8">
      <filters>
        <filter val="1"/>
        <filter val="12"/>
        <filter val="2"/>
        <filter val="3"/>
      </filters>
    </filterColumn>
  </autoFilter>
  <mergeCells count="37">
    <mergeCell ref="AM4:AM5"/>
    <mergeCell ref="AG4:AG5"/>
    <mergeCell ref="AH4:AH5"/>
    <mergeCell ref="AI4:AI5"/>
    <mergeCell ref="AJ4:AJ5"/>
    <mergeCell ref="AK4:AK5"/>
    <mergeCell ref="AL4:AL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B1:C1"/>
    <mergeCell ref="F1:G1"/>
    <mergeCell ref="H1:J3"/>
    <mergeCell ref="B2:C2"/>
    <mergeCell ref="AM2:AM3"/>
    <mergeCell ref="B3:C3"/>
  </mergeCells>
  <phoneticPr fontId="3" type="noConversion"/>
  <conditionalFormatting sqref="A4 AM6:AM97">
    <cfRule type="containsText" dxfId="77" priority="7" operator="containsText" text="NG">
      <formula>NOT(ISERROR(SEARCH("NG",A4)))</formula>
    </cfRule>
    <cfRule type="containsText" dxfId="76" priority="8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51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 filterMode="1">
    <pageSetUpPr fitToPage="1"/>
  </sheetPr>
  <dimension ref="A1:AM105"/>
  <sheetViews>
    <sheetView showGridLines="0" zoomScale="85" zoomScaleNormal="85" workbookViewId="0">
      <pane ySplit="5" topLeftCell="A24" activePane="bottomLeft" state="frozen"/>
      <selection activeCell="P19" sqref="P19"/>
      <selection pane="bottomLeft"/>
    </sheetView>
  </sheetViews>
  <sheetFormatPr defaultColWidth="9" defaultRowHeight="16.5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12" width="8.75"/>
    <col min="13" max="13" width="9" customWidth="1"/>
    <col min="14" max="16" width="8.75"/>
    <col min="17" max="20" width="9" customWidth="1"/>
    <col min="21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5" customHeight="1" thickBot="1">
      <c r="A1" s="37" t="s">
        <v>13</v>
      </c>
      <c r="B1" s="168">
        <f>H97</f>
        <v>32189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4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5" customHeight="1" thickBot="1">
      <c r="A2" s="37" t="s">
        <v>14</v>
      </c>
      <c r="B2" s="173">
        <f>I97</f>
        <v>11</v>
      </c>
      <c r="C2" s="174"/>
      <c r="D2" s="75"/>
      <c r="E2" s="71"/>
      <c r="F2" s="2"/>
      <c r="G2" s="2"/>
      <c r="H2" s="171"/>
      <c r="I2" s="171"/>
      <c r="J2" s="171"/>
      <c r="K2" s="3"/>
      <c r="L2" s="4">
        <f t="shared" ref="L2:AK2" si="0">SUBTOTAL(9,L6:L96)</f>
        <v>4</v>
      </c>
      <c r="M2" s="4">
        <f t="shared" si="0"/>
        <v>2</v>
      </c>
      <c r="N2" s="4">
        <f t="shared" si="0"/>
        <v>0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39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1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4">
        <f t="shared" si="0"/>
        <v>1</v>
      </c>
      <c r="AD2" s="4">
        <f t="shared" si="0"/>
        <v>0</v>
      </c>
      <c r="AE2" s="4">
        <f t="shared" si="0"/>
        <v>0</v>
      </c>
      <c r="AF2" s="4">
        <f t="shared" si="0"/>
        <v>1</v>
      </c>
      <c r="AG2" s="4">
        <f t="shared" si="0"/>
        <v>1</v>
      </c>
      <c r="AH2" s="5">
        <f t="shared" si="0"/>
        <v>0</v>
      </c>
      <c r="AI2" s="5">
        <f t="shared" si="0"/>
        <v>1</v>
      </c>
      <c r="AJ2" s="5">
        <f t="shared" si="0"/>
        <v>0</v>
      </c>
      <c r="AK2" s="59">
        <f t="shared" si="0"/>
        <v>0</v>
      </c>
      <c r="AL2" s="62">
        <f>SUBTOTAL(9,AL6:AL96)</f>
        <v>11</v>
      </c>
      <c r="AM2" s="175"/>
    </row>
    <row r="3" spans="1:39" customFormat="1" ht="22.5" customHeight="1" thickBot="1">
      <c r="A3" s="38" t="s">
        <v>15</v>
      </c>
      <c r="B3" s="177">
        <f>IF(ISERROR(B2/(B2+B1)*1000000),"",(B2/(B2+B1)*1000000))</f>
        <v>341.61490683229812</v>
      </c>
      <c r="C3" s="178"/>
      <c r="D3" s="73"/>
      <c r="E3" s="72"/>
      <c r="F3" s="32"/>
      <c r="G3" s="32"/>
      <c r="H3" s="172"/>
      <c r="I3" s="172"/>
      <c r="J3" s="172"/>
      <c r="K3" s="6"/>
      <c r="L3" s="7">
        <f t="shared" ref="L3:AK3" si="1">SUM(L6:L96)</f>
        <v>4</v>
      </c>
      <c r="M3" s="7">
        <f t="shared" si="1"/>
        <v>2</v>
      </c>
      <c r="N3" s="7">
        <f t="shared" si="1"/>
        <v>0</v>
      </c>
      <c r="O3" s="7">
        <f t="shared" si="1"/>
        <v>0</v>
      </c>
      <c r="P3" s="7">
        <f t="shared" si="1"/>
        <v>0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40">
        <f t="shared" si="1"/>
        <v>0</v>
      </c>
      <c r="U3" s="8">
        <f t="shared" si="1"/>
        <v>0</v>
      </c>
      <c r="V3" s="8">
        <f t="shared" si="1"/>
        <v>0</v>
      </c>
      <c r="W3" s="8">
        <f t="shared" si="1"/>
        <v>0</v>
      </c>
      <c r="X3" s="8">
        <f t="shared" si="1"/>
        <v>0</v>
      </c>
      <c r="Y3" s="8">
        <f t="shared" si="1"/>
        <v>1</v>
      </c>
      <c r="Z3" s="8">
        <f t="shared" si="1"/>
        <v>0</v>
      </c>
      <c r="AA3" s="8">
        <f t="shared" si="1"/>
        <v>0</v>
      </c>
      <c r="AB3" s="8">
        <f t="shared" si="1"/>
        <v>0</v>
      </c>
      <c r="AC3" s="7">
        <f t="shared" si="1"/>
        <v>1</v>
      </c>
      <c r="AD3" s="7">
        <f t="shared" si="1"/>
        <v>0</v>
      </c>
      <c r="AE3" s="7">
        <f t="shared" si="1"/>
        <v>0</v>
      </c>
      <c r="AF3" s="7">
        <f t="shared" si="1"/>
        <v>1</v>
      </c>
      <c r="AG3" s="7">
        <f t="shared" si="1"/>
        <v>1</v>
      </c>
      <c r="AH3" s="8">
        <f t="shared" si="1"/>
        <v>0</v>
      </c>
      <c r="AI3" s="8">
        <f t="shared" si="1"/>
        <v>1</v>
      </c>
      <c r="AJ3" s="8">
        <f t="shared" si="1"/>
        <v>0</v>
      </c>
      <c r="AK3" s="60">
        <f t="shared" si="1"/>
        <v>0</v>
      </c>
      <c r="AL3" s="63">
        <f>SUM(AL6:AL96)</f>
        <v>11</v>
      </c>
      <c r="AM3" s="176"/>
    </row>
    <row r="4" spans="1:39" customFormat="1" ht="43.5" customHeight="1">
      <c r="A4" s="163" t="str">
        <f>AM97</f>
        <v>OK</v>
      </c>
      <c r="B4" s="163"/>
      <c r="C4" s="163"/>
      <c r="D4" s="164"/>
      <c r="E4" s="165" t="s">
        <v>16</v>
      </c>
      <c r="F4" s="165"/>
      <c r="G4" s="165"/>
      <c r="H4" s="165" t="s">
        <v>17</v>
      </c>
      <c r="I4" s="165"/>
      <c r="J4" s="165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1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56" t="s">
        <v>12</v>
      </c>
      <c r="AL4" s="158" t="s">
        <v>36</v>
      </c>
      <c r="AM4" s="149" t="s">
        <v>37</v>
      </c>
    </row>
    <row r="5" spans="1:39" customFormat="1" ht="33.75" thickBot="1">
      <c r="A5" s="34" t="s">
        <v>3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137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6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3"/>
      <c r="AJ5" s="155"/>
      <c r="AK5" s="157"/>
      <c r="AL5" s="159"/>
      <c r="AM5" s="150"/>
    </row>
    <row r="6" spans="1:39" customFormat="1" hidden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34"/>
      <c r="I6" s="15">
        <f>SUM(L6:AK6)</f>
        <v>0</v>
      </c>
      <c r="J6" s="15"/>
      <c r="K6" s="16"/>
      <c r="L6" s="15"/>
      <c r="M6" s="15"/>
      <c r="N6" s="15"/>
      <c r="O6" s="15"/>
      <c r="P6" s="15"/>
      <c r="Q6" s="15"/>
      <c r="R6" s="15"/>
      <c r="S6" s="15"/>
      <c r="T6" s="41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3"/>
      <c r="AJ6" s="56"/>
      <c r="AK6" s="53"/>
      <c r="AL6" s="64">
        <f>SUM(L6:AK6)</f>
        <v>0</v>
      </c>
      <c r="AM6" s="31" t="str">
        <f t="shared" ref="AM6:AM74" si="2">IF(AL6=I6,"OK","NG")</f>
        <v>OK</v>
      </c>
    </row>
    <row r="7" spans="1:39" customFormat="1" hidden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135"/>
      <c r="I7" s="21">
        <f t="shared" ref="I7:I70" si="3">SUM(L7:AK7)</f>
        <v>0</v>
      </c>
      <c r="J7" s="21"/>
      <c r="K7" s="16"/>
      <c r="L7" s="21"/>
      <c r="M7" s="21"/>
      <c r="N7" s="21"/>
      <c r="O7" s="21"/>
      <c r="P7" s="21"/>
      <c r="Q7" s="21"/>
      <c r="R7" s="21"/>
      <c r="S7" s="21"/>
      <c r="T7" s="42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4"/>
      <c r="AJ7" s="57"/>
      <c r="AK7" s="54"/>
      <c r="AL7" s="65">
        <f t="shared" ref="AL7:AL74" si="4">SUM(L7:AK7)</f>
        <v>0</v>
      </c>
      <c r="AM7" s="22" t="str">
        <f t="shared" si="2"/>
        <v>OK</v>
      </c>
    </row>
    <row r="8" spans="1:39" customFormat="1" hidden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36"/>
      <c r="I8" s="27">
        <f t="shared" si="3"/>
        <v>0</v>
      </c>
      <c r="J8" s="27"/>
      <c r="K8" s="16"/>
      <c r="L8" s="27"/>
      <c r="M8" s="27"/>
      <c r="N8" s="27"/>
      <c r="O8" s="27"/>
      <c r="P8" s="27"/>
      <c r="Q8" s="27"/>
      <c r="R8" s="27"/>
      <c r="S8" s="27"/>
      <c r="T8" s="4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5"/>
      <c r="AJ8" s="58"/>
      <c r="AK8" s="55"/>
      <c r="AL8" s="66">
        <f t="shared" si="4"/>
        <v>0</v>
      </c>
      <c r="AM8" s="28" t="str">
        <f t="shared" si="2"/>
        <v>OK</v>
      </c>
    </row>
    <row r="9" spans="1:39" customFormat="1" hidden="1">
      <c r="A9" s="17" t="s">
        <v>68</v>
      </c>
      <c r="B9" s="77">
        <v>10897</v>
      </c>
      <c r="C9" s="17" t="s">
        <v>62</v>
      </c>
      <c r="D9" s="69"/>
      <c r="E9" s="18"/>
      <c r="F9" s="18"/>
      <c r="G9" s="19"/>
      <c r="H9" s="135"/>
      <c r="I9" s="21">
        <f t="shared" si="3"/>
        <v>0</v>
      </c>
      <c r="J9" s="21"/>
      <c r="K9" s="16"/>
      <c r="L9" s="21"/>
      <c r="M9" s="21"/>
      <c r="N9" s="21"/>
      <c r="O9" s="21"/>
      <c r="P9" s="21"/>
      <c r="Q9" s="21"/>
      <c r="R9" s="21"/>
      <c r="S9" s="21"/>
      <c r="T9" s="42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4"/>
      <c r="AJ9" s="57"/>
      <c r="AK9" s="54"/>
      <c r="AL9" s="65">
        <f t="shared" si="4"/>
        <v>0</v>
      </c>
      <c r="AM9" s="22" t="str">
        <f t="shared" si="2"/>
        <v>OK</v>
      </c>
    </row>
    <row r="10" spans="1:39" customFormat="1" hidden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36"/>
      <c r="I10" s="27">
        <f t="shared" si="3"/>
        <v>0</v>
      </c>
      <c r="J10" s="27"/>
      <c r="K10" s="16"/>
      <c r="L10" s="27"/>
      <c r="M10" s="27"/>
      <c r="N10" s="27"/>
      <c r="O10" s="27"/>
      <c r="P10" s="27"/>
      <c r="Q10" s="27"/>
      <c r="R10" s="27"/>
      <c r="S10" s="27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5"/>
      <c r="AJ10" s="58"/>
      <c r="AK10" s="55"/>
      <c r="AL10" s="66">
        <f t="shared" si="4"/>
        <v>0</v>
      </c>
      <c r="AM10" s="28" t="str">
        <f t="shared" si="2"/>
        <v>OK</v>
      </c>
    </row>
    <row r="11" spans="1:39" customFormat="1" hidden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135"/>
      <c r="I11" s="21">
        <f t="shared" si="3"/>
        <v>0</v>
      </c>
      <c r="J11" s="21"/>
      <c r="K11" s="16"/>
      <c r="L11" s="21"/>
      <c r="M11" s="21"/>
      <c r="N11" s="21"/>
      <c r="O11" s="21"/>
      <c r="P11" s="21"/>
      <c r="Q11" s="21"/>
      <c r="R11" s="21"/>
      <c r="S11" s="21"/>
      <c r="T11" s="42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4"/>
      <c r="AJ11" s="57"/>
      <c r="AK11" s="54"/>
      <c r="AL11" s="65">
        <f t="shared" si="4"/>
        <v>0</v>
      </c>
      <c r="AM11" s="22" t="str">
        <f t="shared" si="2"/>
        <v>OK</v>
      </c>
    </row>
    <row r="12" spans="1:39" customFormat="1" hidden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36"/>
      <c r="I12" s="27">
        <f t="shared" si="3"/>
        <v>0</v>
      </c>
      <c r="J12" s="27"/>
      <c r="K12" s="16"/>
      <c r="L12" s="27"/>
      <c r="M12" s="27"/>
      <c r="N12" s="27"/>
      <c r="O12" s="27"/>
      <c r="P12" s="27"/>
      <c r="Q12" s="27"/>
      <c r="R12" s="27"/>
      <c r="S12" s="27"/>
      <c r="T12" s="43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8"/>
      <c r="AK12" s="55"/>
      <c r="AL12" s="66">
        <f t="shared" si="4"/>
        <v>0</v>
      </c>
      <c r="AM12" s="28" t="str">
        <f t="shared" si="2"/>
        <v>OK</v>
      </c>
    </row>
    <row r="13" spans="1:39" customFormat="1" hidden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135"/>
      <c r="I13" s="21">
        <f t="shared" si="3"/>
        <v>0</v>
      </c>
      <c r="J13" s="21"/>
      <c r="K13" s="16"/>
      <c r="L13" s="21"/>
      <c r="M13" s="21"/>
      <c r="N13" s="21"/>
      <c r="O13" s="21"/>
      <c r="P13" s="21"/>
      <c r="Q13" s="21"/>
      <c r="R13" s="21"/>
      <c r="S13" s="21"/>
      <c r="T13" s="4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4"/>
      <c r="AJ13" s="57"/>
      <c r="AK13" s="54"/>
      <c r="AL13" s="65">
        <f t="shared" si="4"/>
        <v>0</v>
      </c>
      <c r="AM13" s="22" t="str">
        <f t="shared" si="2"/>
        <v>OK</v>
      </c>
    </row>
    <row r="14" spans="1:39" customFormat="1" hidden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36"/>
      <c r="I14" s="27">
        <f t="shared" si="3"/>
        <v>0</v>
      </c>
      <c r="J14" s="27"/>
      <c r="K14" s="16"/>
      <c r="L14" s="27"/>
      <c r="M14" s="27"/>
      <c r="N14" s="27"/>
      <c r="O14" s="27"/>
      <c r="P14" s="27"/>
      <c r="Q14" s="27"/>
      <c r="R14" s="27"/>
      <c r="S14" s="27"/>
      <c r="T14" s="43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5"/>
      <c r="AJ14" s="58"/>
      <c r="AK14" s="55"/>
      <c r="AL14" s="66">
        <f t="shared" si="4"/>
        <v>0</v>
      </c>
      <c r="AM14" s="28" t="str">
        <f t="shared" si="2"/>
        <v>OK</v>
      </c>
    </row>
    <row r="15" spans="1:39" customFormat="1" hidden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135"/>
      <c r="I15" s="21">
        <f t="shared" si="3"/>
        <v>0</v>
      </c>
      <c r="J15" s="21"/>
      <c r="K15" s="16"/>
      <c r="L15" s="21"/>
      <c r="M15" s="21"/>
      <c r="N15" s="21"/>
      <c r="O15" s="21"/>
      <c r="P15" s="21"/>
      <c r="Q15" s="21"/>
      <c r="R15" s="21"/>
      <c r="S15" s="21"/>
      <c r="T15" s="42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4"/>
      <c r="AJ15" s="57"/>
      <c r="AK15" s="54"/>
      <c r="AL15" s="65">
        <f t="shared" si="4"/>
        <v>0</v>
      </c>
      <c r="AM15" s="22" t="str">
        <f t="shared" si="2"/>
        <v>OK</v>
      </c>
    </row>
    <row r="16" spans="1:39" customFormat="1" hidden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36"/>
      <c r="I16" s="27">
        <f t="shared" si="3"/>
        <v>0</v>
      </c>
      <c r="J16" s="27"/>
      <c r="K16" s="16"/>
      <c r="L16" s="27"/>
      <c r="M16" s="27"/>
      <c r="N16" s="27"/>
      <c r="O16" s="27"/>
      <c r="P16" s="27"/>
      <c r="Q16" s="27"/>
      <c r="R16" s="27"/>
      <c r="S16" s="27"/>
      <c r="T16" s="43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8"/>
      <c r="AK16" s="55"/>
      <c r="AL16" s="66">
        <f t="shared" si="4"/>
        <v>0</v>
      </c>
      <c r="AM16" s="28" t="str">
        <f t="shared" si="2"/>
        <v>OK</v>
      </c>
    </row>
    <row r="17" spans="1:39" customFormat="1" hidden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135"/>
      <c r="I17" s="21">
        <f t="shared" si="3"/>
        <v>0</v>
      </c>
      <c r="J17" s="21"/>
      <c r="K17" s="16"/>
      <c r="L17" s="21"/>
      <c r="M17" s="21"/>
      <c r="N17" s="21"/>
      <c r="O17" s="21"/>
      <c r="P17" s="21"/>
      <c r="Q17" s="21"/>
      <c r="R17" s="21"/>
      <c r="S17" s="21"/>
      <c r="T17" s="42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4"/>
      <c r="AJ17" s="57"/>
      <c r="AK17" s="54"/>
      <c r="AL17" s="65">
        <f t="shared" si="4"/>
        <v>0</v>
      </c>
      <c r="AM17" s="22" t="str">
        <f t="shared" si="2"/>
        <v>OK</v>
      </c>
    </row>
    <row r="18" spans="1:39" customFormat="1" hidden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36">
        <v>1360</v>
      </c>
      <c r="I18" s="27">
        <f t="shared" si="3"/>
        <v>0</v>
      </c>
      <c r="J18" s="27"/>
      <c r="K18" s="16"/>
      <c r="L18" s="27"/>
      <c r="M18" s="27"/>
      <c r="N18" s="27"/>
      <c r="O18" s="27"/>
      <c r="P18" s="27"/>
      <c r="Q18" s="27"/>
      <c r="R18" s="27"/>
      <c r="S18" s="27"/>
      <c r="T18" s="43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8"/>
      <c r="AK18" s="55"/>
      <c r="AL18" s="66">
        <f t="shared" si="4"/>
        <v>0</v>
      </c>
      <c r="AM18" s="28" t="str">
        <f t="shared" si="2"/>
        <v>OK</v>
      </c>
    </row>
    <row r="19" spans="1:39" customFormat="1" hidden="1">
      <c r="A19" s="17" t="s">
        <v>91</v>
      </c>
      <c r="B19" s="77">
        <v>14988</v>
      </c>
      <c r="C19" s="17" t="s">
        <v>64</v>
      </c>
      <c r="D19" s="69"/>
      <c r="E19" s="18"/>
      <c r="F19" s="18"/>
      <c r="G19" s="19"/>
      <c r="H19" s="135">
        <f>1560+2040</f>
        <v>3600</v>
      </c>
      <c r="I19" s="21">
        <f t="shared" si="3"/>
        <v>0</v>
      </c>
      <c r="J19" s="21"/>
      <c r="K19" s="16"/>
      <c r="L19" s="21"/>
      <c r="M19" s="21"/>
      <c r="N19" s="21"/>
      <c r="O19" s="21"/>
      <c r="P19" s="21"/>
      <c r="Q19" s="21"/>
      <c r="R19" s="21"/>
      <c r="S19" s="21"/>
      <c r="T19" s="42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4"/>
      <c r="AJ19" s="57"/>
      <c r="AK19" s="54"/>
      <c r="AL19" s="65">
        <f t="shared" si="4"/>
        <v>0</v>
      </c>
      <c r="AM19" s="22" t="str">
        <f t="shared" si="2"/>
        <v>OK</v>
      </c>
    </row>
    <row r="20" spans="1:39" customFormat="1" hidden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136"/>
      <c r="I20" s="27">
        <f t="shared" si="3"/>
        <v>0</v>
      </c>
      <c r="J20" s="27"/>
      <c r="K20" s="16"/>
      <c r="L20" s="27"/>
      <c r="M20" s="27"/>
      <c r="N20" s="27"/>
      <c r="O20" s="27"/>
      <c r="P20" s="27"/>
      <c r="Q20" s="27"/>
      <c r="R20" s="27"/>
      <c r="S20" s="27"/>
      <c r="T20" s="43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8"/>
      <c r="AK20" s="55"/>
      <c r="AL20" s="66">
        <f t="shared" si="4"/>
        <v>0</v>
      </c>
      <c r="AM20" s="28" t="str">
        <f t="shared" si="2"/>
        <v>OK</v>
      </c>
    </row>
    <row r="21" spans="1:39" customFormat="1" hidden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135"/>
      <c r="I21" s="21">
        <f t="shared" si="3"/>
        <v>0</v>
      </c>
      <c r="J21" s="21"/>
      <c r="K21" s="16"/>
      <c r="L21" s="21"/>
      <c r="M21" s="21"/>
      <c r="N21" s="21"/>
      <c r="O21" s="21"/>
      <c r="P21" s="21"/>
      <c r="Q21" s="21"/>
      <c r="R21" s="21"/>
      <c r="S21" s="21"/>
      <c r="T21" s="4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4"/>
      <c r="AJ21" s="57"/>
      <c r="AK21" s="54"/>
      <c r="AL21" s="65">
        <f t="shared" si="4"/>
        <v>0</v>
      </c>
      <c r="AM21" s="22" t="str">
        <f t="shared" si="2"/>
        <v>OK</v>
      </c>
    </row>
    <row r="22" spans="1:39" customFormat="1" hidden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36"/>
      <c r="I22" s="27">
        <f t="shared" si="3"/>
        <v>0</v>
      </c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43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5"/>
      <c r="AJ22" s="58"/>
      <c r="AK22" s="55"/>
      <c r="AL22" s="66">
        <f t="shared" si="4"/>
        <v>0</v>
      </c>
      <c r="AM22" s="28" t="str">
        <f t="shared" si="2"/>
        <v>OK</v>
      </c>
    </row>
    <row r="23" spans="1:39" customFormat="1" hidden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135"/>
      <c r="I23" s="21">
        <f t="shared" si="3"/>
        <v>0</v>
      </c>
      <c r="J23" s="21"/>
      <c r="K23" s="16"/>
      <c r="L23" s="21"/>
      <c r="M23" s="21"/>
      <c r="N23" s="21"/>
      <c r="O23" s="21"/>
      <c r="P23" s="21"/>
      <c r="Q23" s="21"/>
      <c r="R23" s="21"/>
      <c r="S23" s="21"/>
      <c r="T23" s="42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7"/>
      <c r="AK23" s="54"/>
      <c r="AL23" s="65">
        <f>SUM(L23:AK23)</f>
        <v>0</v>
      </c>
      <c r="AM23" s="22" t="str">
        <f t="shared" si="2"/>
        <v>OK</v>
      </c>
    </row>
    <row r="24" spans="1:39" customFormat="1">
      <c r="A24" s="68" t="s">
        <v>44</v>
      </c>
      <c r="B24" s="78">
        <v>10163</v>
      </c>
      <c r="C24" s="23" t="s">
        <v>45</v>
      </c>
      <c r="D24" s="24"/>
      <c r="E24" s="24"/>
      <c r="F24" s="24"/>
      <c r="G24" s="25"/>
      <c r="H24" s="136">
        <f>672+672</f>
        <v>1344</v>
      </c>
      <c r="I24" s="27">
        <f t="shared" si="3"/>
        <v>3</v>
      </c>
      <c r="J24" s="27"/>
      <c r="K24" s="16"/>
      <c r="L24" s="27"/>
      <c r="M24" s="27"/>
      <c r="N24" s="27"/>
      <c r="O24" s="27"/>
      <c r="P24" s="27"/>
      <c r="Q24" s="27"/>
      <c r="R24" s="27"/>
      <c r="S24" s="27"/>
      <c r="T24" s="43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>
        <v>1</v>
      </c>
      <c r="AG24" s="52">
        <v>1</v>
      </c>
      <c r="AH24" s="52"/>
      <c r="AI24" s="55">
        <v>1</v>
      </c>
      <c r="AJ24" s="58"/>
      <c r="AK24" s="55"/>
      <c r="AL24" s="66">
        <f t="shared" si="4"/>
        <v>3</v>
      </c>
      <c r="AM24" s="28" t="str">
        <f t="shared" si="2"/>
        <v>OK</v>
      </c>
    </row>
    <row r="25" spans="1:39" customFormat="1" hidden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135"/>
      <c r="I25" s="21">
        <f t="shared" si="3"/>
        <v>0</v>
      </c>
      <c r="J25" s="21"/>
      <c r="K25" s="16"/>
      <c r="L25" s="21"/>
      <c r="M25" s="21"/>
      <c r="N25" s="21"/>
      <c r="O25" s="21"/>
      <c r="P25" s="21"/>
      <c r="Q25" s="21"/>
      <c r="R25" s="21"/>
      <c r="S25" s="21"/>
      <c r="T25" s="42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4"/>
      <c r="AJ25" s="57"/>
      <c r="AK25" s="54"/>
      <c r="AL25" s="65">
        <f t="shared" si="4"/>
        <v>0</v>
      </c>
      <c r="AM25" s="22" t="str">
        <f t="shared" si="2"/>
        <v>OK</v>
      </c>
    </row>
    <row r="26" spans="1:39" customFormat="1" hidden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36"/>
      <c r="I26" s="27">
        <f t="shared" si="3"/>
        <v>0</v>
      </c>
      <c r="J26" s="27"/>
      <c r="K26" s="16"/>
      <c r="L26" s="27"/>
      <c r="M26" s="27"/>
      <c r="N26" s="27"/>
      <c r="O26" s="27"/>
      <c r="P26" s="27"/>
      <c r="Q26" s="27"/>
      <c r="R26" s="27"/>
      <c r="S26" s="27"/>
      <c r="T26" s="43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8"/>
      <c r="AK26" s="55"/>
      <c r="AL26" s="66">
        <f t="shared" si="4"/>
        <v>0</v>
      </c>
      <c r="AM26" s="28" t="str">
        <f t="shared" si="2"/>
        <v>OK</v>
      </c>
    </row>
    <row r="27" spans="1:39" customFormat="1" hidden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135"/>
      <c r="I27" s="21">
        <f t="shared" si="3"/>
        <v>0</v>
      </c>
      <c r="J27" s="21"/>
      <c r="K27" s="16"/>
      <c r="L27" s="21"/>
      <c r="M27" s="21"/>
      <c r="N27" s="21"/>
      <c r="O27" s="21"/>
      <c r="P27" s="21"/>
      <c r="Q27" s="21"/>
      <c r="R27" s="21"/>
      <c r="S27" s="21"/>
      <c r="T27" s="4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7"/>
      <c r="AK27" s="54"/>
      <c r="AL27" s="65">
        <f t="shared" si="4"/>
        <v>0</v>
      </c>
      <c r="AM27" s="22" t="str">
        <f t="shared" si="2"/>
        <v>OK</v>
      </c>
    </row>
    <row r="28" spans="1:39" customFormat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136">
        <v>2184</v>
      </c>
      <c r="I28" s="27">
        <f t="shared" si="3"/>
        <v>4</v>
      </c>
      <c r="J28" s="27"/>
      <c r="K28" s="16"/>
      <c r="L28" s="27">
        <v>2</v>
      </c>
      <c r="M28" s="27"/>
      <c r="N28" s="27"/>
      <c r="O28" s="27"/>
      <c r="P28" s="27"/>
      <c r="Q28" s="27"/>
      <c r="R28" s="27"/>
      <c r="S28" s="27"/>
      <c r="T28" s="43"/>
      <c r="U28" s="52"/>
      <c r="V28" s="52"/>
      <c r="W28" s="52"/>
      <c r="X28" s="52"/>
      <c r="Y28" s="52">
        <v>1</v>
      </c>
      <c r="Z28" s="52"/>
      <c r="AA28" s="52"/>
      <c r="AB28" s="52"/>
      <c r="AC28" s="52">
        <v>1</v>
      </c>
      <c r="AD28" s="52"/>
      <c r="AE28" s="52"/>
      <c r="AF28" s="52"/>
      <c r="AG28" s="52"/>
      <c r="AH28" s="52"/>
      <c r="AI28" s="55"/>
      <c r="AJ28" s="58"/>
      <c r="AK28" s="55"/>
      <c r="AL28" s="66">
        <f t="shared" si="4"/>
        <v>4</v>
      </c>
      <c r="AM28" s="28" t="str">
        <f t="shared" si="2"/>
        <v>OK</v>
      </c>
    </row>
    <row r="29" spans="1:39" customFormat="1" hidden="1">
      <c r="A29" s="80" t="s">
        <v>71</v>
      </c>
      <c r="B29" s="77">
        <v>10151</v>
      </c>
      <c r="C29" s="17" t="s">
        <v>51</v>
      </c>
      <c r="D29" s="69"/>
      <c r="E29" s="18"/>
      <c r="F29" s="18"/>
      <c r="G29" s="19"/>
      <c r="H29" s="135">
        <v>1980</v>
      </c>
      <c r="I29" s="21">
        <f t="shared" si="3"/>
        <v>0</v>
      </c>
      <c r="J29" s="21"/>
      <c r="K29" s="16"/>
      <c r="L29" s="21"/>
      <c r="M29" s="21"/>
      <c r="N29" s="21"/>
      <c r="O29" s="21"/>
      <c r="P29" s="21"/>
      <c r="Q29" s="21"/>
      <c r="R29" s="21"/>
      <c r="S29" s="21"/>
      <c r="T29" s="42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4"/>
      <c r="AJ29" s="57"/>
      <c r="AK29" s="54"/>
      <c r="AL29" s="65">
        <f t="shared" si="4"/>
        <v>0</v>
      </c>
      <c r="AM29" s="22" t="str">
        <f t="shared" si="2"/>
        <v>OK</v>
      </c>
    </row>
    <row r="30" spans="1:39" customFormat="1" hidden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137">
        <v>1026</v>
      </c>
      <c r="I30" s="27">
        <f t="shared" si="3"/>
        <v>0</v>
      </c>
      <c r="J30" s="27"/>
      <c r="K30" s="16"/>
      <c r="L30" s="27"/>
      <c r="M30" s="27"/>
      <c r="N30" s="27"/>
      <c r="O30" s="27"/>
      <c r="P30" s="27"/>
      <c r="Q30" s="27"/>
      <c r="R30" s="27"/>
      <c r="S30" s="27"/>
      <c r="T30" s="43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5"/>
      <c r="AJ30" s="58"/>
      <c r="AK30" s="55"/>
      <c r="AL30" s="66">
        <f t="shared" si="4"/>
        <v>0</v>
      </c>
      <c r="AM30" s="28" t="str">
        <f t="shared" si="2"/>
        <v>OK</v>
      </c>
    </row>
    <row r="31" spans="1:39" customFormat="1" hidden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135"/>
      <c r="I31" s="21">
        <f t="shared" si="3"/>
        <v>0</v>
      </c>
      <c r="J31" s="21"/>
      <c r="K31" s="16"/>
      <c r="L31" s="21"/>
      <c r="M31" s="21"/>
      <c r="N31" s="21"/>
      <c r="O31" s="21"/>
      <c r="P31" s="21"/>
      <c r="Q31" s="21"/>
      <c r="R31" s="21"/>
      <c r="S31" s="21"/>
      <c r="T31" s="4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7"/>
      <c r="AK31" s="54"/>
      <c r="AL31" s="65">
        <f t="shared" si="4"/>
        <v>0</v>
      </c>
      <c r="AM31" s="22" t="str">
        <f t="shared" si="2"/>
        <v>OK</v>
      </c>
    </row>
    <row r="32" spans="1:39" customFormat="1" hidden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136"/>
      <c r="I32" s="27">
        <f t="shared" si="3"/>
        <v>0</v>
      </c>
      <c r="J32" s="27"/>
      <c r="K32" s="16"/>
      <c r="L32" s="27"/>
      <c r="M32" s="27"/>
      <c r="N32" s="27"/>
      <c r="O32" s="27"/>
      <c r="P32" s="27"/>
      <c r="Q32" s="27"/>
      <c r="R32" s="27"/>
      <c r="S32" s="27"/>
      <c r="T32" s="43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5"/>
      <c r="AJ32" s="58"/>
      <c r="AK32" s="55"/>
      <c r="AL32" s="66">
        <f t="shared" si="4"/>
        <v>0</v>
      </c>
      <c r="AM32" s="28" t="str">
        <f t="shared" si="2"/>
        <v>OK</v>
      </c>
    </row>
    <row r="33" spans="1:39" customFormat="1" hidden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135">
        <v>1770</v>
      </c>
      <c r="I33" s="21">
        <f t="shared" si="3"/>
        <v>0</v>
      </c>
      <c r="J33" s="21"/>
      <c r="K33" s="16"/>
      <c r="L33" s="21"/>
      <c r="M33" s="21"/>
      <c r="N33" s="21"/>
      <c r="O33" s="21"/>
      <c r="P33" s="21"/>
      <c r="Q33" s="21"/>
      <c r="R33" s="21"/>
      <c r="S33" s="21"/>
      <c r="T33" s="42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4"/>
      <c r="AJ33" s="57"/>
      <c r="AK33" s="54"/>
      <c r="AL33" s="65">
        <f t="shared" si="4"/>
        <v>0</v>
      </c>
      <c r="AM33" s="22" t="str">
        <f t="shared" si="2"/>
        <v>OK</v>
      </c>
    </row>
    <row r="34" spans="1:39" customFormat="1" hidden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136">
        <v>550</v>
      </c>
      <c r="I34" s="27">
        <f t="shared" si="3"/>
        <v>0</v>
      </c>
      <c r="J34" s="27"/>
      <c r="K34" s="16"/>
      <c r="L34" s="27"/>
      <c r="M34" s="27"/>
      <c r="N34" s="27"/>
      <c r="O34" s="27"/>
      <c r="P34" s="27"/>
      <c r="Q34" s="27"/>
      <c r="R34" s="27"/>
      <c r="S34" s="27"/>
      <c r="T34" s="43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5"/>
      <c r="AJ34" s="58"/>
      <c r="AK34" s="55"/>
      <c r="AL34" s="66">
        <f t="shared" si="4"/>
        <v>0</v>
      </c>
      <c r="AM34" s="28" t="str">
        <f t="shared" si="2"/>
        <v>OK</v>
      </c>
    </row>
    <row r="35" spans="1:39" customFormat="1" hidden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135"/>
      <c r="I35" s="21">
        <f t="shared" si="3"/>
        <v>0</v>
      </c>
      <c r="J35" s="21"/>
      <c r="K35" s="16"/>
      <c r="L35" s="21"/>
      <c r="M35" s="21"/>
      <c r="N35" s="21"/>
      <c r="O35" s="21"/>
      <c r="P35" s="21"/>
      <c r="Q35" s="21"/>
      <c r="R35" s="21"/>
      <c r="S35" s="21"/>
      <c r="T35" s="42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4"/>
      <c r="AJ35" s="57"/>
      <c r="AK35" s="54"/>
      <c r="AL35" s="65">
        <f t="shared" si="4"/>
        <v>0</v>
      </c>
      <c r="AM35" s="22" t="str">
        <f t="shared" si="2"/>
        <v>OK</v>
      </c>
    </row>
    <row r="36" spans="1:39" customFormat="1" hidden="1">
      <c r="A36" s="68" t="s">
        <v>76</v>
      </c>
      <c r="B36" s="78">
        <v>10135</v>
      </c>
      <c r="C36" s="23" t="s">
        <v>56</v>
      </c>
      <c r="D36" s="24"/>
      <c r="E36" s="24"/>
      <c r="F36" s="24"/>
      <c r="G36" s="25"/>
      <c r="H36" s="136"/>
      <c r="I36" s="27">
        <f t="shared" si="3"/>
        <v>0</v>
      </c>
      <c r="J36" s="27"/>
      <c r="K36" s="16"/>
      <c r="L36" s="27"/>
      <c r="M36" s="27"/>
      <c r="N36" s="27"/>
      <c r="O36" s="27"/>
      <c r="P36" s="27"/>
      <c r="Q36" s="27"/>
      <c r="R36" s="27"/>
      <c r="S36" s="27"/>
      <c r="T36" s="43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5"/>
      <c r="AJ36" s="58"/>
      <c r="AK36" s="55"/>
      <c r="AL36" s="66">
        <f t="shared" si="4"/>
        <v>0</v>
      </c>
      <c r="AM36" s="28" t="str">
        <f t="shared" si="2"/>
        <v>OK</v>
      </c>
    </row>
    <row r="37" spans="1:39" customFormat="1" hidden="1">
      <c r="A37" s="80" t="s">
        <v>77</v>
      </c>
      <c r="B37" s="77">
        <v>10133</v>
      </c>
      <c r="C37" s="17" t="s">
        <v>55</v>
      </c>
      <c r="D37" s="69"/>
      <c r="E37" s="18"/>
      <c r="F37" s="18"/>
      <c r="G37" s="19"/>
      <c r="H37" s="135">
        <f>1000+1000+905+300</f>
        <v>3205</v>
      </c>
      <c r="I37" s="21">
        <f t="shared" si="3"/>
        <v>0</v>
      </c>
      <c r="J37" s="21"/>
      <c r="K37" s="16"/>
      <c r="L37" s="21"/>
      <c r="M37" s="21"/>
      <c r="N37" s="21"/>
      <c r="O37" s="21"/>
      <c r="P37" s="21"/>
      <c r="Q37" s="21"/>
      <c r="R37" s="21"/>
      <c r="S37" s="21"/>
      <c r="T37" s="42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4"/>
      <c r="AJ37" s="57"/>
      <c r="AK37" s="54"/>
      <c r="AL37" s="65">
        <f t="shared" si="4"/>
        <v>0</v>
      </c>
      <c r="AM37" s="22" t="str">
        <f t="shared" si="2"/>
        <v>OK</v>
      </c>
    </row>
    <row r="38" spans="1:39" customFormat="1" hidden="1">
      <c r="A38" s="68" t="s">
        <v>148</v>
      </c>
      <c r="B38" s="78">
        <v>10131</v>
      </c>
      <c r="C38" s="23" t="s">
        <v>56</v>
      </c>
      <c r="D38" s="24"/>
      <c r="E38" s="24"/>
      <c r="F38" s="24"/>
      <c r="G38" s="25"/>
      <c r="H38" s="136">
        <v>700</v>
      </c>
      <c r="I38" s="27">
        <f t="shared" si="3"/>
        <v>0</v>
      </c>
      <c r="J38" s="27"/>
      <c r="K38" s="16"/>
      <c r="L38" s="27"/>
      <c r="M38" s="27"/>
      <c r="N38" s="27"/>
      <c r="O38" s="27"/>
      <c r="P38" s="27"/>
      <c r="Q38" s="27"/>
      <c r="R38" s="27"/>
      <c r="S38" s="27"/>
      <c r="T38" s="43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5"/>
      <c r="AJ38" s="58"/>
      <c r="AK38" s="55"/>
      <c r="AL38" s="66">
        <f t="shared" ref="AL38:AL50" si="5">SUM(L38:AK38)</f>
        <v>0</v>
      </c>
      <c r="AM38" s="28" t="str">
        <f t="shared" si="2"/>
        <v>OK</v>
      </c>
    </row>
    <row r="39" spans="1:39" customFormat="1" hidden="1">
      <c r="A39" s="17" t="s">
        <v>79</v>
      </c>
      <c r="B39" s="77">
        <v>10129</v>
      </c>
      <c r="C39" s="17" t="s">
        <v>57</v>
      </c>
      <c r="D39" s="69"/>
      <c r="E39" s="18"/>
      <c r="F39" s="18"/>
      <c r="G39" s="19"/>
      <c r="H39" s="135"/>
      <c r="I39" s="21">
        <f t="shared" si="3"/>
        <v>0</v>
      </c>
      <c r="J39" s="21"/>
      <c r="K39" s="16"/>
      <c r="L39" s="21"/>
      <c r="M39" s="21"/>
      <c r="N39" s="21"/>
      <c r="O39" s="21"/>
      <c r="P39" s="21"/>
      <c r="Q39" s="21"/>
      <c r="R39" s="21"/>
      <c r="S39" s="21"/>
      <c r="T39" s="42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4"/>
      <c r="AJ39" s="57"/>
      <c r="AK39" s="54"/>
      <c r="AL39" s="65">
        <f t="shared" si="5"/>
        <v>0</v>
      </c>
      <c r="AM39" s="22" t="str">
        <f t="shared" si="2"/>
        <v>OK</v>
      </c>
    </row>
    <row r="40" spans="1:39" customFormat="1" hidden="1">
      <c r="A40" s="68" t="s">
        <v>80</v>
      </c>
      <c r="B40" s="78">
        <v>10127</v>
      </c>
      <c r="C40" s="23" t="s">
        <v>58</v>
      </c>
      <c r="D40" s="24"/>
      <c r="E40" s="24"/>
      <c r="F40" s="24"/>
      <c r="G40" s="25"/>
      <c r="H40" s="136"/>
      <c r="I40" s="27">
        <f t="shared" si="3"/>
        <v>0</v>
      </c>
      <c r="J40" s="27"/>
      <c r="K40" s="16"/>
      <c r="L40" s="27"/>
      <c r="M40" s="27"/>
      <c r="N40" s="27"/>
      <c r="O40" s="27"/>
      <c r="P40" s="27"/>
      <c r="Q40" s="27"/>
      <c r="R40" s="27"/>
      <c r="S40" s="27"/>
      <c r="T40" s="43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5"/>
      <c r="AJ40" s="58"/>
      <c r="AK40" s="55"/>
      <c r="AL40" s="66">
        <f t="shared" si="5"/>
        <v>0</v>
      </c>
      <c r="AM40" s="28" t="str">
        <f t="shared" si="2"/>
        <v>OK</v>
      </c>
    </row>
    <row r="41" spans="1:39" customFormat="1" hidden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135"/>
      <c r="I41" s="21">
        <f t="shared" si="3"/>
        <v>0</v>
      </c>
      <c r="J41" s="21"/>
      <c r="K41" s="16"/>
      <c r="L41" s="21"/>
      <c r="M41" s="21"/>
      <c r="N41" s="21"/>
      <c r="O41" s="21"/>
      <c r="P41" s="21"/>
      <c r="Q41" s="21"/>
      <c r="R41" s="21"/>
      <c r="S41" s="21"/>
      <c r="T41" s="4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4"/>
      <c r="AJ41" s="57"/>
      <c r="AK41" s="54"/>
      <c r="AL41" s="65">
        <f t="shared" si="5"/>
        <v>0</v>
      </c>
      <c r="AM41" s="22" t="str">
        <f t="shared" si="2"/>
        <v>OK</v>
      </c>
    </row>
    <row r="42" spans="1:39" customFormat="1" hidden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136"/>
      <c r="I42" s="27">
        <f t="shared" si="3"/>
        <v>0</v>
      </c>
      <c r="J42" s="27"/>
      <c r="K42" s="16"/>
      <c r="L42" s="27"/>
      <c r="M42" s="27"/>
      <c r="N42" s="27"/>
      <c r="O42" s="27"/>
      <c r="P42" s="27"/>
      <c r="Q42" s="27"/>
      <c r="R42" s="27"/>
      <c r="S42" s="27"/>
      <c r="T42" s="43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5"/>
      <c r="AJ42" s="58"/>
      <c r="AK42" s="55"/>
      <c r="AL42" s="66">
        <f t="shared" si="5"/>
        <v>0</v>
      </c>
      <c r="AM42" s="28" t="str">
        <f t="shared" si="2"/>
        <v>OK</v>
      </c>
    </row>
    <row r="43" spans="1:39" customFormat="1" hidden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135"/>
      <c r="I43" s="21">
        <f t="shared" si="3"/>
        <v>0</v>
      </c>
      <c r="J43" s="21"/>
      <c r="K43" s="16"/>
      <c r="L43" s="21"/>
      <c r="M43" s="21"/>
      <c r="N43" s="21"/>
      <c r="O43" s="21"/>
      <c r="P43" s="21"/>
      <c r="Q43" s="21"/>
      <c r="R43" s="21"/>
      <c r="S43" s="21"/>
      <c r="T43" s="42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4"/>
      <c r="AJ43" s="57"/>
      <c r="AK43" s="54"/>
      <c r="AL43" s="65">
        <f t="shared" si="5"/>
        <v>0</v>
      </c>
      <c r="AM43" s="22" t="str">
        <f t="shared" si="2"/>
        <v>OK</v>
      </c>
    </row>
    <row r="44" spans="1:39" customFormat="1" hidden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136"/>
      <c r="I44" s="27">
        <f t="shared" si="3"/>
        <v>0</v>
      </c>
      <c r="J44" s="27"/>
      <c r="K44" s="16"/>
      <c r="L44" s="27"/>
      <c r="M44" s="27"/>
      <c r="N44" s="27"/>
      <c r="O44" s="27"/>
      <c r="P44" s="27"/>
      <c r="Q44" s="27"/>
      <c r="R44" s="27"/>
      <c r="S44" s="27"/>
      <c r="T44" s="43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5"/>
      <c r="AJ44" s="58"/>
      <c r="AK44" s="55"/>
      <c r="AL44" s="66">
        <f t="shared" si="5"/>
        <v>0</v>
      </c>
      <c r="AM44" s="28" t="str">
        <f t="shared" si="2"/>
        <v>OK</v>
      </c>
    </row>
    <row r="45" spans="1:39" customFormat="1" hidden="1">
      <c r="A45" s="17" t="s">
        <v>107</v>
      </c>
      <c r="B45" s="77">
        <v>13467</v>
      </c>
      <c r="C45" s="17" t="s">
        <v>87</v>
      </c>
      <c r="D45" s="69"/>
      <c r="E45" s="18"/>
      <c r="F45" s="18"/>
      <c r="G45" s="19"/>
      <c r="H45" s="135">
        <f>285+672</f>
        <v>957</v>
      </c>
      <c r="I45" s="21">
        <f t="shared" si="3"/>
        <v>0</v>
      </c>
      <c r="J45" s="21"/>
      <c r="K45" s="16"/>
      <c r="L45" s="21"/>
      <c r="M45" s="21"/>
      <c r="N45" s="21"/>
      <c r="O45" s="21"/>
      <c r="P45" s="21"/>
      <c r="Q45" s="21"/>
      <c r="R45" s="21"/>
      <c r="S45" s="21"/>
      <c r="T45" s="4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4"/>
      <c r="AJ45" s="57"/>
      <c r="AK45" s="54"/>
      <c r="AL45" s="65">
        <f t="shared" si="5"/>
        <v>0</v>
      </c>
      <c r="AM45" s="22" t="str">
        <f t="shared" si="2"/>
        <v>OK</v>
      </c>
    </row>
    <row r="46" spans="1:39" customFormat="1" hidden="1">
      <c r="A46" s="68" t="s">
        <v>111</v>
      </c>
      <c r="B46" s="78">
        <v>15948</v>
      </c>
      <c r="C46" s="23" t="s">
        <v>87</v>
      </c>
      <c r="D46" s="24"/>
      <c r="E46" s="24"/>
      <c r="F46" s="24"/>
      <c r="G46" s="25"/>
      <c r="H46" s="136"/>
      <c r="I46" s="27">
        <f t="shared" si="3"/>
        <v>0</v>
      </c>
      <c r="J46" s="27"/>
      <c r="K46" s="16"/>
      <c r="L46" s="27"/>
      <c r="M46" s="27"/>
      <c r="N46" s="27"/>
      <c r="O46" s="27"/>
      <c r="P46" s="27"/>
      <c r="Q46" s="27"/>
      <c r="R46" s="27"/>
      <c r="S46" s="27"/>
      <c r="T46" s="43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5"/>
      <c r="AJ46" s="58"/>
      <c r="AK46" s="55"/>
      <c r="AL46" s="66">
        <f t="shared" si="5"/>
        <v>0</v>
      </c>
      <c r="AM46" s="28" t="str">
        <f t="shared" si="2"/>
        <v>OK</v>
      </c>
    </row>
    <row r="47" spans="1:39" customFormat="1" hidden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135"/>
      <c r="I47" s="21">
        <f t="shared" si="3"/>
        <v>0</v>
      </c>
      <c r="J47" s="21"/>
      <c r="K47" s="16"/>
      <c r="L47" s="21"/>
      <c r="M47" s="21"/>
      <c r="N47" s="21"/>
      <c r="O47" s="21"/>
      <c r="P47" s="21"/>
      <c r="Q47" s="21"/>
      <c r="R47" s="21"/>
      <c r="S47" s="21"/>
      <c r="T47" s="42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4"/>
      <c r="AJ47" s="57"/>
      <c r="AK47" s="54"/>
      <c r="AL47" s="65">
        <f t="shared" si="5"/>
        <v>0</v>
      </c>
      <c r="AM47" s="22" t="str">
        <f t="shared" si="2"/>
        <v>OK</v>
      </c>
    </row>
    <row r="48" spans="1:39" customFormat="1" hidden="1">
      <c r="A48" s="68" t="s">
        <v>121</v>
      </c>
      <c r="B48" s="78">
        <v>16598</v>
      </c>
      <c r="C48" s="23" t="s">
        <v>87</v>
      </c>
      <c r="D48" s="24"/>
      <c r="E48" s="24"/>
      <c r="F48" s="24"/>
      <c r="G48" s="25"/>
      <c r="H48" s="136">
        <v>1006</v>
      </c>
      <c r="I48" s="27">
        <f t="shared" si="3"/>
        <v>0</v>
      </c>
      <c r="J48" s="27"/>
      <c r="K48" s="16"/>
      <c r="L48" s="27"/>
      <c r="M48" s="27"/>
      <c r="N48" s="27"/>
      <c r="O48" s="27"/>
      <c r="P48" s="27"/>
      <c r="Q48" s="27"/>
      <c r="R48" s="27"/>
      <c r="S48" s="27"/>
      <c r="T48" s="43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5"/>
      <c r="AJ48" s="58"/>
      <c r="AK48" s="55"/>
      <c r="AL48" s="66">
        <f t="shared" si="5"/>
        <v>0</v>
      </c>
      <c r="AM48" s="28" t="str">
        <f t="shared" si="2"/>
        <v>OK</v>
      </c>
    </row>
    <row r="49" spans="1:39" customFormat="1" hidden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135"/>
      <c r="I49" s="21">
        <f t="shared" si="3"/>
        <v>0</v>
      </c>
      <c r="J49" s="21"/>
      <c r="K49" s="16"/>
      <c r="L49" s="21"/>
      <c r="M49" s="21"/>
      <c r="N49" s="21"/>
      <c r="O49" s="21"/>
      <c r="P49" s="21"/>
      <c r="Q49" s="21"/>
      <c r="R49" s="21"/>
      <c r="S49" s="21"/>
      <c r="T49" s="4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4"/>
      <c r="AJ49" s="57"/>
      <c r="AK49" s="54"/>
      <c r="AL49" s="65">
        <f t="shared" si="5"/>
        <v>0</v>
      </c>
      <c r="AM49" s="22" t="str">
        <f t="shared" si="2"/>
        <v>OK</v>
      </c>
    </row>
    <row r="50" spans="1:39" customFormat="1" hidden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136"/>
      <c r="I50" s="27">
        <f t="shared" si="3"/>
        <v>0</v>
      </c>
      <c r="J50" s="27"/>
      <c r="K50" s="16"/>
      <c r="L50" s="27"/>
      <c r="M50" s="27"/>
      <c r="N50" s="27"/>
      <c r="O50" s="27"/>
      <c r="P50" s="27"/>
      <c r="Q50" s="27"/>
      <c r="R50" s="27"/>
      <c r="S50" s="27"/>
      <c r="T50" s="43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8"/>
      <c r="AK50" s="55"/>
      <c r="AL50" s="66">
        <f t="shared" si="5"/>
        <v>0</v>
      </c>
      <c r="AM50" s="28" t="str">
        <f t="shared" si="2"/>
        <v>OK</v>
      </c>
    </row>
    <row r="51" spans="1:39" customFormat="1" hidden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135"/>
      <c r="I51" s="21">
        <f t="shared" si="3"/>
        <v>0</v>
      </c>
      <c r="J51" s="21"/>
      <c r="K51" s="16"/>
      <c r="L51" s="21"/>
      <c r="M51" s="21"/>
      <c r="N51" s="21"/>
      <c r="O51" s="21"/>
      <c r="P51" s="21"/>
      <c r="Q51" s="21"/>
      <c r="R51" s="21"/>
      <c r="S51" s="21"/>
      <c r="T51" s="4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4"/>
      <c r="AJ51" s="57"/>
      <c r="AK51" s="54"/>
      <c r="AL51" s="65">
        <f>SUM(L51:AK51)</f>
        <v>0</v>
      </c>
      <c r="AM51" s="22" t="str">
        <f t="shared" si="2"/>
        <v>OK</v>
      </c>
    </row>
    <row r="52" spans="1:39" customFormat="1" hidden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136"/>
      <c r="I52" s="27">
        <f t="shared" si="3"/>
        <v>0</v>
      </c>
      <c r="J52" s="27"/>
      <c r="K52" s="16"/>
      <c r="L52" s="27"/>
      <c r="M52" s="27"/>
      <c r="N52" s="27"/>
      <c r="O52" s="27"/>
      <c r="P52" s="27"/>
      <c r="Q52" s="27"/>
      <c r="R52" s="27"/>
      <c r="S52" s="27"/>
      <c r="T52" s="43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5"/>
      <c r="AJ52" s="58"/>
      <c r="AK52" s="55"/>
      <c r="AL52" s="66">
        <f t="shared" ref="AL52:AL64" si="6">SUM(L52:AK52)</f>
        <v>0</v>
      </c>
      <c r="AM52" s="28" t="str">
        <f t="shared" si="2"/>
        <v>OK</v>
      </c>
    </row>
    <row r="53" spans="1:39" customFormat="1" hidden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135"/>
      <c r="I53" s="21">
        <f t="shared" si="3"/>
        <v>0</v>
      </c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42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4"/>
      <c r="AJ53" s="57"/>
      <c r="AK53" s="54"/>
      <c r="AL53" s="65">
        <f t="shared" si="6"/>
        <v>0</v>
      </c>
      <c r="AM53" s="22" t="str">
        <f t="shared" si="2"/>
        <v>OK</v>
      </c>
    </row>
    <row r="54" spans="1:39" customFormat="1" hidden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136"/>
      <c r="I54" s="27">
        <f t="shared" si="3"/>
        <v>0</v>
      </c>
      <c r="J54" s="27"/>
      <c r="K54" s="16"/>
      <c r="L54" s="27"/>
      <c r="M54" s="27"/>
      <c r="N54" s="27"/>
      <c r="O54" s="27"/>
      <c r="P54" s="27"/>
      <c r="Q54" s="27"/>
      <c r="R54" s="27"/>
      <c r="S54" s="27"/>
      <c r="T54" s="43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5"/>
      <c r="AJ54" s="58"/>
      <c r="AK54" s="55"/>
      <c r="AL54" s="66">
        <f t="shared" si="6"/>
        <v>0</v>
      </c>
      <c r="AM54" s="28" t="str">
        <f t="shared" si="2"/>
        <v>OK</v>
      </c>
    </row>
    <row r="55" spans="1:39" customFormat="1" hidden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135"/>
      <c r="I55" s="21">
        <f t="shared" si="3"/>
        <v>0</v>
      </c>
      <c r="J55" s="21"/>
      <c r="K55" s="16"/>
      <c r="L55" s="21"/>
      <c r="M55" s="21"/>
      <c r="N55" s="21"/>
      <c r="O55" s="21"/>
      <c r="P55" s="21"/>
      <c r="Q55" s="21"/>
      <c r="R55" s="21"/>
      <c r="S55" s="21"/>
      <c r="T55" s="42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4"/>
      <c r="AJ55" s="57"/>
      <c r="AK55" s="54"/>
      <c r="AL55" s="65">
        <f t="shared" si="6"/>
        <v>0</v>
      </c>
      <c r="AM55" s="22" t="str">
        <f t="shared" si="2"/>
        <v>OK</v>
      </c>
    </row>
    <row r="56" spans="1:39" customFormat="1" hidden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136"/>
      <c r="I56" s="27">
        <f t="shared" si="3"/>
        <v>0</v>
      </c>
      <c r="J56" s="27"/>
      <c r="K56" s="16"/>
      <c r="L56" s="27"/>
      <c r="M56" s="27"/>
      <c r="N56" s="27"/>
      <c r="O56" s="27"/>
      <c r="P56" s="27"/>
      <c r="Q56" s="27"/>
      <c r="R56" s="27"/>
      <c r="S56" s="27"/>
      <c r="T56" s="43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5"/>
      <c r="AJ56" s="58"/>
      <c r="AK56" s="55"/>
      <c r="AL56" s="66">
        <f t="shared" si="6"/>
        <v>0</v>
      </c>
      <c r="AM56" s="28" t="str">
        <f t="shared" si="2"/>
        <v>OK</v>
      </c>
    </row>
    <row r="57" spans="1:39" customFormat="1" hidden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135"/>
      <c r="I57" s="21">
        <f t="shared" si="3"/>
        <v>0</v>
      </c>
      <c r="J57" s="21"/>
      <c r="K57" s="16"/>
      <c r="L57" s="21"/>
      <c r="M57" s="21"/>
      <c r="N57" s="21"/>
      <c r="O57" s="21"/>
      <c r="P57" s="21"/>
      <c r="Q57" s="21"/>
      <c r="R57" s="21"/>
      <c r="S57" s="21"/>
      <c r="T57" s="42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4"/>
      <c r="AJ57" s="57"/>
      <c r="AK57" s="54"/>
      <c r="AL57" s="65">
        <f t="shared" si="6"/>
        <v>0</v>
      </c>
      <c r="AM57" s="22" t="str">
        <f t="shared" si="2"/>
        <v>OK</v>
      </c>
    </row>
    <row r="58" spans="1:39" customFormat="1" hidden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136"/>
      <c r="I58" s="27">
        <f t="shared" si="3"/>
        <v>0</v>
      </c>
      <c r="J58" s="27"/>
      <c r="K58" s="16"/>
      <c r="L58" s="27"/>
      <c r="M58" s="27"/>
      <c r="N58" s="27"/>
      <c r="O58" s="27"/>
      <c r="P58" s="27"/>
      <c r="Q58" s="27"/>
      <c r="R58" s="27"/>
      <c r="S58" s="27"/>
      <c r="T58" s="43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5"/>
      <c r="AJ58" s="58"/>
      <c r="AK58" s="55"/>
      <c r="AL58" s="66">
        <f t="shared" si="6"/>
        <v>0</v>
      </c>
      <c r="AM58" s="28" t="str">
        <f t="shared" si="2"/>
        <v>OK</v>
      </c>
    </row>
    <row r="59" spans="1:39" customFormat="1" hidden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135"/>
      <c r="I59" s="21">
        <f t="shared" si="3"/>
        <v>0</v>
      </c>
      <c r="J59" s="21"/>
      <c r="K59" s="16"/>
      <c r="L59" s="21"/>
      <c r="M59" s="21"/>
      <c r="N59" s="21"/>
      <c r="O59" s="21"/>
      <c r="P59" s="21"/>
      <c r="Q59" s="21"/>
      <c r="R59" s="21"/>
      <c r="S59" s="21"/>
      <c r="T59" s="4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4"/>
      <c r="AJ59" s="57"/>
      <c r="AK59" s="54"/>
      <c r="AL59" s="65">
        <f t="shared" si="6"/>
        <v>0</v>
      </c>
      <c r="AM59" s="22" t="str">
        <f t="shared" si="2"/>
        <v>OK</v>
      </c>
    </row>
    <row r="60" spans="1:39" customFormat="1" hidden="1">
      <c r="A60" s="68" t="s">
        <v>84</v>
      </c>
      <c r="B60" s="78">
        <v>11380</v>
      </c>
      <c r="C60" s="23" t="s">
        <v>60</v>
      </c>
      <c r="D60" s="24"/>
      <c r="E60" s="24"/>
      <c r="F60" s="24"/>
      <c r="G60" s="25"/>
      <c r="H60" s="136">
        <f>900+1000+1120</f>
        <v>3020</v>
      </c>
      <c r="I60" s="27">
        <f t="shared" si="3"/>
        <v>0</v>
      </c>
      <c r="J60" s="27"/>
      <c r="K60" s="16"/>
      <c r="L60" s="27"/>
      <c r="M60" s="27"/>
      <c r="N60" s="27"/>
      <c r="O60" s="27"/>
      <c r="P60" s="27"/>
      <c r="Q60" s="27"/>
      <c r="R60" s="27"/>
      <c r="S60" s="27"/>
      <c r="T60" s="43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5"/>
      <c r="AJ60" s="58"/>
      <c r="AK60" s="55"/>
      <c r="AL60" s="66">
        <f t="shared" si="6"/>
        <v>0</v>
      </c>
      <c r="AM60" s="28" t="str">
        <f t="shared" si="2"/>
        <v>OK</v>
      </c>
    </row>
    <row r="61" spans="1:39" customFormat="1" hidden="1">
      <c r="A61" s="80" t="s">
        <v>112</v>
      </c>
      <c r="B61" s="77">
        <v>18518</v>
      </c>
      <c r="C61" s="17" t="s">
        <v>87</v>
      </c>
      <c r="D61" s="69"/>
      <c r="E61" s="18"/>
      <c r="F61" s="18"/>
      <c r="G61" s="19"/>
      <c r="H61" s="135">
        <f>800+336+1080</f>
        <v>2216</v>
      </c>
      <c r="I61" s="21">
        <f t="shared" si="3"/>
        <v>0</v>
      </c>
      <c r="J61" s="21"/>
      <c r="K61" s="16"/>
      <c r="L61" s="21"/>
      <c r="M61" s="21"/>
      <c r="N61" s="21"/>
      <c r="O61" s="21"/>
      <c r="P61" s="21"/>
      <c r="Q61" s="21"/>
      <c r="R61" s="21"/>
      <c r="S61" s="21"/>
      <c r="T61" s="4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4"/>
      <c r="AJ61" s="57"/>
      <c r="AK61" s="54"/>
      <c r="AL61" s="65">
        <f t="shared" si="6"/>
        <v>0</v>
      </c>
      <c r="AM61" s="22" t="str">
        <f t="shared" si="2"/>
        <v>OK</v>
      </c>
    </row>
    <row r="62" spans="1:39" customFormat="1" hidden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136"/>
      <c r="I62" s="27">
        <f t="shared" si="3"/>
        <v>0</v>
      </c>
      <c r="J62" s="27"/>
      <c r="K62" s="16"/>
      <c r="L62" s="27"/>
      <c r="M62" s="27"/>
      <c r="N62" s="27"/>
      <c r="O62" s="27"/>
      <c r="P62" s="27"/>
      <c r="Q62" s="27"/>
      <c r="R62" s="27"/>
      <c r="S62" s="27"/>
      <c r="T62" s="43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5"/>
      <c r="AJ62" s="58"/>
      <c r="AK62" s="55"/>
      <c r="AL62" s="66">
        <f t="shared" si="6"/>
        <v>0</v>
      </c>
      <c r="AM62" s="28" t="str">
        <f t="shared" si="2"/>
        <v>OK</v>
      </c>
    </row>
    <row r="63" spans="1:39" customFormat="1" hidden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135"/>
      <c r="I63" s="21">
        <f t="shared" si="3"/>
        <v>0</v>
      </c>
      <c r="J63" s="21"/>
      <c r="K63" s="16"/>
      <c r="L63" s="21"/>
      <c r="M63" s="21"/>
      <c r="N63" s="21"/>
      <c r="O63" s="21"/>
      <c r="P63" s="21"/>
      <c r="Q63" s="21"/>
      <c r="R63" s="21"/>
      <c r="S63" s="21"/>
      <c r="T63" s="4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4"/>
      <c r="AJ63" s="57"/>
      <c r="AK63" s="54"/>
      <c r="AL63" s="65">
        <f t="shared" si="6"/>
        <v>0</v>
      </c>
      <c r="AM63" s="22" t="str">
        <f t="shared" si="2"/>
        <v>OK</v>
      </c>
    </row>
    <row r="64" spans="1:39" customFormat="1" hidden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136"/>
      <c r="I64" s="27">
        <f t="shared" si="3"/>
        <v>0</v>
      </c>
      <c r="J64" s="27"/>
      <c r="K64" s="16"/>
      <c r="L64" s="27"/>
      <c r="M64" s="27"/>
      <c r="N64" s="27"/>
      <c r="O64" s="27"/>
      <c r="P64" s="27"/>
      <c r="Q64" s="27"/>
      <c r="R64" s="27"/>
      <c r="S64" s="27"/>
      <c r="T64" s="43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5"/>
      <c r="AJ64" s="58"/>
      <c r="AK64" s="55"/>
      <c r="AL64" s="66">
        <f t="shared" si="6"/>
        <v>0</v>
      </c>
      <c r="AM64" s="28" t="str">
        <f t="shared" si="2"/>
        <v>OK</v>
      </c>
    </row>
    <row r="65" spans="1:39" customFormat="1" hidden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135"/>
      <c r="I65" s="21">
        <f t="shared" si="3"/>
        <v>0</v>
      </c>
      <c r="J65" s="21"/>
      <c r="K65" s="16"/>
      <c r="L65" s="21"/>
      <c r="M65" s="21"/>
      <c r="N65" s="21"/>
      <c r="O65" s="21"/>
      <c r="P65" s="21"/>
      <c r="Q65" s="21"/>
      <c r="R65" s="21"/>
      <c r="S65" s="21"/>
      <c r="T65" s="4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4"/>
      <c r="AJ65" s="57"/>
      <c r="AK65" s="54"/>
      <c r="AL65" s="65">
        <f t="shared" si="4"/>
        <v>0</v>
      </c>
      <c r="AM65" s="22" t="str">
        <f t="shared" si="2"/>
        <v>OK</v>
      </c>
    </row>
    <row r="66" spans="1:39" customFormat="1" ht="17.25" thickBot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136">
        <f>300+500+760+1080</f>
        <v>2640</v>
      </c>
      <c r="I66" s="27">
        <f t="shared" si="3"/>
        <v>4</v>
      </c>
      <c r="J66" s="27"/>
      <c r="K66" s="16"/>
      <c r="L66" s="27">
        <v>2</v>
      </c>
      <c r="M66" s="27">
        <v>2</v>
      </c>
      <c r="N66" s="27"/>
      <c r="O66" s="27"/>
      <c r="P66" s="27"/>
      <c r="Q66" s="27"/>
      <c r="R66" s="27"/>
      <c r="S66" s="27"/>
      <c r="T66" s="43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5"/>
      <c r="AJ66" s="58"/>
      <c r="AK66" s="55"/>
      <c r="AL66" s="66">
        <f t="shared" si="4"/>
        <v>4</v>
      </c>
      <c r="AM66" s="28" t="str">
        <f t="shared" si="2"/>
        <v>OK</v>
      </c>
    </row>
    <row r="67" spans="1:39" customFormat="1" ht="17.25" hidden="1" thickBot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135"/>
      <c r="I67" s="21">
        <f t="shared" si="3"/>
        <v>0</v>
      </c>
      <c r="J67" s="21"/>
      <c r="K67" s="16"/>
      <c r="L67" s="21"/>
      <c r="M67" s="21"/>
      <c r="N67" s="21"/>
      <c r="O67" s="21"/>
      <c r="P67" s="21"/>
      <c r="Q67" s="21"/>
      <c r="R67" s="21"/>
      <c r="S67" s="21"/>
      <c r="T67" s="4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4"/>
      <c r="AJ67" s="57"/>
      <c r="AK67" s="54"/>
      <c r="AL67" s="65">
        <f t="shared" si="4"/>
        <v>0</v>
      </c>
      <c r="AM67" s="22" t="str">
        <f t="shared" si="2"/>
        <v>OK</v>
      </c>
    </row>
    <row r="68" spans="1:39" customFormat="1" ht="17.25" hidden="1" thickBot="1">
      <c r="A68" s="81" t="s">
        <v>132</v>
      </c>
      <c r="B68" s="78">
        <v>20269</v>
      </c>
      <c r="C68" s="23" t="s">
        <v>131</v>
      </c>
      <c r="D68" s="24"/>
      <c r="E68" s="24"/>
      <c r="F68" s="24"/>
      <c r="G68" s="25"/>
      <c r="H68" s="136"/>
      <c r="I68" s="27">
        <f t="shared" si="3"/>
        <v>0</v>
      </c>
      <c r="J68" s="27"/>
      <c r="K68" s="16"/>
      <c r="L68" s="27"/>
      <c r="M68" s="27"/>
      <c r="N68" s="27"/>
      <c r="O68" s="27"/>
      <c r="P68" s="27"/>
      <c r="Q68" s="27"/>
      <c r="R68" s="27"/>
      <c r="S68" s="27"/>
      <c r="T68" s="43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5"/>
      <c r="AJ68" s="58"/>
      <c r="AK68" s="55"/>
      <c r="AL68" s="66">
        <f t="shared" si="4"/>
        <v>0</v>
      </c>
      <c r="AM68" s="28" t="str">
        <f t="shared" si="2"/>
        <v>OK</v>
      </c>
    </row>
    <row r="69" spans="1:39" customFormat="1" ht="17.25" hidden="1" thickBot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135"/>
      <c r="I69" s="21">
        <f t="shared" si="3"/>
        <v>0</v>
      </c>
      <c r="J69" s="21"/>
      <c r="K69" s="16"/>
      <c r="L69" s="21"/>
      <c r="M69" s="21"/>
      <c r="N69" s="21"/>
      <c r="O69" s="21"/>
      <c r="P69" s="21"/>
      <c r="Q69" s="21"/>
      <c r="R69" s="21"/>
      <c r="S69" s="21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7"/>
      <c r="AK69" s="54"/>
      <c r="AL69" s="65">
        <f t="shared" si="4"/>
        <v>0</v>
      </c>
      <c r="AM69" s="22" t="str">
        <f t="shared" si="2"/>
        <v>OK</v>
      </c>
    </row>
    <row r="70" spans="1:39" customFormat="1" ht="17.25" hidden="1" thickBot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136"/>
      <c r="I70" s="27">
        <f t="shared" si="3"/>
        <v>0</v>
      </c>
      <c r="J70" s="27"/>
      <c r="K70" s="16"/>
      <c r="L70" s="27"/>
      <c r="M70" s="27"/>
      <c r="N70" s="27"/>
      <c r="O70" s="27"/>
      <c r="P70" s="27"/>
      <c r="Q70" s="27"/>
      <c r="R70" s="27"/>
      <c r="S70" s="27"/>
      <c r="T70" s="43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5"/>
      <c r="AJ70" s="58"/>
      <c r="AK70" s="55"/>
      <c r="AL70" s="66">
        <f t="shared" si="4"/>
        <v>0</v>
      </c>
      <c r="AM70" s="28" t="str">
        <f t="shared" si="2"/>
        <v>OK</v>
      </c>
    </row>
    <row r="71" spans="1:39" customFormat="1" ht="17.25" hidden="1" thickBot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135">
        <v>503</v>
      </c>
      <c r="I71" s="21">
        <f t="shared" ref="I71:I96" si="7">SUM(L71:AK71)</f>
        <v>0</v>
      </c>
      <c r="J71" s="21"/>
      <c r="K71" s="16"/>
      <c r="L71" s="21"/>
      <c r="M71" s="21"/>
      <c r="N71" s="21"/>
      <c r="O71" s="21"/>
      <c r="P71" s="21"/>
      <c r="Q71" s="21"/>
      <c r="R71" s="21"/>
      <c r="S71" s="21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4"/>
      <c r="AJ71" s="57"/>
      <c r="AK71" s="54"/>
      <c r="AL71" s="65">
        <f t="shared" si="4"/>
        <v>0</v>
      </c>
      <c r="AM71" s="22" t="str">
        <f t="shared" si="2"/>
        <v>OK</v>
      </c>
    </row>
    <row r="72" spans="1:39" customFormat="1" ht="17.25" hidden="1" thickBot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136"/>
      <c r="I72" s="27">
        <f t="shared" si="7"/>
        <v>0</v>
      </c>
      <c r="J72" s="27"/>
      <c r="K72" s="16"/>
      <c r="L72" s="27"/>
      <c r="M72" s="27"/>
      <c r="N72" s="27"/>
      <c r="O72" s="27"/>
      <c r="P72" s="27"/>
      <c r="Q72" s="27"/>
      <c r="R72" s="27"/>
      <c r="S72" s="27"/>
      <c r="T72" s="43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5"/>
      <c r="AJ72" s="58"/>
      <c r="AK72" s="55"/>
      <c r="AL72" s="66">
        <f t="shared" si="4"/>
        <v>0</v>
      </c>
      <c r="AM72" s="28" t="str">
        <f t="shared" si="2"/>
        <v>OK</v>
      </c>
    </row>
    <row r="73" spans="1:39" customFormat="1" ht="17.25" hidden="1" thickBot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138"/>
      <c r="I73" s="101">
        <f t="shared" si="7"/>
        <v>0</v>
      </c>
      <c r="J73" s="21"/>
      <c r="K73" s="16"/>
      <c r="L73" s="21"/>
      <c r="M73" s="21"/>
      <c r="N73" s="21"/>
      <c r="O73" s="21"/>
      <c r="P73" s="21"/>
      <c r="Q73" s="21"/>
      <c r="R73" s="21"/>
      <c r="S73" s="21"/>
      <c r="T73" s="42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4"/>
      <c r="AJ73" s="57"/>
      <c r="AK73" s="54"/>
      <c r="AL73" s="65">
        <f t="shared" si="4"/>
        <v>0</v>
      </c>
      <c r="AM73" s="22" t="str">
        <f t="shared" si="2"/>
        <v>OK</v>
      </c>
    </row>
    <row r="74" spans="1:39" customFormat="1" ht="17.25" hidden="1" thickBot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139"/>
      <c r="I74" s="103">
        <f t="shared" si="7"/>
        <v>0</v>
      </c>
      <c r="J74" s="27"/>
      <c r="K74" s="16"/>
      <c r="L74" s="100"/>
      <c r="M74" s="100"/>
      <c r="N74" s="100"/>
      <c r="O74" s="100"/>
      <c r="P74" s="100"/>
      <c r="Q74" s="100"/>
      <c r="R74" s="100"/>
      <c r="S74" s="100"/>
      <c r="T74" s="109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1"/>
      <c r="AJ74" s="112"/>
      <c r="AK74" s="111"/>
      <c r="AL74" s="66">
        <f t="shared" si="4"/>
        <v>0</v>
      </c>
      <c r="AM74" s="28" t="str">
        <f t="shared" si="2"/>
        <v>OK</v>
      </c>
    </row>
    <row r="75" spans="1:39" ht="17.25" hidden="1" thickBot="1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40"/>
      <c r="I75" s="105">
        <f t="shared" si="7"/>
        <v>0</v>
      </c>
      <c r="J75" s="90"/>
      <c r="K75" s="91"/>
      <c r="L75" s="113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5"/>
      <c r="AL75" s="92">
        <f t="shared" ref="AL75:AL80" si="8">SUM(L75:AK75)</f>
        <v>0</v>
      </c>
      <c r="AM75" s="122" t="str">
        <f t="shared" ref="AM75:AM96" si="9">IF(AL75=I75,"OK","NG")</f>
        <v>OK</v>
      </c>
    </row>
    <row r="76" spans="1:39" ht="17.25" hidden="1" thickBot="1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139">
        <f>700+1680+1748</f>
        <v>4128</v>
      </c>
      <c r="I76" s="106">
        <f t="shared" si="7"/>
        <v>0</v>
      </c>
      <c r="J76" s="85"/>
      <c r="K76" s="16"/>
      <c r="L76" s="1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8"/>
      <c r="AL76" s="66">
        <f t="shared" si="8"/>
        <v>0</v>
      </c>
      <c r="AM76" s="28" t="str">
        <f t="shared" si="9"/>
        <v>OK</v>
      </c>
    </row>
    <row r="77" spans="1:39" ht="17.25" hidden="1" thickBot="1">
      <c r="A77" s="87" t="s">
        <v>165</v>
      </c>
      <c r="B77" s="93">
        <v>13007</v>
      </c>
      <c r="C77" s="94" t="s">
        <v>164</v>
      </c>
      <c r="D77" s="88"/>
      <c r="E77" s="88"/>
      <c r="F77" s="88"/>
      <c r="G77" s="89"/>
      <c r="H77" s="104"/>
      <c r="I77" s="105">
        <f t="shared" si="7"/>
        <v>0</v>
      </c>
      <c r="J77" s="90"/>
      <c r="K77" s="91"/>
      <c r="L77" s="113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5"/>
      <c r="AL77" s="92">
        <f t="shared" si="8"/>
        <v>0</v>
      </c>
      <c r="AM77" s="122" t="str">
        <f t="shared" si="9"/>
        <v>OK</v>
      </c>
    </row>
    <row r="78" spans="1:39" ht="17.25" hidden="1" thickBot="1">
      <c r="A78" s="68"/>
      <c r="B78" s="78"/>
      <c r="C78" s="95"/>
      <c r="D78" s="83"/>
      <c r="E78" s="83"/>
      <c r="F78" s="83"/>
      <c r="G78" s="84"/>
      <c r="H78" s="102"/>
      <c r="I78" s="106">
        <f t="shared" si="7"/>
        <v>0</v>
      </c>
      <c r="J78" s="85"/>
      <c r="K78" s="16"/>
      <c r="L78" s="1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66">
        <f t="shared" si="8"/>
        <v>0</v>
      </c>
      <c r="AM78" s="28" t="str">
        <f t="shared" si="9"/>
        <v>OK</v>
      </c>
    </row>
    <row r="79" spans="1:39" ht="17.25" hidden="1" thickBot="1">
      <c r="A79" s="87"/>
      <c r="B79" s="93"/>
      <c r="C79" s="94"/>
      <c r="D79" s="88"/>
      <c r="E79" s="88"/>
      <c r="F79" s="88"/>
      <c r="G79" s="89"/>
      <c r="H79" s="104"/>
      <c r="I79" s="105">
        <f t="shared" si="7"/>
        <v>0</v>
      </c>
      <c r="J79" s="90"/>
      <c r="K79" s="91"/>
      <c r="L79" s="113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5"/>
      <c r="AL79" s="92">
        <f t="shared" si="8"/>
        <v>0</v>
      </c>
      <c r="AM79" s="122" t="str">
        <f t="shared" si="9"/>
        <v>OK</v>
      </c>
    </row>
    <row r="80" spans="1:39" ht="17.25" hidden="1" thickBot="1">
      <c r="A80" s="68"/>
      <c r="B80" s="78"/>
      <c r="C80" s="95"/>
      <c r="D80" s="83"/>
      <c r="E80" s="83"/>
      <c r="F80" s="83"/>
      <c r="G80" s="84"/>
      <c r="H80" s="102"/>
      <c r="I80" s="106">
        <f t="shared" si="7"/>
        <v>0</v>
      </c>
      <c r="J80" s="85"/>
      <c r="K80" s="16"/>
      <c r="L80" s="116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66">
        <f t="shared" si="8"/>
        <v>0</v>
      </c>
      <c r="AM80" s="28" t="str">
        <f t="shared" si="9"/>
        <v>OK</v>
      </c>
    </row>
    <row r="81" spans="1:39" ht="17.25" hidden="1" thickBot="1">
      <c r="A81" s="87"/>
      <c r="B81" s="93"/>
      <c r="C81" s="94"/>
      <c r="D81" s="88"/>
      <c r="E81" s="88"/>
      <c r="F81" s="88"/>
      <c r="G81" s="89"/>
      <c r="H81" s="104"/>
      <c r="I81" s="105">
        <f t="shared" si="7"/>
        <v>0</v>
      </c>
      <c r="J81" s="90"/>
      <c r="K81" s="91"/>
      <c r="L81" s="113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5"/>
      <c r="AL81" s="92">
        <f t="shared" ref="AL81:AL96" si="10">SUM(L81:AK81)</f>
        <v>0</v>
      </c>
      <c r="AM81" s="122" t="str">
        <f t="shared" si="9"/>
        <v>OK</v>
      </c>
    </row>
    <row r="82" spans="1:39" ht="17.25" hidden="1" thickBot="1">
      <c r="A82" s="68"/>
      <c r="B82" s="78"/>
      <c r="C82" s="95"/>
      <c r="D82" s="83"/>
      <c r="E82" s="83"/>
      <c r="F82" s="83"/>
      <c r="G82" s="84"/>
      <c r="H82" s="102"/>
      <c r="I82" s="106">
        <f t="shared" si="7"/>
        <v>0</v>
      </c>
      <c r="J82" s="85"/>
      <c r="K82" s="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66">
        <f t="shared" si="10"/>
        <v>0</v>
      </c>
      <c r="AM82" s="28" t="str">
        <f t="shared" si="9"/>
        <v>OK</v>
      </c>
    </row>
    <row r="83" spans="1:39" ht="17.25" hidden="1" thickBot="1">
      <c r="A83" s="96"/>
      <c r="B83" s="93"/>
      <c r="C83" s="94"/>
      <c r="D83" s="88"/>
      <c r="E83" s="88"/>
      <c r="F83" s="88"/>
      <c r="G83" s="89"/>
      <c r="H83" s="104"/>
      <c r="I83" s="105">
        <f t="shared" si="7"/>
        <v>0</v>
      </c>
      <c r="J83" s="90"/>
      <c r="K83" s="91"/>
      <c r="L83" s="113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5"/>
      <c r="AL83" s="92">
        <f t="shared" si="10"/>
        <v>0</v>
      </c>
      <c r="AM83" s="122" t="str">
        <f t="shared" si="9"/>
        <v>OK</v>
      </c>
    </row>
    <row r="84" spans="1:39" ht="17.25" hidden="1" thickBot="1">
      <c r="A84" s="68"/>
      <c r="B84" s="78"/>
      <c r="C84" s="95"/>
      <c r="D84" s="83"/>
      <c r="E84" s="83"/>
      <c r="F84" s="83"/>
      <c r="G84" s="84"/>
      <c r="H84" s="102"/>
      <c r="I84" s="106">
        <f t="shared" si="7"/>
        <v>0</v>
      </c>
      <c r="J84" s="85"/>
      <c r="K84" s="16"/>
      <c r="L84" s="116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66">
        <f t="shared" si="10"/>
        <v>0</v>
      </c>
      <c r="AM84" s="28" t="str">
        <f t="shared" si="9"/>
        <v>OK</v>
      </c>
    </row>
    <row r="85" spans="1:39" ht="17.25" hidden="1" thickBot="1">
      <c r="A85" s="87"/>
      <c r="B85" s="93"/>
      <c r="C85" s="94"/>
      <c r="D85" s="88"/>
      <c r="E85" s="88"/>
      <c r="F85" s="88"/>
      <c r="G85" s="89"/>
      <c r="H85" s="104"/>
      <c r="I85" s="105">
        <f t="shared" si="7"/>
        <v>0</v>
      </c>
      <c r="J85" s="90"/>
      <c r="K85" s="91"/>
      <c r="L85" s="113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5"/>
      <c r="AL85" s="92">
        <f t="shared" si="10"/>
        <v>0</v>
      </c>
      <c r="AM85" s="122" t="str">
        <f t="shared" si="9"/>
        <v>OK</v>
      </c>
    </row>
    <row r="86" spans="1:39" ht="17.25" hidden="1" thickBot="1">
      <c r="A86" s="68"/>
      <c r="B86" s="78"/>
      <c r="C86" s="95"/>
      <c r="D86" s="83"/>
      <c r="E86" s="83"/>
      <c r="F86" s="83"/>
      <c r="G86" s="84"/>
      <c r="H86" s="102"/>
      <c r="I86" s="106">
        <f t="shared" si="7"/>
        <v>0</v>
      </c>
      <c r="J86" s="85"/>
      <c r="K86" s="16"/>
      <c r="L86" s="116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66">
        <f t="shared" si="10"/>
        <v>0</v>
      </c>
      <c r="AM86" s="28" t="str">
        <f t="shared" si="9"/>
        <v>OK</v>
      </c>
    </row>
    <row r="87" spans="1:39" ht="17.25" hidden="1" thickBot="1">
      <c r="A87" s="87"/>
      <c r="B87" s="93"/>
      <c r="C87" s="94"/>
      <c r="D87" s="88"/>
      <c r="E87" s="88"/>
      <c r="F87" s="88"/>
      <c r="G87" s="89"/>
      <c r="H87" s="104"/>
      <c r="I87" s="105">
        <f t="shared" si="7"/>
        <v>0</v>
      </c>
      <c r="J87" s="90"/>
      <c r="K87" s="91"/>
      <c r="L87" s="113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5"/>
      <c r="AL87" s="92">
        <f t="shared" si="10"/>
        <v>0</v>
      </c>
      <c r="AM87" s="122" t="str">
        <f t="shared" si="9"/>
        <v>OK</v>
      </c>
    </row>
    <row r="88" spans="1:39" ht="17.25" hidden="1" thickBot="1">
      <c r="A88" s="68"/>
      <c r="B88" s="78"/>
      <c r="C88" s="95"/>
      <c r="D88" s="83"/>
      <c r="E88" s="83"/>
      <c r="F88" s="83"/>
      <c r="G88" s="84"/>
      <c r="H88" s="102"/>
      <c r="I88" s="106">
        <f t="shared" si="7"/>
        <v>0</v>
      </c>
      <c r="J88" s="85"/>
      <c r="K88" s="16"/>
      <c r="L88" s="116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66">
        <f t="shared" si="10"/>
        <v>0</v>
      </c>
      <c r="AM88" s="28" t="str">
        <f t="shared" si="9"/>
        <v>OK</v>
      </c>
    </row>
    <row r="89" spans="1:39" ht="17.25" hidden="1" thickBot="1">
      <c r="A89" s="87"/>
      <c r="B89" s="93"/>
      <c r="C89" s="94"/>
      <c r="D89" s="88"/>
      <c r="E89" s="88"/>
      <c r="F89" s="88"/>
      <c r="G89" s="89"/>
      <c r="H89" s="104"/>
      <c r="I89" s="105">
        <f t="shared" si="7"/>
        <v>0</v>
      </c>
      <c r="J89" s="90"/>
      <c r="K89" s="91"/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5"/>
      <c r="AL89" s="92">
        <f t="shared" si="10"/>
        <v>0</v>
      </c>
      <c r="AM89" s="122" t="str">
        <f t="shared" si="9"/>
        <v>OK</v>
      </c>
    </row>
    <row r="90" spans="1:39" ht="17.25" hidden="1" thickBot="1">
      <c r="A90" s="68"/>
      <c r="B90" s="78"/>
      <c r="C90" s="95"/>
      <c r="D90" s="83"/>
      <c r="E90" s="83"/>
      <c r="F90" s="83"/>
      <c r="G90" s="84"/>
      <c r="H90" s="102"/>
      <c r="I90" s="106">
        <f t="shared" si="7"/>
        <v>0</v>
      </c>
      <c r="J90" s="85"/>
      <c r="K90" s="16"/>
      <c r="L90" s="116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66">
        <f t="shared" si="10"/>
        <v>0</v>
      </c>
      <c r="AM90" s="28" t="str">
        <f t="shared" si="9"/>
        <v>OK</v>
      </c>
    </row>
    <row r="91" spans="1:39" ht="17.25" hidden="1" thickBot="1">
      <c r="A91" s="87"/>
      <c r="B91" s="93"/>
      <c r="C91" s="94"/>
      <c r="D91" s="88"/>
      <c r="E91" s="88"/>
      <c r="F91" s="88"/>
      <c r="G91" s="89"/>
      <c r="H91" s="104"/>
      <c r="I91" s="105">
        <f t="shared" si="7"/>
        <v>0</v>
      </c>
      <c r="J91" s="90"/>
      <c r="K91" s="91"/>
      <c r="L91" s="113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5"/>
      <c r="AL91" s="92">
        <f t="shared" si="10"/>
        <v>0</v>
      </c>
      <c r="AM91" s="122" t="str">
        <f t="shared" si="9"/>
        <v>OK</v>
      </c>
    </row>
    <row r="92" spans="1:39" ht="17.25" hidden="1" thickBot="1">
      <c r="A92" s="68"/>
      <c r="B92" s="78"/>
      <c r="C92" s="95"/>
      <c r="D92" s="83"/>
      <c r="E92" s="83"/>
      <c r="F92" s="83"/>
      <c r="G92" s="84"/>
      <c r="H92" s="102"/>
      <c r="I92" s="106">
        <f t="shared" si="7"/>
        <v>0</v>
      </c>
      <c r="J92" s="85"/>
      <c r="K92" s="16"/>
      <c r="L92" s="116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66">
        <f t="shared" si="10"/>
        <v>0</v>
      </c>
      <c r="AM92" s="28" t="str">
        <f t="shared" si="9"/>
        <v>OK</v>
      </c>
    </row>
    <row r="93" spans="1:39" ht="17.25" hidden="1" thickBot="1">
      <c r="A93" s="87"/>
      <c r="B93" s="93"/>
      <c r="C93" s="94"/>
      <c r="D93" s="88"/>
      <c r="E93" s="88"/>
      <c r="F93" s="88"/>
      <c r="G93" s="89"/>
      <c r="H93" s="104"/>
      <c r="I93" s="105">
        <f t="shared" si="7"/>
        <v>0</v>
      </c>
      <c r="J93" s="90"/>
      <c r="K93" s="91"/>
      <c r="L93" s="113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5"/>
      <c r="AL93" s="92">
        <f t="shared" si="10"/>
        <v>0</v>
      </c>
      <c r="AM93" s="122" t="str">
        <f t="shared" si="9"/>
        <v>OK</v>
      </c>
    </row>
    <row r="94" spans="1:39" ht="17.25" hidden="1" thickBot="1">
      <c r="A94" s="68"/>
      <c r="B94" s="78"/>
      <c r="C94" s="95"/>
      <c r="D94" s="83"/>
      <c r="E94" s="83"/>
      <c r="F94" s="83"/>
      <c r="G94" s="84"/>
      <c r="H94" s="102"/>
      <c r="I94" s="106">
        <f t="shared" si="7"/>
        <v>0</v>
      </c>
      <c r="J94" s="85"/>
      <c r="K94" s="16"/>
      <c r="L94" s="116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66">
        <f t="shared" si="10"/>
        <v>0</v>
      </c>
      <c r="AM94" s="28" t="str">
        <f t="shared" si="9"/>
        <v>OK</v>
      </c>
    </row>
    <row r="95" spans="1:39" ht="17.25" hidden="1" thickBot="1">
      <c r="A95" s="87"/>
      <c r="B95" s="93"/>
      <c r="C95" s="94"/>
      <c r="D95" s="88"/>
      <c r="E95" s="88"/>
      <c r="F95" s="88"/>
      <c r="G95" s="89"/>
      <c r="H95" s="104"/>
      <c r="I95" s="105">
        <f t="shared" si="7"/>
        <v>0</v>
      </c>
      <c r="J95" s="90"/>
      <c r="K95" s="91"/>
      <c r="L95" s="113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5"/>
      <c r="AL95" s="92">
        <f t="shared" si="10"/>
        <v>0</v>
      </c>
      <c r="AM95" s="122" t="str">
        <f t="shared" si="9"/>
        <v>OK</v>
      </c>
    </row>
    <row r="96" spans="1:39" ht="17.25" hidden="1" thickBot="1">
      <c r="A96" s="97"/>
      <c r="B96" s="98"/>
      <c r="C96" s="99"/>
      <c r="D96" s="83"/>
      <c r="E96" s="83"/>
      <c r="F96" s="83"/>
      <c r="G96" s="84"/>
      <c r="H96" s="107"/>
      <c r="I96" s="108">
        <f t="shared" si="7"/>
        <v>0</v>
      </c>
      <c r="J96" s="85"/>
      <c r="K96" s="16"/>
      <c r="L96" s="119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1"/>
      <c r="AL96" s="66">
        <f t="shared" si="10"/>
        <v>0</v>
      </c>
      <c r="AM96" s="28" t="str">
        <f t="shared" si="9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32189</v>
      </c>
      <c r="I97" s="46">
        <f>SUM(I6:I96)</f>
        <v>11</v>
      </c>
      <c r="J97" s="47">
        <f>SUM(J6:J74)</f>
        <v>0</v>
      </c>
      <c r="K97" s="9"/>
      <c r="L97" s="45">
        <f>SUM(L6:L96)</f>
        <v>4</v>
      </c>
      <c r="M97" s="45">
        <f t="shared" ref="M97:AI97" si="11">SUM(M6:M96)</f>
        <v>2</v>
      </c>
      <c r="N97" s="45">
        <f t="shared" si="11"/>
        <v>0</v>
      </c>
      <c r="O97" s="45">
        <f t="shared" si="11"/>
        <v>0</v>
      </c>
      <c r="P97" s="45">
        <f t="shared" si="11"/>
        <v>0</v>
      </c>
      <c r="Q97" s="45">
        <f t="shared" si="11"/>
        <v>0</v>
      </c>
      <c r="R97" s="45">
        <f t="shared" si="11"/>
        <v>0</v>
      </c>
      <c r="S97" s="45">
        <f t="shared" si="11"/>
        <v>0</v>
      </c>
      <c r="T97" s="45">
        <f t="shared" si="11"/>
        <v>0</v>
      </c>
      <c r="U97" s="45">
        <f t="shared" si="11"/>
        <v>0</v>
      </c>
      <c r="V97" s="45">
        <f t="shared" si="11"/>
        <v>0</v>
      </c>
      <c r="W97" s="45">
        <f t="shared" si="11"/>
        <v>0</v>
      </c>
      <c r="X97" s="45">
        <f t="shared" si="11"/>
        <v>0</v>
      </c>
      <c r="Y97" s="45">
        <f t="shared" si="11"/>
        <v>1</v>
      </c>
      <c r="Z97" s="45">
        <f t="shared" si="11"/>
        <v>0</v>
      </c>
      <c r="AA97" s="45">
        <f t="shared" si="11"/>
        <v>0</v>
      </c>
      <c r="AB97" s="45">
        <f t="shared" si="11"/>
        <v>0</v>
      </c>
      <c r="AC97" s="45">
        <f t="shared" si="11"/>
        <v>1</v>
      </c>
      <c r="AD97" s="45">
        <f t="shared" si="11"/>
        <v>0</v>
      </c>
      <c r="AE97" s="45">
        <f t="shared" si="11"/>
        <v>0</v>
      </c>
      <c r="AF97" s="45">
        <f t="shared" si="11"/>
        <v>1</v>
      </c>
      <c r="AG97" s="45">
        <f t="shared" si="11"/>
        <v>1</v>
      </c>
      <c r="AH97" s="45">
        <f t="shared" si="11"/>
        <v>0</v>
      </c>
      <c r="AI97" s="45">
        <f t="shared" si="11"/>
        <v>1</v>
      </c>
      <c r="AJ97" s="49">
        <f>SUM(AJ6:AJ96)</f>
        <v>0</v>
      </c>
      <c r="AK97" s="61">
        <f>SUM(AK6:AK96)</f>
        <v>0</v>
      </c>
      <c r="AL97" s="67">
        <f>SUM(AL6:AL96)</f>
        <v>11</v>
      </c>
      <c r="AM97" s="48" t="str">
        <f>IF(AL97=SUM(I97),"OK","NG")</f>
        <v>OK</v>
      </c>
    </row>
    <row r="99" spans="1:39">
      <c r="H99" s="86"/>
      <c r="I99" s="86"/>
    </row>
    <row r="102" spans="1:39">
      <c r="D102" s="20">
        <v>2478</v>
      </c>
      <c r="E102" s="21">
        <v>2</v>
      </c>
    </row>
    <row r="103" spans="1:39">
      <c r="D103" s="20">
        <v>1680</v>
      </c>
      <c r="E103" s="21">
        <v>5</v>
      </c>
    </row>
    <row r="104" spans="1:39">
      <c r="D104" s="26">
        <v>3400</v>
      </c>
      <c r="E104" s="27">
        <v>4</v>
      </c>
      <c r="H104" s="86"/>
    </row>
    <row r="105" spans="1:39">
      <c r="D105" s="26">
        <v>2580</v>
      </c>
      <c r="E105" s="27">
        <v>1</v>
      </c>
    </row>
  </sheetData>
  <autoFilter ref="A5:AM97" xr:uid="{00000000-0001-0000-0100-000000000000}">
    <filterColumn colId="8">
      <filters>
        <filter val="11"/>
        <filter val="3"/>
        <filter val="4"/>
      </filters>
    </filterColumn>
  </autoFilter>
  <mergeCells count="37">
    <mergeCell ref="AM4:AM5"/>
    <mergeCell ref="AG4:AG5"/>
    <mergeCell ref="AH4:AH5"/>
    <mergeCell ref="AI4:AI5"/>
    <mergeCell ref="AJ4:AJ5"/>
    <mergeCell ref="AK4:AK5"/>
    <mergeCell ref="AL4:AL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B1:C1"/>
    <mergeCell ref="F1:G1"/>
    <mergeCell ref="H1:J3"/>
    <mergeCell ref="B2:C2"/>
    <mergeCell ref="AM2:AM3"/>
    <mergeCell ref="B3:C3"/>
  </mergeCells>
  <phoneticPr fontId="3" type="noConversion"/>
  <conditionalFormatting sqref="A4 AM6:AM97">
    <cfRule type="containsText" dxfId="75" priority="7" operator="containsText" text="NG">
      <formula>NOT(ISERROR(SEARCH("NG",A4)))</formula>
    </cfRule>
    <cfRule type="containsText" dxfId="74" priority="8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 filterMode="1">
    <pageSetUpPr fitToPage="1"/>
  </sheetPr>
  <dimension ref="A1:AM112"/>
  <sheetViews>
    <sheetView showGridLines="0" zoomScale="85" zoomScaleNormal="85" workbookViewId="0">
      <pane ySplit="5" topLeftCell="A40" activePane="bottomLeft" state="frozen"/>
      <selection activeCell="P19" sqref="P19"/>
      <selection pane="bottomLeft"/>
    </sheetView>
  </sheetViews>
  <sheetFormatPr defaultColWidth="9" defaultRowHeight="16.5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16" width="8.75"/>
    <col min="17" max="20" width="9" customWidth="1"/>
    <col min="21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5" customHeight="1" thickBot="1">
      <c r="A1" s="37" t="s">
        <v>13</v>
      </c>
      <c r="B1" s="168">
        <f>H97</f>
        <v>24066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5" customHeight="1" thickBot="1">
      <c r="A2" s="37" t="s">
        <v>14</v>
      </c>
      <c r="B2" s="173">
        <f>I97</f>
        <v>8</v>
      </c>
      <c r="C2" s="174"/>
      <c r="D2" s="75"/>
      <c r="E2" s="71"/>
      <c r="F2" s="2"/>
      <c r="G2" s="2"/>
      <c r="H2" s="171"/>
      <c r="I2" s="171"/>
      <c r="J2" s="171"/>
      <c r="K2" s="3"/>
      <c r="L2" s="4">
        <f t="shared" ref="L2:AK2" si="0">SUBTOTAL(9,L6:L96)</f>
        <v>1</v>
      </c>
      <c r="M2" s="4">
        <f t="shared" si="0"/>
        <v>0</v>
      </c>
      <c r="N2" s="4">
        <f t="shared" si="0"/>
        <v>0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39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0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6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0</v>
      </c>
      <c r="AH2" s="5">
        <f t="shared" si="0"/>
        <v>0</v>
      </c>
      <c r="AI2" s="5">
        <f t="shared" si="0"/>
        <v>1</v>
      </c>
      <c r="AJ2" s="5">
        <f t="shared" si="0"/>
        <v>0</v>
      </c>
      <c r="AK2" s="59">
        <f t="shared" si="0"/>
        <v>0</v>
      </c>
      <c r="AL2" s="62">
        <f>SUBTOTAL(9,AL6:AL74)</f>
        <v>8</v>
      </c>
      <c r="AM2" s="175"/>
    </row>
    <row r="3" spans="1:39" customFormat="1" ht="22.5" customHeight="1" thickBot="1">
      <c r="A3" s="38" t="s">
        <v>15</v>
      </c>
      <c r="B3" s="177">
        <f>IF(ISERROR(B2/(B2+B1)*1000000),"",(B2/(B2+B1)*1000000))</f>
        <v>332.30871479604548</v>
      </c>
      <c r="C3" s="178"/>
      <c r="D3" s="73"/>
      <c r="E3" s="72"/>
      <c r="F3" s="32"/>
      <c r="G3" s="32"/>
      <c r="H3" s="172"/>
      <c r="I3" s="172"/>
      <c r="J3" s="172"/>
      <c r="K3" s="6"/>
      <c r="L3" s="7">
        <f t="shared" ref="L3:AK3" si="1">SUM(L6:L96)</f>
        <v>1</v>
      </c>
      <c r="M3" s="7">
        <f t="shared" si="1"/>
        <v>0</v>
      </c>
      <c r="N3" s="7">
        <f t="shared" si="1"/>
        <v>0</v>
      </c>
      <c r="O3" s="7">
        <f t="shared" si="1"/>
        <v>0</v>
      </c>
      <c r="P3" s="7">
        <f t="shared" si="1"/>
        <v>0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40">
        <f t="shared" si="1"/>
        <v>0</v>
      </c>
      <c r="U3" s="8">
        <f t="shared" si="1"/>
        <v>0</v>
      </c>
      <c r="V3" s="8">
        <f t="shared" si="1"/>
        <v>0</v>
      </c>
      <c r="W3" s="8">
        <f t="shared" si="1"/>
        <v>0</v>
      </c>
      <c r="X3" s="8">
        <f t="shared" si="1"/>
        <v>0</v>
      </c>
      <c r="Y3" s="8">
        <f t="shared" si="1"/>
        <v>0</v>
      </c>
      <c r="Z3" s="8">
        <f t="shared" si="1"/>
        <v>0</v>
      </c>
      <c r="AA3" s="8">
        <f t="shared" si="1"/>
        <v>0</v>
      </c>
      <c r="AB3" s="8">
        <f t="shared" si="1"/>
        <v>0</v>
      </c>
      <c r="AC3" s="8">
        <f t="shared" si="1"/>
        <v>6</v>
      </c>
      <c r="AD3" s="8">
        <f t="shared" si="1"/>
        <v>0</v>
      </c>
      <c r="AE3" s="8">
        <f t="shared" si="1"/>
        <v>0</v>
      </c>
      <c r="AF3" s="8">
        <f t="shared" si="1"/>
        <v>0</v>
      </c>
      <c r="AG3" s="8">
        <f t="shared" si="1"/>
        <v>0</v>
      </c>
      <c r="AH3" s="8">
        <f t="shared" si="1"/>
        <v>0</v>
      </c>
      <c r="AI3" s="8">
        <f t="shared" si="1"/>
        <v>1</v>
      </c>
      <c r="AJ3" s="8">
        <f t="shared" si="1"/>
        <v>0</v>
      </c>
      <c r="AK3" s="60">
        <f t="shared" si="1"/>
        <v>0</v>
      </c>
      <c r="AL3" s="63">
        <f>SUM(AL6:AL74)</f>
        <v>8</v>
      </c>
      <c r="AM3" s="176"/>
    </row>
    <row r="4" spans="1:39" customFormat="1" ht="43.5" customHeight="1">
      <c r="A4" s="163" t="str">
        <f>AM97</f>
        <v>OK</v>
      </c>
      <c r="B4" s="163"/>
      <c r="C4" s="163"/>
      <c r="D4" s="164"/>
      <c r="E4" s="165" t="s">
        <v>16</v>
      </c>
      <c r="F4" s="165"/>
      <c r="G4" s="165"/>
      <c r="H4" s="165" t="s">
        <v>17</v>
      </c>
      <c r="I4" s="165"/>
      <c r="J4" s="165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1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56" t="s">
        <v>12</v>
      </c>
      <c r="AL4" s="158" t="s">
        <v>36</v>
      </c>
      <c r="AM4" s="149" t="s">
        <v>37</v>
      </c>
    </row>
    <row r="5" spans="1:39" customFormat="1" ht="33.75" thickBot="1">
      <c r="A5" s="34" t="s">
        <v>3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137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6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3"/>
      <c r="AJ5" s="155"/>
      <c r="AK5" s="157"/>
      <c r="AL5" s="159"/>
      <c r="AM5" s="150"/>
    </row>
    <row r="6" spans="1:39" customFormat="1" hidden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34"/>
      <c r="I6" s="15">
        <f>SUM(L6:AK6)</f>
        <v>0</v>
      </c>
      <c r="J6" s="15"/>
      <c r="K6" s="16"/>
      <c r="L6" s="15"/>
      <c r="M6" s="15"/>
      <c r="N6" s="15"/>
      <c r="O6" s="15"/>
      <c r="P6" s="15"/>
      <c r="Q6" s="15"/>
      <c r="R6" s="15"/>
      <c r="S6" s="15"/>
      <c r="T6" s="41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3"/>
      <c r="AJ6" s="56"/>
      <c r="AK6" s="53"/>
      <c r="AL6" s="64">
        <f>SUM(L6:AK6)</f>
        <v>0</v>
      </c>
      <c r="AM6" s="31" t="str">
        <f t="shared" ref="AM6:AM74" si="2">IF(AL6=I6,"OK","NG")</f>
        <v>OK</v>
      </c>
    </row>
    <row r="7" spans="1:39" customFormat="1" hidden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135"/>
      <c r="I7" s="21">
        <f t="shared" ref="I7:I70" si="3">SUM(L7:AK7)</f>
        <v>0</v>
      </c>
      <c r="J7" s="21"/>
      <c r="K7" s="16"/>
      <c r="L7" s="21"/>
      <c r="M7" s="21"/>
      <c r="N7" s="21"/>
      <c r="O7" s="21"/>
      <c r="P7" s="21"/>
      <c r="Q7" s="21"/>
      <c r="R7" s="21"/>
      <c r="S7" s="21"/>
      <c r="T7" s="42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4"/>
      <c r="AJ7" s="57"/>
      <c r="AK7" s="54"/>
      <c r="AL7" s="65">
        <f t="shared" ref="AL7:AL74" si="4">SUM(L7:AK7)</f>
        <v>0</v>
      </c>
      <c r="AM7" s="22" t="str">
        <f t="shared" si="2"/>
        <v>OK</v>
      </c>
    </row>
    <row r="8" spans="1:39" customFormat="1" hidden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36"/>
      <c r="I8" s="27">
        <f t="shared" si="3"/>
        <v>0</v>
      </c>
      <c r="J8" s="27"/>
      <c r="K8" s="16"/>
      <c r="L8" s="27"/>
      <c r="M8" s="27"/>
      <c r="N8" s="27"/>
      <c r="O8" s="27"/>
      <c r="P8" s="27"/>
      <c r="Q8" s="27"/>
      <c r="R8" s="27"/>
      <c r="S8" s="27"/>
      <c r="T8" s="4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5"/>
      <c r="AJ8" s="58"/>
      <c r="AK8" s="55"/>
      <c r="AL8" s="66">
        <f t="shared" si="4"/>
        <v>0</v>
      </c>
      <c r="AM8" s="28" t="str">
        <f t="shared" si="2"/>
        <v>OK</v>
      </c>
    </row>
    <row r="9" spans="1:39" customFormat="1" hidden="1">
      <c r="A9" s="17" t="s">
        <v>68</v>
      </c>
      <c r="B9" s="77">
        <v>10897</v>
      </c>
      <c r="C9" s="17" t="s">
        <v>62</v>
      </c>
      <c r="D9" s="69"/>
      <c r="E9" s="18"/>
      <c r="F9" s="18"/>
      <c r="G9" s="19"/>
      <c r="H9" s="135">
        <f>240+760</f>
        <v>1000</v>
      </c>
      <c r="I9" s="21">
        <f t="shared" si="3"/>
        <v>0</v>
      </c>
      <c r="J9" s="21"/>
      <c r="K9" s="16"/>
      <c r="L9" s="21"/>
      <c r="M9" s="21"/>
      <c r="N9" s="21"/>
      <c r="O9" s="21"/>
      <c r="P9" s="21"/>
      <c r="Q9" s="21"/>
      <c r="R9" s="21"/>
      <c r="S9" s="21"/>
      <c r="T9" s="42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4"/>
      <c r="AJ9" s="57"/>
      <c r="AK9" s="54"/>
      <c r="AL9" s="65">
        <f t="shared" si="4"/>
        <v>0</v>
      </c>
      <c r="AM9" s="22" t="str">
        <f t="shared" si="2"/>
        <v>OK</v>
      </c>
    </row>
    <row r="10" spans="1:39" customFormat="1" hidden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36"/>
      <c r="I10" s="27">
        <f t="shared" si="3"/>
        <v>0</v>
      </c>
      <c r="J10" s="27"/>
      <c r="K10" s="16"/>
      <c r="L10" s="27"/>
      <c r="M10" s="27"/>
      <c r="N10" s="27"/>
      <c r="O10" s="27"/>
      <c r="P10" s="27"/>
      <c r="Q10" s="27"/>
      <c r="R10" s="27"/>
      <c r="S10" s="27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5"/>
      <c r="AJ10" s="58"/>
      <c r="AK10" s="55"/>
      <c r="AL10" s="66">
        <f t="shared" si="4"/>
        <v>0</v>
      </c>
      <c r="AM10" s="28" t="str">
        <f t="shared" si="2"/>
        <v>OK</v>
      </c>
    </row>
    <row r="11" spans="1:39" customFormat="1" hidden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135"/>
      <c r="I11" s="21">
        <f t="shared" si="3"/>
        <v>0</v>
      </c>
      <c r="J11" s="21"/>
      <c r="K11" s="16"/>
      <c r="L11" s="21"/>
      <c r="M11" s="21"/>
      <c r="N11" s="21"/>
      <c r="O11" s="21"/>
      <c r="P11" s="21"/>
      <c r="Q11" s="21"/>
      <c r="R11" s="21"/>
      <c r="S11" s="21"/>
      <c r="T11" s="42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4"/>
      <c r="AJ11" s="57"/>
      <c r="AK11" s="54"/>
      <c r="AL11" s="65">
        <f t="shared" si="4"/>
        <v>0</v>
      </c>
      <c r="AM11" s="22" t="str">
        <f t="shared" si="2"/>
        <v>OK</v>
      </c>
    </row>
    <row r="12" spans="1:39" customFormat="1" hidden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36"/>
      <c r="I12" s="27">
        <f t="shared" si="3"/>
        <v>0</v>
      </c>
      <c r="J12" s="27"/>
      <c r="K12" s="16"/>
      <c r="L12" s="27"/>
      <c r="M12" s="27"/>
      <c r="N12" s="27"/>
      <c r="O12" s="27"/>
      <c r="P12" s="27"/>
      <c r="Q12" s="27"/>
      <c r="R12" s="27"/>
      <c r="S12" s="27"/>
      <c r="T12" s="43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8"/>
      <c r="AK12" s="55"/>
      <c r="AL12" s="66">
        <f t="shared" si="4"/>
        <v>0</v>
      </c>
      <c r="AM12" s="28" t="str">
        <f t="shared" si="2"/>
        <v>OK</v>
      </c>
    </row>
    <row r="13" spans="1:39" customFormat="1" hidden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135"/>
      <c r="I13" s="21">
        <f t="shared" si="3"/>
        <v>0</v>
      </c>
      <c r="J13" s="21"/>
      <c r="K13" s="16"/>
      <c r="L13" s="21"/>
      <c r="M13" s="21"/>
      <c r="N13" s="21"/>
      <c r="O13" s="21"/>
      <c r="P13" s="21"/>
      <c r="Q13" s="21"/>
      <c r="R13" s="21"/>
      <c r="S13" s="21"/>
      <c r="T13" s="4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4"/>
      <c r="AJ13" s="57"/>
      <c r="AK13" s="54"/>
      <c r="AL13" s="65">
        <f t="shared" si="4"/>
        <v>0</v>
      </c>
      <c r="AM13" s="22" t="str">
        <f t="shared" si="2"/>
        <v>OK</v>
      </c>
    </row>
    <row r="14" spans="1:39" customFormat="1" hidden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36"/>
      <c r="I14" s="27">
        <f t="shared" si="3"/>
        <v>0</v>
      </c>
      <c r="J14" s="27"/>
      <c r="K14" s="16"/>
      <c r="L14" s="27"/>
      <c r="M14" s="27"/>
      <c r="N14" s="27"/>
      <c r="O14" s="27"/>
      <c r="P14" s="27"/>
      <c r="Q14" s="27"/>
      <c r="R14" s="27"/>
      <c r="S14" s="27"/>
      <c r="T14" s="43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5"/>
      <c r="AJ14" s="58"/>
      <c r="AK14" s="55"/>
      <c r="AL14" s="66">
        <f t="shared" si="4"/>
        <v>0</v>
      </c>
      <c r="AM14" s="28" t="str">
        <f t="shared" si="2"/>
        <v>OK</v>
      </c>
    </row>
    <row r="15" spans="1:39" customFormat="1" hidden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135"/>
      <c r="I15" s="21">
        <f t="shared" si="3"/>
        <v>0</v>
      </c>
      <c r="J15" s="21"/>
      <c r="K15" s="16"/>
      <c r="L15" s="21"/>
      <c r="M15" s="21"/>
      <c r="N15" s="21"/>
      <c r="O15" s="21"/>
      <c r="P15" s="21"/>
      <c r="Q15" s="21"/>
      <c r="R15" s="21"/>
      <c r="S15" s="21"/>
      <c r="T15" s="42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4"/>
      <c r="AJ15" s="57"/>
      <c r="AK15" s="54"/>
      <c r="AL15" s="65">
        <f t="shared" si="4"/>
        <v>0</v>
      </c>
      <c r="AM15" s="22" t="str">
        <f t="shared" si="2"/>
        <v>OK</v>
      </c>
    </row>
    <row r="16" spans="1:39" customFormat="1" hidden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36"/>
      <c r="I16" s="27">
        <f t="shared" si="3"/>
        <v>0</v>
      </c>
      <c r="J16" s="27"/>
      <c r="K16" s="16"/>
      <c r="L16" s="27"/>
      <c r="M16" s="27"/>
      <c r="N16" s="27"/>
      <c r="O16" s="27"/>
      <c r="P16" s="27"/>
      <c r="Q16" s="27"/>
      <c r="R16" s="27"/>
      <c r="S16" s="27"/>
      <c r="T16" s="43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8"/>
      <c r="AK16" s="55"/>
      <c r="AL16" s="66">
        <f t="shared" si="4"/>
        <v>0</v>
      </c>
      <c r="AM16" s="28" t="str">
        <f t="shared" si="2"/>
        <v>OK</v>
      </c>
    </row>
    <row r="17" spans="1:39" customFormat="1" hidden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135"/>
      <c r="I17" s="21">
        <f t="shared" si="3"/>
        <v>0</v>
      </c>
      <c r="J17" s="21"/>
      <c r="K17" s="16"/>
      <c r="L17" s="21"/>
      <c r="M17" s="21"/>
      <c r="N17" s="21"/>
      <c r="O17" s="21"/>
      <c r="P17" s="21"/>
      <c r="Q17" s="21"/>
      <c r="R17" s="21"/>
      <c r="S17" s="21"/>
      <c r="T17" s="42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4"/>
      <c r="AJ17" s="57"/>
      <c r="AK17" s="54"/>
      <c r="AL17" s="65">
        <f t="shared" si="4"/>
        <v>0</v>
      </c>
      <c r="AM17" s="22" t="str">
        <f t="shared" si="2"/>
        <v>OK</v>
      </c>
    </row>
    <row r="18" spans="1:39" customFormat="1" hidden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36"/>
      <c r="I18" s="27">
        <f t="shared" si="3"/>
        <v>0</v>
      </c>
      <c r="J18" s="27"/>
      <c r="K18" s="16"/>
      <c r="L18" s="27"/>
      <c r="M18" s="27"/>
      <c r="N18" s="27"/>
      <c r="O18" s="27"/>
      <c r="P18" s="27"/>
      <c r="Q18" s="27"/>
      <c r="R18" s="27"/>
      <c r="S18" s="27"/>
      <c r="T18" s="43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8"/>
      <c r="AK18" s="55"/>
      <c r="AL18" s="66">
        <f t="shared" si="4"/>
        <v>0</v>
      </c>
      <c r="AM18" s="28" t="str">
        <f t="shared" si="2"/>
        <v>OK</v>
      </c>
    </row>
    <row r="19" spans="1:39" customFormat="1" hidden="1">
      <c r="A19" s="17" t="s">
        <v>91</v>
      </c>
      <c r="B19" s="77">
        <v>14988</v>
      </c>
      <c r="C19" s="17" t="s">
        <v>64</v>
      </c>
      <c r="D19" s="69"/>
      <c r="E19" s="18"/>
      <c r="F19" s="18"/>
      <c r="G19" s="19"/>
      <c r="H19" s="135">
        <v>840</v>
      </c>
      <c r="I19" s="21">
        <f t="shared" si="3"/>
        <v>0</v>
      </c>
      <c r="J19" s="21"/>
      <c r="K19" s="16"/>
      <c r="L19" s="21"/>
      <c r="M19" s="21"/>
      <c r="N19" s="21"/>
      <c r="O19" s="21"/>
      <c r="P19" s="21"/>
      <c r="Q19" s="21"/>
      <c r="R19" s="21"/>
      <c r="S19" s="21"/>
      <c r="T19" s="42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4"/>
      <c r="AJ19" s="57"/>
      <c r="AK19" s="54"/>
      <c r="AL19" s="65">
        <f t="shared" si="4"/>
        <v>0</v>
      </c>
      <c r="AM19" s="22" t="str">
        <f t="shared" si="2"/>
        <v>OK</v>
      </c>
    </row>
    <row r="20" spans="1:39" customFormat="1" hidden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136"/>
      <c r="I20" s="27">
        <f t="shared" si="3"/>
        <v>0</v>
      </c>
      <c r="J20" s="27"/>
      <c r="K20" s="16"/>
      <c r="L20" s="27"/>
      <c r="M20" s="27"/>
      <c r="N20" s="27"/>
      <c r="O20" s="27"/>
      <c r="P20" s="27"/>
      <c r="Q20" s="27"/>
      <c r="R20" s="27"/>
      <c r="S20" s="27"/>
      <c r="T20" s="43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8"/>
      <c r="AK20" s="55"/>
      <c r="AL20" s="66">
        <f t="shared" si="4"/>
        <v>0</v>
      </c>
      <c r="AM20" s="28" t="str">
        <f t="shared" si="2"/>
        <v>OK</v>
      </c>
    </row>
    <row r="21" spans="1:39" customFormat="1" hidden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135"/>
      <c r="I21" s="21">
        <f t="shared" si="3"/>
        <v>0</v>
      </c>
      <c r="J21" s="21"/>
      <c r="K21" s="16"/>
      <c r="L21" s="21"/>
      <c r="M21" s="21"/>
      <c r="N21" s="21"/>
      <c r="O21" s="21"/>
      <c r="P21" s="21"/>
      <c r="Q21" s="21"/>
      <c r="R21" s="21"/>
      <c r="S21" s="21"/>
      <c r="T21" s="4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4"/>
      <c r="AJ21" s="57"/>
      <c r="AK21" s="54"/>
      <c r="AL21" s="65">
        <f t="shared" si="4"/>
        <v>0</v>
      </c>
      <c r="AM21" s="22" t="str">
        <f t="shared" si="2"/>
        <v>OK</v>
      </c>
    </row>
    <row r="22" spans="1:39" customFormat="1" hidden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36"/>
      <c r="I22" s="27">
        <f t="shared" si="3"/>
        <v>0</v>
      </c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43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5"/>
      <c r="AJ22" s="58"/>
      <c r="AK22" s="55"/>
      <c r="AL22" s="66">
        <f t="shared" si="4"/>
        <v>0</v>
      </c>
      <c r="AM22" s="28" t="str">
        <f t="shared" si="2"/>
        <v>OK</v>
      </c>
    </row>
    <row r="23" spans="1:39" customFormat="1" hidden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135"/>
      <c r="I23" s="21">
        <f t="shared" si="3"/>
        <v>0</v>
      </c>
      <c r="J23" s="21"/>
      <c r="K23" s="16"/>
      <c r="L23" s="21"/>
      <c r="M23" s="21"/>
      <c r="N23" s="21"/>
      <c r="O23" s="21"/>
      <c r="P23" s="21"/>
      <c r="Q23" s="21"/>
      <c r="R23" s="21"/>
      <c r="S23" s="21"/>
      <c r="T23" s="42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7"/>
      <c r="AK23" s="54"/>
      <c r="AL23" s="65">
        <f>SUM(L23:AK23)</f>
        <v>0</v>
      </c>
      <c r="AM23" s="22" t="str">
        <f t="shared" si="2"/>
        <v>OK</v>
      </c>
    </row>
    <row r="24" spans="1:39" customFormat="1" hidden="1">
      <c r="A24" s="68" t="s">
        <v>44</v>
      </c>
      <c r="B24" s="78">
        <v>10163</v>
      </c>
      <c r="C24" s="23" t="s">
        <v>45</v>
      </c>
      <c r="D24" s="24"/>
      <c r="E24" s="24"/>
      <c r="F24" s="24"/>
      <c r="G24" s="25"/>
      <c r="H24" s="136">
        <f>336+336+672+672</f>
        <v>2016</v>
      </c>
      <c r="I24" s="27">
        <f t="shared" si="3"/>
        <v>0</v>
      </c>
      <c r="J24" s="27"/>
      <c r="K24" s="16"/>
      <c r="L24" s="27"/>
      <c r="M24" s="27"/>
      <c r="N24" s="27"/>
      <c r="O24" s="27"/>
      <c r="P24" s="27"/>
      <c r="Q24" s="27"/>
      <c r="R24" s="27"/>
      <c r="S24" s="27"/>
      <c r="T24" s="43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5"/>
      <c r="AJ24" s="58"/>
      <c r="AK24" s="55"/>
      <c r="AL24" s="66">
        <f t="shared" si="4"/>
        <v>0</v>
      </c>
      <c r="AM24" s="28" t="str">
        <f t="shared" si="2"/>
        <v>OK</v>
      </c>
    </row>
    <row r="25" spans="1:39" customFormat="1" hidden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135"/>
      <c r="I25" s="21">
        <f t="shared" si="3"/>
        <v>0</v>
      </c>
      <c r="J25" s="21"/>
      <c r="K25" s="16"/>
      <c r="L25" s="21"/>
      <c r="M25" s="21"/>
      <c r="N25" s="21"/>
      <c r="O25" s="21"/>
      <c r="P25" s="21"/>
      <c r="Q25" s="21"/>
      <c r="R25" s="21"/>
      <c r="S25" s="21"/>
      <c r="T25" s="42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4"/>
      <c r="AJ25" s="57"/>
      <c r="AK25" s="54"/>
      <c r="AL25" s="65">
        <f t="shared" si="4"/>
        <v>0</v>
      </c>
      <c r="AM25" s="22" t="str">
        <f t="shared" si="2"/>
        <v>OK</v>
      </c>
    </row>
    <row r="26" spans="1:39" customFormat="1" hidden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36"/>
      <c r="I26" s="27">
        <f t="shared" si="3"/>
        <v>0</v>
      </c>
      <c r="J26" s="27"/>
      <c r="K26" s="16"/>
      <c r="L26" s="27"/>
      <c r="M26" s="27"/>
      <c r="N26" s="27"/>
      <c r="O26" s="27"/>
      <c r="P26" s="27"/>
      <c r="Q26" s="27"/>
      <c r="R26" s="27"/>
      <c r="S26" s="27"/>
      <c r="T26" s="43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8"/>
      <c r="AK26" s="55"/>
      <c r="AL26" s="66">
        <f t="shared" si="4"/>
        <v>0</v>
      </c>
      <c r="AM26" s="28" t="str">
        <f t="shared" si="2"/>
        <v>OK</v>
      </c>
    </row>
    <row r="27" spans="1:39" customFormat="1" hidden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135"/>
      <c r="I27" s="21">
        <f t="shared" si="3"/>
        <v>0</v>
      </c>
      <c r="J27" s="21"/>
      <c r="K27" s="16"/>
      <c r="L27" s="21"/>
      <c r="M27" s="21"/>
      <c r="N27" s="21"/>
      <c r="O27" s="21"/>
      <c r="P27" s="21"/>
      <c r="Q27" s="21"/>
      <c r="R27" s="21"/>
      <c r="S27" s="21"/>
      <c r="T27" s="4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7"/>
      <c r="AK27" s="54"/>
      <c r="AL27" s="65">
        <f t="shared" si="4"/>
        <v>0</v>
      </c>
      <c r="AM27" s="22" t="str">
        <f t="shared" si="2"/>
        <v>OK</v>
      </c>
    </row>
    <row r="28" spans="1:39" customFormat="1" hidden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136">
        <v>1248</v>
      </c>
      <c r="I28" s="27">
        <f t="shared" si="3"/>
        <v>0</v>
      </c>
      <c r="J28" s="27"/>
      <c r="K28" s="16"/>
      <c r="L28" s="27"/>
      <c r="M28" s="27"/>
      <c r="N28" s="27"/>
      <c r="O28" s="27"/>
      <c r="P28" s="27"/>
      <c r="Q28" s="27"/>
      <c r="R28" s="27"/>
      <c r="S28" s="27"/>
      <c r="T28" s="43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5"/>
      <c r="AJ28" s="58"/>
      <c r="AK28" s="55"/>
      <c r="AL28" s="66">
        <f t="shared" si="4"/>
        <v>0</v>
      </c>
      <c r="AM28" s="28" t="str">
        <f t="shared" si="2"/>
        <v>OK</v>
      </c>
    </row>
    <row r="29" spans="1:39" customFormat="1" hidden="1">
      <c r="A29" s="80" t="s">
        <v>71</v>
      </c>
      <c r="B29" s="77">
        <v>10151</v>
      </c>
      <c r="C29" s="17" t="s">
        <v>51</v>
      </c>
      <c r="D29" s="69"/>
      <c r="E29" s="18"/>
      <c r="F29" s="18"/>
      <c r="G29" s="19"/>
      <c r="H29" s="135">
        <v>1980</v>
      </c>
      <c r="I29" s="21">
        <f t="shared" si="3"/>
        <v>0</v>
      </c>
      <c r="J29" s="21"/>
      <c r="K29" s="16"/>
      <c r="L29" s="21"/>
      <c r="M29" s="21"/>
      <c r="N29" s="21"/>
      <c r="O29" s="21"/>
      <c r="P29" s="21"/>
      <c r="Q29" s="21"/>
      <c r="R29" s="21"/>
      <c r="S29" s="21"/>
      <c r="T29" s="42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4"/>
      <c r="AJ29" s="57"/>
      <c r="AK29" s="54"/>
      <c r="AL29" s="65">
        <f t="shared" si="4"/>
        <v>0</v>
      </c>
      <c r="AM29" s="22" t="str">
        <f t="shared" si="2"/>
        <v>OK</v>
      </c>
    </row>
    <row r="30" spans="1:39" customFormat="1" hidden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137">
        <f>684+684</f>
        <v>1368</v>
      </c>
      <c r="I30" s="27">
        <f t="shared" si="3"/>
        <v>0</v>
      </c>
      <c r="J30" s="27"/>
      <c r="K30" s="16"/>
      <c r="L30" s="27"/>
      <c r="M30" s="27"/>
      <c r="N30" s="27"/>
      <c r="O30" s="27"/>
      <c r="P30" s="27"/>
      <c r="Q30" s="27"/>
      <c r="R30" s="27"/>
      <c r="S30" s="27"/>
      <c r="T30" s="43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5"/>
      <c r="AJ30" s="58"/>
      <c r="AK30" s="55"/>
      <c r="AL30" s="66">
        <f t="shared" si="4"/>
        <v>0</v>
      </c>
      <c r="AM30" s="28" t="str">
        <f t="shared" si="2"/>
        <v>OK</v>
      </c>
    </row>
    <row r="31" spans="1:39" customFormat="1" hidden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135"/>
      <c r="I31" s="21">
        <f t="shared" si="3"/>
        <v>0</v>
      </c>
      <c r="J31" s="21"/>
      <c r="K31" s="16"/>
      <c r="L31" s="21"/>
      <c r="M31" s="21"/>
      <c r="N31" s="21"/>
      <c r="O31" s="21"/>
      <c r="P31" s="21"/>
      <c r="Q31" s="21"/>
      <c r="R31" s="21"/>
      <c r="S31" s="21"/>
      <c r="T31" s="4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7"/>
      <c r="AK31" s="54"/>
      <c r="AL31" s="65">
        <f t="shared" si="4"/>
        <v>0</v>
      </c>
      <c r="AM31" s="22" t="str">
        <f t="shared" si="2"/>
        <v>OK</v>
      </c>
    </row>
    <row r="32" spans="1:39" customFormat="1" hidden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136"/>
      <c r="I32" s="27">
        <f t="shared" si="3"/>
        <v>0</v>
      </c>
      <c r="J32" s="27"/>
      <c r="K32" s="16"/>
      <c r="L32" s="27"/>
      <c r="M32" s="27"/>
      <c r="N32" s="27"/>
      <c r="O32" s="27"/>
      <c r="P32" s="27"/>
      <c r="Q32" s="27"/>
      <c r="R32" s="27"/>
      <c r="S32" s="27"/>
      <c r="T32" s="43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5"/>
      <c r="AJ32" s="58"/>
      <c r="AK32" s="55"/>
      <c r="AL32" s="66">
        <f t="shared" si="4"/>
        <v>0</v>
      </c>
      <c r="AM32" s="28" t="str">
        <f t="shared" si="2"/>
        <v>OK</v>
      </c>
    </row>
    <row r="33" spans="1:39" customFormat="1" hidden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135"/>
      <c r="I33" s="21">
        <f t="shared" si="3"/>
        <v>0</v>
      </c>
      <c r="J33" s="21"/>
      <c r="K33" s="16"/>
      <c r="L33" s="21"/>
      <c r="M33" s="21"/>
      <c r="N33" s="21"/>
      <c r="O33" s="21"/>
      <c r="P33" s="21"/>
      <c r="Q33" s="21"/>
      <c r="R33" s="21"/>
      <c r="S33" s="21"/>
      <c r="T33" s="42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4"/>
      <c r="AJ33" s="57"/>
      <c r="AK33" s="54"/>
      <c r="AL33" s="65">
        <f t="shared" si="4"/>
        <v>0</v>
      </c>
      <c r="AM33" s="22" t="str">
        <f t="shared" si="2"/>
        <v>OK</v>
      </c>
    </row>
    <row r="34" spans="1:39" customFormat="1" hidden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136"/>
      <c r="I34" s="27">
        <f t="shared" si="3"/>
        <v>0</v>
      </c>
      <c r="J34" s="27"/>
      <c r="K34" s="16"/>
      <c r="L34" s="27"/>
      <c r="M34" s="27"/>
      <c r="N34" s="27"/>
      <c r="O34" s="27"/>
      <c r="P34" s="27"/>
      <c r="Q34" s="27"/>
      <c r="R34" s="27"/>
      <c r="S34" s="27"/>
      <c r="T34" s="43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5"/>
      <c r="AJ34" s="58"/>
      <c r="AK34" s="55"/>
      <c r="AL34" s="66">
        <f t="shared" si="4"/>
        <v>0</v>
      </c>
      <c r="AM34" s="28" t="str">
        <f t="shared" si="2"/>
        <v>OK</v>
      </c>
    </row>
    <row r="35" spans="1:39" customFormat="1" hidden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135"/>
      <c r="I35" s="21">
        <f t="shared" si="3"/>
        <v>0</v>
      </c>
      <c r="J35" s="21"/>
      <c r="K35" s="16"/>
      <c r="L35" s="21"/>
      <c r="M35" s="21"/>
      <c r="N35" s="21"/>
      <c r="O35" s="21"/>
      <c r="P35" s="21"/>
      <c r="Q35" s="21"/>
      <c r="R35" s="21"/>
      <c r="S35" s="21"/>
      <c r="T35" s="42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4"/>
      <c r="AJ35" s="57"/>
      <c r="AK35" s="54"/>
      <c r="AL35" s="65">
        <f t="shared" si="4"/>
        <v>0</v>
      </c>
      <c r="AM35" s="22" t="str">
        <f t="shared" si="2"/>
        <v>OK</v>
      </c>
    </row>
    <row r="36" spans="1:39" customFormat="1" hidden="1">
      <c r="A36" s="68" t="s">
        <v>76</v>
      </c>
      <c r="B36" s="78">
        <v>10135</v>
      </c>
      <c r="C36" s="23" t="s">
        <v>56</v>
      </c>
      <c r="D36" s="24"/>
      <c r="E36" s="24"/>
      <c r="F36" s="24"/>
      <c r="G36" s="25"/>
      <c r="H36" s="136"/>
      <c r="I36" s="27">
        <f t="shared" si="3"/>
        <v>0</v>
      </c>
      <c r="J36" s="27"/>
      <c r="K36" s="16"/>
      <c r="L36" s="27"/>
      <c r="M36" s="27"/>
      <c r="N36" s="27"/>
      <c r="O36" s="27"/>
      <c r="P36" s="27"/>
      <c r="Q36" s="27"/>
      <c r="R36" s="27"/>
      <c r="S36" s="27"/>
      <c r="T36" s="43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5"/>
      <c r="AJ36" s="58"/>
      <c r="AK36" s="55"/>
      <c r="AL36" s="66">
        <f t="shared" si="4"/>
        <v>0</v>
      </c>
      <c r="AM36" s="28" t="str">
        <f t="shared" si="2"/>
        <v>OK</v>
      </c>
    </row>
    <row r="37" spans="1:39" customFormat="1" hidden="1">
      <c r="A37" s="80" t="s">
        <v>77</v>
      </c>
      <c r="B37" s="77">
        <v>10133</v>
      </c>
      <c r="C37" s="17" t="s">
        <v>55</v>
      </c>
      <c r="D37" s="69"/>
      <c r="E37" s="18"/>
      <c r="F37" s="18"/>
      <c r="G37" s="19"/>
      <c r="H37" s="135">
        <f>300+305</f>
        <v>605</v>
      </c>
      <c r="I37" s="21">
        <f>SUM(L37:AK37)</f>
        <v>0</v>
      </c>
      <c r="J37" s="21"/>
      <c r="K37" s="16"/>
      <c r="L37" s="21"/>
      <c r="M37" s="21"/>
      <c r="N37" s="21"/>
      <c r="O37" s="21"/>
      <c r="P37" s="21"/>
      <c r="Q37" s="21"/>
      <c r="R37" s="21"/>
      <c r="S37" s="21"/>
      <c r="T37" s="42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4"/>
      <c r="AJ37" s="57"/>
      <c r="AK37" s="54"/>
      <c r="AL37" s="65">
        <f t="shared" si="4"/>
        <v>0</v>
      </c>
      <c r="AM37" s="22" t="str">
        <f t="shared" si="2"/>
        <v>OK</v>
      </c>
    </row>
    <row r="38" spans="1:39" customFormat="1" hidden="1">
      <c r="A38" s="68" t="s">
        <v>78</v>
      </c>
      <c r="B38" s="78">
        <v>10131</v>
      </c>
      <c r="C38" s="23" t="s">
        <v>56</v>
      </c>
      <c r="D38" s="24"/>
      <c r="E38" s="24"/>
      <c r="F38" s="24"/>
      <c r="G38" s="25"/>
      <c r="H38" s="136">
        <f>740+250</f>
        <v>990</v>
      </c>
      <c r="I38" s="27">
        <f t="shared" si="3"/>
        <v>0</v>
      </c>
      <c r="J38" s="27"/>
      <c r="K38" s="16"/>
      <c r="L38" s="27"/>
      <c r="M38" s="27"/>
      <c r="N38" s="27"/>
      <c r="O38" s="27"/>
      <c r="P38" s="27"/>
      <c r="Q38" s="27"/>
      <c r="R38" s="27"/>
      <c r="S38" s="27"/>
      <c r="T38" s="43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5"/>
      <c r="AJ38" s="58"/>
      <c r="AK38" s="55"/>
      <c r="AL38" s="66">
        <f t="shared" ref="AL38:AL50" si="5">SUM(L38:AK38)</f>
        <v>0</v>
      </c>
      <c r="AM38" s="28" t="str">
        <f t="shared" si="2"/>
        <v>OK</v>
      </c>
    </row>
    <row r="39" spans="1:39" customFormat="1" hidden="1">
      <c r="A39" s="17" t="s">
        <v>79</v>
      </c>
      <c r="B39" s="77">
        <v>824</v>
      </c>
      <c r="C39" s="17" t="s">
        <v>57</v>
      </c>
      <c r="D39" s="69"/>
      <c r="E39" s="18"/>
      <c r="F39" s="18"/>
      <c r="G39" s="19"/>
      <c r="H39" s="135"/>
      <c r="I39" s="21">
        <f t="shared" si="3"/>
        <v>0</v>
      </c>
      <c r="J39" s="21"/>
      <c r="K39" s="16"/>
      <c r="L39" s="21"/>
      <c r="M39" s="21"/>
      <c r="N39" s="21"/>
      <c r="O39" s="21"/>
      <c r="P39" s="21"/>
      <c r="Q39" s="21"/>
      <c r="R39" s="21"/>
      <c r="S39" s="21"/>
      <c r="T39" s="42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4"/>
      <c r="AJ39" s="57"/>
      <c r="AK39" s="54"/>
      <c r="AL39" s="65">
        <f t="shared" si="5"/>
        <v>0</v>
      </c>
      <c r="AM39" s="22" t="str">
        <f t="shared" si="2"/>
        <v>OK</v>
      </c>
    </row>
    <row r="40" spans="1:39" customFormat="1">
      <c r="A40" s="68" t="s">
        <v>80</v>
      </c>
      <c r="B40" s="78">
        <v>10127</v>
      </c>
      <c r="C40" s="23" t="s">
        <v>58</v>
      </c>
      <c r="D40" s="24"/>
      <c r="E40" s="24"/>
      <c r="F40" s="24"/>
      <c r="G40" s="25"/>
      <c r="H40" s="136">
        <f>240+1200+1620</f>
        <v>3060</v>
      </c>
      <c r="I40" s="27">
        <f t="shared" si="3"/>
        <v>1</v>
      </c>
      <c r="J40" s="27"/>
      <c r="K40" s="16"/>
      <c r="L40" s="27">
        <v>1</v>
      </c>
      <c r="M40" s="27"/>
      <c r="N40" s="27"/>
      <c r="O40" s="27"/>
      <c r="P40" s="27"/>
      <c r="Q40" s="27"/>
      <c r="R40" s="27"/>
      <c r="S40" s="27"/>
      <c r="T40" s="43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5"/>
      <c r="AJ40" s="58"/>
      <c r="AK40" s="55"/>
      <c r="AL40" s="66">
        <f t="shared" si="5"/>
        <v>1</v>
      </c>
      <c r="AM40" s="28" t="str">
        <f t="shared" si="2"/>
        <v>OK</v>
      </c>
    </row>
    <row r="41" spans="1:39" customFormat="1" hidden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135"/>
      <c r="I41" s="21">
        <f t="shared" si="3"/>
        <v>0</v>
      </c>
      <c r="J41" s="21"/>
      <c r="K41" s="16"/>
      <c r="L41" s="21"/>
      <c r="M41" s="21"/>
      <c r="N41" s="21"/>
      <c r="O41" s="21"/>
      <c r="P41" s="21"/>
      <c r="Q41" s="21"/>
      <c r="R41" s="21"/>
      <c r="S41" s="21"/>
      <c r="T41" s="4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4"/>
      <c r="AJ41" s="57"/>
      <c r="AK41" s="54"/>
      <c r="AL41" s="65">
        <f t="shared" si="5"/>
        <v>0</v>
      </c>
      <c r="AM41" s="22" t="str">
        <f t="shared" si="2"/>
        <v>OK</v>
      </c>
    </row>
    <row r="42" spans="1:39" customFormat="1" hidden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136"/>
      <c r="I42" s="27">
        <f t="shared" si="3"/>
        <v>0</v>
      </c>
      <c r="J42" s="27"/>
      <c r="K42" s="16"/>
      <c r="L42" s="27"/>
      <c r="M42" s="27"/>
      <c r="N42" s="27"/>
      <c r="O42" s="27"/>
      <c r="P42" s="27"/>
      <c r="Q42" s="27"/>
      <c r="R42" s="27"/>
      <c r="S42" s="27"/>
      <c r="T42" s="43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5"/>
      <c r="AJ42" s="58"/>
      <c r="AK42" s="55"/>
      <c r="AL42" s="66">
        <f t="shared" si="5"/>
        <v>0</v>
      </c>
      <c r="AM42" s="28" t="str">
        <f t="shared" si="2"/>
        <v>OK</v>
      </c>
    </row>
    <row r="43" spans="1:39" customFormat="1" hidden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135"/>
      <c r="I43" s="21">
        <f t="shared" si="3"/>
        <v>0</v>
      </c>
      <c r="J43" s="21"/>
      <c r="K43" s="16"/>
      <c r="L43" s="21"/>
      <c r="M43" s="21"/>
      <c r="N43" s="21"/>
      <c r="O43" s="21"/>
      <c r="P43" s="21"/>
      <c r="Q43" s="21"/>
      <c r="R43" s="21"/>
      <c r="S43" s="21"/>
      <c r="T43" s="42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4"/>
      <c r="AJ43" s="57"/>
      <c r="AK43" s="54"/>
      <c r="AL43" s="65">
        <f t="shared" si="5"/>
        <v>0</v>
      </c>
      <c r="AM43" s="22" t="str">
        <f t="shared" si="2"/>
        <v>OK</v>
      </c>
    </row>
    <row r="44" spans="1:39" customFormat="1" hidden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136"/>
      <c r="I44" s="27">
        <f t="shared" si="3"/>
        <v>0</v>
      </c>
      <c r="J44" s="27"/>
      <c r="K44" s="16"/>
      <c r="L44" s="27"/>
      <c r="M44" s="27"/>
      <c r="N44" s="27"/>
      <c r="O44" s="27"/>
      <c r="P44" s="27"/>
      <c r="Q44" s="27"/>
      <c r="R44" s="27"/>
      <c r="S44" s="27"/>
      <c r="T44" s="43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5"/>
      <c r="AJ44" s="58"/>
      <c r="AK44" s="55"/>
      <c r="AL44" s="66">
        <f t="shared" si="5"/>
        <v>0</v>
      </c>
      <c r="AM44" s="28" t="str">
        <f t="shared" si="2"/>
        <v>OK</v>
      </c>
    </row>
    <row r="45" spans="1:39" customFormat="1">
      <c r="A45" s="17" t="s">
        <v>107</v>
      </c>
      <c r="B45" s="77">
        <v>13467</v>
      </c>
      <c r="C45" s="17" t="s">
        <v>87</v>
      </c>
      <c r="D45" s="69"/>
      <c r="E45" s="18"/>
      <c r="F45" s="18"/>
      <c r="G45" s="19"/>
      <c r="H45" s="135">
        <f>480+196</f>
        <v>676</v>
      </c>
      <c r="I45" s="21">
        <f t="shared" si="3"/>
        <v>1</v>
      </c>
      <c r="J45" s="21"/>
      <c r="K45" s="16"/>
      <c r="L45" s="21"/>
      <c r="M45" s="21"/>
      <c r="N45" s="21"/>
      <c r="O45" s="21"/>
      <c r="P45" s="21"/>
      <c r="Q45" s="21"/>
      <c r="R45" s="21"/>
      <c r="S45" s="21"/>
      <c r="T45" s="4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4">
        <v>1</v>
      </c>
      <c r="AJ45" s="57"/>
      <c r="AK45" s="54"/>
      <c r="AL45" s="65">
        <f t="shared" si="5"/>
        <v>1</v>
      </c>
      <c r="AM45" s="22" t="str">
        <f t="shared" si="2"/>
        <v>OK</v>
      </c>
    </row>
    <row r="46" spans="1:39" customFormat="1" hidden="1">
      <c r="A46" s="68" t="s">
        <v>111</v>
      </c>
      <c r="B46" s="78">
        <v>15948</v>
      </c>
      <c r="C46" s="23" t="s">
        <v>87</v>
      </c>
      <c r="D46" s="24"/>
      <c r="E46" s="24"/>
      <c r="F46" s="24"/>
      <c r="G46" s="25"/>
      <c r="H46" s="136"/>
      <c r="I46" s="27">
        <f t="shared" si="3"/>
        <v>0</v>
      </c>
      <c r="J46" s="27"/>
      <c r="K46" s="16"/>
      <c r="L46" s="27"/>
      <c r="M46" s="27"/>
      <c r="N46" s="27"/>
      <c r="O46" s="27"/>
      <c r="P46" s="27"/>
      <c r="Q46" s="27"/>
      <c r="R46" s="27"/>
      <c r="S46" s="27"/>
      <c r="T46" s="43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5"/>
      <c r="AJ46" s="58"/>
      <c r="AK46" s="55"/>
      <c r="AL46" s="66">
        <f t="shared" si="5"/>
        <v>0</v>
      </c>
      <c r="AM46" s="28" t="str">
        <f t="shared" si="2"/>
        <v>OK</v>
      </c>
    </row>
    <row r="47" spans="1:39" customFormat="1" hidden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135"/>
      <c r="I47" s="21">
        <f t="shared" si="3"/>
        <v>0</v>
      </c>
      <c r="J47" s="21"/>
      <c r="K47" s="16"/>
      <c r="L47" s="21"/>
      <c r="M47" s="21"/>
      <c r="N47" s="21"/>
      <c r="O47" s="21"/>
      <c r="P47" s="21"/>
      <c r="Q47" s="21"/>
      <c r="R47" s="21"/>
      <c r="S47" s="21"/>
      <c r="T47" s="42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4"/>
      <c r="AJ47" s="57"/>
      <c r="AK47" s="54"/>
      <c r="AL47" s="65">
        <f t="shared" si="5"/>
        <v>0</v>
      </c>
      <c r="AM47" s="22" t="str">
        <f t="shared" si="2"/>
        <v>OK</v>
      </c>
    </row>
    <row r="48" spans="1:39" customFormat="1" hidden="1">
      <c r="A48" s="68" t="s">
        <v>121</v>
      </c>
      <c r="B48" s="78">
        <v>16598</v>
      </c>
      <c r="C48" s="23" t="s">
        <v>87</v>
      </c>
      <c r="D48" s="24"/>
      <c r="E48" s="24"/>
      <c r="F48" s="24"/>
      <c r="G48" s="25"/>
      <c r="H48" s="136">
        <v>1025</v>
      </c>
      <c r="I48" s="27">
        <f t="shared" si="3"/>
        <v>0</v>
      </c>
      <c r="J48" s="27"/>
      <c r="K48" s="16"/>
      <c r="L48" s="27"/>
      <c r="M48" s="27"/>
      <c r="N48" s="27"/>
      <c r="O48" s="27"/>
      <c r="P48" s="27"/>
      <c r="Q48" s="27"/>
      <c r="R48" s="27"/>
      <c r="S48" s="27"/>
      <c r="T48" s="43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5"/>
      <c r="AJ48" s="58"/>
      <c r="AK48" s="55"/>
      <c r="AL48" s="66">
        <f t="shared" si="5"/>
        <v>0</v>
      </c>
      <c r="AM48" s="28" t="str">
        <f t="shared" si="2"/>
        <v>OK</v>
      </c>
    </row>
    <row r="49" spans="1:39" customFormat="1" hidden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135"/>
      <c r="I49" s="21">
        <f t="shared" si="3"/>
        <v>0</v>
      </c>
      <c r="J49" s="21"/>
      <c r="K49" s="16"/>
      <c r="L49" s="21"/>
      <c r="M49" s="21"/>
      <c r="N49" s="21"/>
      <c r="O49" s="21"/>
      <c r="P49" s="21"/>
      <c r="Q49" s="21"/>
      <c r="R49" s="21"/>
      <c r="S49" s="21"/>
      <c r="T49" s="4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4"/>
      <c r="AJ49" s="57"/>
      <c r="AK49" s="54"/>
      <c r="AL49" s="65">
        <f t="shared" si="5"/>
        <v>0</v>
      </c>
      <c r="AM49" s="22" t="str">
        <f t="shared" si="2"/>
        <v>OK</v>
      </c>
    </row>
    <row r="50" spans="1:39" customFormat="1" hidden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136"/>
      <c r="I50" s="27">
        <f t="shared" si="3"/>
        <v>0</v>
      </c>
      <c r="J50" s="27"/>
      <c r="K50" s="16"/>
      <c r="L50" s="27"/>
      <c r="M50" s="27"/>
      <c r="N50" s="27"/>
      <c r="O50" s="27"/>
      <c r="P50" s="27"/>
      <c r="Q50" s="27"/>
      <c r="R50" s="27"/>
      <c r="S50" s="27"/>
      <c r="T50" s="43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8"/>
      <c r="AK50" s="55"/>
      <c r="AL50" s="66">
        <f t="shared" si="5"/>
        <v>0</v>
      </c>
      <c r="AM50" s="28" t="str">
        <f t="shared" si="2"/>
        <v>OK</v>
      </c>
    </row>
    <row r="51" spans="1:39" customFormat="1" hidden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135"/>
      <c r="I51" s="21">
        <f t="shared" si="3"/>
        <v>0</v>
      </c>
      <c r="J51" s="21"/>
      <c r="K51" s="16"/>
      <c r="L51" s="21"/>
      <c r="M51" s="21"/>
      <c r="N51" s="21"/>
      <c r="O51" s="21"/>
      <c r="P51" s="21"/>
      <c r="Q51" s="21"/>
      <c r="R51" s="21"/>
      <c r="S51" s="21"/>
      <c r="T51" s="4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4"/>
      <c r="AJ51" s="57"/>
      <c r="AK51" s="54"/>
      <c r="AL51" s="65">
        <f>SUM(L51:AK51)</f>
        <v>0</v>
      </c>
      <c r="AM51" s="22" t="str">
        <f t="shared" si="2"/>
        <v>OK</v>
      </c>
    </row>
    <row r="52" spans="1:39" customFormat="1" hidden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136"/>
      <c r="I52" s="27">
        <f t="shared" si="3"/>
        <v>0</v>
      </c>
      <c r="J52" s="27"/>
      <c r="K52" s="16"/>
      <c r="L52" s="27"/>
      <c r="M52" s="27"/>
      <c r="N52" s="27"/>
      <c r="O52" s="27"/>
      <c r="P52" s="27"/>
      <c r="Q52" s="27"/>
      <c r="R52" s="27"/>
      <c r="S52" s="27"/>
      <c r="T52" s="43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5"/>
      <c r="AJ52" s="58"/>
      <c r="AK52" s="55"/>
      <c r="AL52" s="66">
        <f t="shared" ref="AL52:AL64" si="6">SUM(L52:AK52)</f>
        <v>0</v>
      </c>
      <c r="AM52" s="28" t="str">
        <f t="shared" si="2"/>
        <v>OK</v>
      </c>
    </row>
    <row r="53" spans="1:39" customFormat="1" hidden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135"/>
      <c r="I53" s="21">
        <f t="shared" si="3"/>
        <v>0</v>
      </c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42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4"/>
      <c r="AJ53" s="57"/>
      <c r="AK53" s="54"/>
      <c r="AL53" s="65">
        <f t="shared" si="6"/>
        <v>0</v>
      </c>
      <c r="AM53" s="22" t="str">
        <f t="shared" si="2"/>
        <v>OK</v>
      </c>
    </row>
    <row r="54" spans="1:39" customFormat="1" hidden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136"/>
      <c r="I54" s="27">
        <f t="shared" si="3"/>
        <v>0</v>
      </c>
      <c r="J54" s="27"/>
      <c r="K54" s="16"/>
      <c r="L54" s="27"/>
      <c r="M54" s="27"/>
      <c r="N54" s="27"/>
      <c r="O54" s="27"/>
      <c r="P54" s="27"/>
      <c r="Q54" s="27"/>
      <c r="R54" s="27"/>
      <c r="S54" s="27"/>
      <c r="T54" s="43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5"/>
      <c r="AJ54" s="58"/>
      <c r="AK54" s="55"/>
      <c r="AL54" s="66">
        <f t="shared" si="6"/>
        <v>0</v>
      </c>
      <c r="AM54" s="28" t="str">
        <f t="shared" si="2"/>
        <v>OK</v>
      </c>
    </row>
    <row r="55" spans="1:39" customFormat="1" hidden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135"/>
      <c r="I55" s="21">
        <f t="shared" si="3"/>
        <v>0</v>
      </c>
      <c r="J55" s="21"/>
      <c r="K55" s="16"/>
      <c r="L55" s="21"/>
      <c r="M55" s="21"/>
      <c r="N55" s="21"/>
      <c r="O55" s="21"/>
      <c r="P55" s="21"/>
      <c r="Q55" s="21"/>
      <c r="R55" s="21"/>
      <c r="S55" s="21"/>
      <c r="T55" s="42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4"/>
      <c r="AJ55" s="57"/>
      <c r="AK55" s="54"/>
      <c r="AL55" s="65">
        <f t="shared" si="6"/>
        <v>0</v>
      </c>
      <c r="AM55" s="22" t="str">
        <f t="shared" si="2"/>
        <v>OK</v>
      </c>
    </row>
    <row r="56" spans="1:39" customFormat="1" hidden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136"/>
      <c r="I56" s="27">
        <f t="shared" si="3"/>
        <v>0</v>
      </c>
      <c r="J56" s="27"/>
      <c r="K56" s="16"/>
      <c r="L56" s="27"/>
      <c r="M56" s="27"/>
      <c r="N56" s="27"/>
      <c r="O56" s="27"/>
      <c r="P56" s="27"/>
      <c r="Q56" s="27"/>
      <c r="R56" s="27"/>
      <c r="S56" s="27"/>
      <c r="T56" s="43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5"/>
      <c r="AJ56" s="58"/>
      <c r="AK56" s="55"/>
      <c r="AL56" s="66">
        <f t="shared" si="6"/>
        <v>0</v>
      </c>
      <c r="AM56" s="28" t="str">
        <f t="shared" si="2"/>
        <v>OK</v>
      </c>
    </row>
    <row r="57" spans="1:39" customFormat="1" hidden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135"/>
      <c r="I57" s="21">
        <f t="shared" si="3"/>
        <v>0</v>
      </c>
      <c r="J57" s="21"/>
      <c r="K57" s="16"/>
      <c r="L57" s="21"/>
      <c r="M57" s="21"/>
      <c r="N57" s="21"/>
      <c r="O57" s="21"/>
      <c r="P57" s="21"/>
      <c r="Q57" s="21"/>
      <c r="R57" s="21"/>
      <c r="S57" s="21"/>
      <c r="T57" s="42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4"/>
      <c r="AJ57" s="57"/>
      <c r="AK57" s="54"/>
      <c r="AL57" s="65">
        <f t="shared" si="6"/>
        <v>0</v>
      </c>
      <c r="AM57" s="22" t="str">
        <f t="shared" si="2"/>
        <v>OK</v>
      </c>
    </row>
    <row r="58" spans="1:39" customFormat="1" hidden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136"/>
      <c r="I58" s="27">
        <f t="shared" si="3"/>
        <v>0</v>
      </c>
      <c r="J58" s="27"/>
      <c r="K58" s="16"/>
      <c r="L58" s="27"/>
      <c r="M58" s="27"/>
      <c r="N58" s="27"/>
      <c r="O58" s="27"/>
      <c r="P58" s="27"/>
      <c r="Q58" s="27"/>
      <c r="R58" s="27"/>
      <c r="S58" s="27"/>
      <c r="T58" s="43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5"/>
      <c r="AJ58" s="58"/>
      <c r="AK58" s="55"/>
      <c r="AL58" s="66">
        <f t="shared" si="6"/>
        <v>0</v>
      </c>
      <c r="AM58" s="28" t="str">
        <f t="shared" si="2"/>
        <v>OK</v>
      </c>
    </row>
    <row r="59" spans="1:39" customFormat="1" hidden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135"/>
      <c r="I59" s="21">
        <f t="shared" si="3"/>
        <v>0</v>
      </c>
      <c r="J59" s="21"/>
      <c r="K59" s="16"/>
      <c r="L59" s="21"/>
      <c r="M59" s="21"/>
      <c r="N59" s="21"/>
      <c r="O59" s="21"/>
      <c r="P59" s="21"/>
      <c r="Q59" s="21"/>
      <c r="R59" s="21"/>
      <c r="S59" s="21"/>
      <c r="T59" s="4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4"/>
      <c r="AJ59" s="57"/>
      <c r="AK59" s="54"/>
      <c r="AL59" s="65">
        <f t="shared" si="6"/>
        <v>0</v>
      </c>
      <c r="AM59" s="22" t="str">
        <f t="shared" si="2"/>
        <v>OK</v>
      </c>
    </row>
    <row r="60" spans="1:39" customFormat="1" hidden="1">
      <c r="A60" s="68" t="s">
        <v>84</v>
      </c>
      <c r="B60" s="78">
        <v>11380</v>
      </c>
      <c r="C60" s="23" t="s">
        <v>60</v>
      </c>
      <c r="D60" s="24"/>
      <c r="E60" s="24"/>
      <c r="F60" s="24"/>
      <c r="G60" s="25"/>
      <c r="H60" s="136">
        <f>440+1120</f>
        <v>1560</v>
      </c>
      <c r="I60" s="27">
        <f t="shared" si="3"/>
        <v>0</v>
      </c>
      <c r="J60" s="27"/>
      <c r="K60" s="16"/>
      <c r="L60" s="27"/>
      <c r="M60" s="27"/>
      <c r="N60" s="27"/>
      <c r="O60" s="27"/>
      <c r="P60" s="27"/>
      <c r="Q60" s="27"/>
      <c r="R60" s="27"/>
      <c r="S60" s="27"/>
      <c r="T60" s="43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5"/>
      <c r="AJ60" s="58"/>
      <c r="AK60" s="55"/>
      <c r="AL60" s="66">
        <f t="shared" si="6"/>
        <v>0</v>
      </c>
      <c r="AM60" s="28" t="str">
        <f t="shared" si="2"/>
        <v>OK</v>
      </c>
    </row>
    <row r="61" spans="1:39" customFormat="1" hidden="1">
      <c r="A61" s="80" t="s">
        <v>112</v>
      </c>
      <c r="B61" s="77">
        <v>18518</v>
      </c>
      <c r="C61" s="17" t="s">
        <v>87</v>
      </c>
      <c r="D61" s="69"/>
      <c r="E61" s="18"/>
      <c r="F61" s="18"/>
      <c r="G61" s="19"/>
      <c r="H61" s="135">
        <f>1008+490+364+1056</f>
        <v>2918</v>
      </c>
      <c r="I61" s="21">
        <f t="shared" si="3"/>
        <v>0</v>
      </c>
      <c r="J61" s="21"/>
      <c r="K61" s="16"/>
      <c r="L61" s="21"/>
      <c r="M61" s="21"/>
      <c r="N61" s="21"/>
      <c r="O61" s="21"/>
      <c r="P61" s="21"/>
      <c r="Q61" s="21"/>
      <c r="R61" s="21"/>
      <c r="S61" s="21"/>
      <c r="T61" s="4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4"/>
      <c r="AJ61" s="57"/>
      <c r="AK61" s="54"/>
      <c r="AL61" s="65">
        <f t="shared" si="6"/>
        <v>0</v>
      </c>
      <c r="AM61" s="22" t="str">
        <f t="shared" si="2"/>
        <v>OK</v>
      </c>
    </row>
    <row r="62" spans="1:39" customFormat="1" hidden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136"/>
      <c r="I62" s="27">
        <f t="shared" si="3"/>
        <v>0</v>
      </c>
      <c r="J62" s="27"/>
      <c r="K62" s="16"/>
      <c r="L62" s="27"/>
      <c r="M62" s="27"/>
      <c r="N62" s="27"/>
      <c r="O62" s="27"/>
      <c r="P62" s="27"/>
      <c r="Q62" s="27"/>
      <c r="R62" s="27"/>
      <c r="S62" s="27"/>
      <c r="T62" s="43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5"/>
      <c r="AJ62" s="58"/>
      <c r="AK62" s="55"/>
      <c r="AL62" s="66">
        <f t="shared" si="6"/>
        <v>0</v>
      </c>
      <c r="AM62" s="28" t="str">
        <f t="shared" si="2"/>
        <v>OK</v>
      </c>
    </row>
    <row r="63" spans="1:39" customFormat="1" hidden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135"/>
      <c r="I63" s="21">
        <f t="shared" si="3"/>
        <v>0</v>
      </c>
      <c r="J63" s="21"/>
      <c r="K63" s="16"/>
      <c r="L63" s="21"/>
      <c r="M63" s="21"/>
      <c r="N63" s="21"/>
      <c r="O63" s="21"/>
      <c r="P63" s="21"/>
      <c r="Q63" s="21"/>
      <c r="R63" s="21"/>
      <c r="S63" s="21"/>
      <c r="T63" s="4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4"/>
      <c r="AJ63" s="57"/>
      <c r="AK63" s="54"/>
      <c r="AL63" s="65">
        <f t="shared" si="6"/>
        <v>0</v>
      </c>
      <c r="AM63" s="22" t="str">
        <f t="shared" si="2"/>
        <v>OK</v>
      </c>
    </row>
    <row r="64" spans="1:39" customFormat="1" hidden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136">
        <v>410</v>
      </c>
      <c r="I64" s="27">
        <f t="shared" si="3"/>
        <v>0</v>
      </c>
      <c r="J64" s="27"/>
      <c r="K64" s="16"/>
      <c r="L64" s="27"/>
      <c r="M64" s="27"/>
      <c r="N64" s="27"/>
      <c r="O64" s="27"/>
      <c r="P64" s="27"/>
      <c r="Q64" s="27"/>
      <c r="R64" s="27"/>
      <c r="S64" s="27"/>
      <c r="T64" s="43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5"/>
      <c r="AJ64" s="58"/>
      <c r="AK64" s="55"/>
      <c r="AL64" s="66">
        <f t="shared" si="6"/>
        <v>0</v>
      </c>
      <c r="AM64" s="28" t="str">
        <f t="shared" si="2"/>
        <v>OK</v>
      </c>
    </row>
    <row r="65" spans="1:39" customFormat="1" hidden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135"/>
      <c r="I65" s="21">
        <f t="shared" si="3"/>
        <v>0</v>
      </c>
      <c r="J65" s="21"/>
      <c r="K65" s="16"/>
      <c r="L65" s="21"/>
      <c r="M65" s="21"/>
      <c r="N65" s="21"/>
      <c r="O65" s="21"/>
      <c r="P65" s="21"/>
      <c r="Q65" s="21"/>
      <c r="R65" s="21"/>
      <c r="S65" s="21"/>
      <c r="T65" s="4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4"/>
      <c r="AJ65" s="57"/>
      <c r="AK65" s="54"/>
      <c r="AL65" s="65">
        <f t="shared" si="4"/>
        <v>0</v>
      </c>
      <c r="AM65" s="22" t="str">
        <f t="shared" si="2"/>
        <v>OK</v>
      </c>
    </row>
    <row r="66" spans="1:39" customFormat="1" hidden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136"/>
      <c r="I66" s="27">
        <f t="shared" si="3"/>
        <v>0</v>
      </c>
      <c r="J66" s="27"/>
      <c r="K66" s="16"/>
      <c r="L66" s="27"/>
      <c r="M66" s="27"/>
      <c r="N66" s="27"/>
      <c r="O66" s="27"/>
      <c r="P66" s="27"/>
      <c r="Q66" s="27"/>
      <c r="R66" s="27"/>
      <c r="S66" s="27"/>
      <c r="T66" s="43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5"/>
      <c r="AJ66" s="58"/>
      <c r="AK66" s="55"/>
      <c r="AL66" s="66">
        <f t="shared" si="4"/>
        <v>0</v>
      </c>
      <c r="AM66" s="28" t="str">
        <f t="shared" si="2"/>
        <v>OK</v>
      </c>
    </row>
    <row r="67" spans="1:39" customFormat="1" hidden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135"/>
      <c r="I67" s="21">
        <f t="shared" si="3"/>
        <v>0</v>
      </c>
      <c r="J67" s="21"/>
      <c r="K67" s="16"/>
      <c r="L67" s="21"/>
      <c r="M67" s="21"/>
      <c r="N67" s="21"/>
      <c r="O67" s="21"/>
      <c r="P67" s="21"/>
      <c r="Q67" s="21"/>
      <c r="R67" s="21"/>
      <c r="S67" s="21"/>
      <c r="T67" s="4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4"/>
      <c r="AJ67" s="57"/>
      <c r="AK67" s="54"/>
      <c r="AL67" s="65">
        <f t="shared" si="4"/>
        <v>0</v>
      </c>
      <c r="AM67" s="22" t="str">
        <f t="shared" si="2"/>
        <v>OK</v>
      </c>
    </row>
    <row r="68" spans="1:39" customFormat="1" hidden="1">
      <c r="A68" s="81" t="s">
        <v>132</v>
      </c>
      <c r="B68" s="78">
        <v>20269</v>
      </c>
      <c r="C68" s="23" t="s">
        <v>131</v>
      </c>
      <c r="D68" s="24"/>
      <c r="E68" s="24"/>
      <c r="F68" s="24"/>
      <c r="G68" s="25"/>
      <c r="H68" s="136">
        <v>270</v>
      </c>
      <c r="I68" s="27">
        <f t="shared" si="3"/>
        <v>0</v>
      </c>
      <c r="J68" s="27"/>
      <c r="K68" s="16"/>
      <c r="L68" s="27"/>
      <c r="M68" s="27"/>
      <c r="N68" s="27"/>
      <c r="O68" s="27"/>
      <c r="P68" s="27"/>
      <c r="Q68" s="27"/>
      <c r="R68" s="27"/>
      <c r="S68" s="27"/>
      <c r="T68" s="43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5"/>
      <c r="AJ68" s="58"/>
      <c r="AK68" s="55"/>
      <c r="AL68" s="66">
        <f t="shared" si="4"/>
        <v>0</v>
      </c>
      <c r="AM68" s="28" t="str">
        <f t="shared" si="2"/>
        <v>OK</v>
      </c>
    </row>
    <row r="69" spans="1:39" customFormat="1" hidden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135"/>
      <c r="I69" s="21">
        <f t="shared" si="3"/>
        <v>0</v>
      </c>
      <c r="J69" s="21"/>
      <c r="K69" s="16"/>
      <c r="L69" s="21"/>
      <c r="M69" s="21"/>
      <c r="N69" s="21"/>
      <c r="O69" s="21"/>
      <c r="P69" s="21"/>
      <c r="Q69" s="21"/>
      <c r="R69" s="21"/>
      <c r="S69" s="21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7"/>
      <c r="AK69" s="54"/>
      <c r="AL69" s="65">
        <f t="shared" si="4"/>
        <v>0</v>
      </c>
      <c r="AM69" s="22" t="str">
        <f t="shared" si="2"/>
        <v>OK</v>
      </c>
    </row>
    <row r="70" spans="1:39" customFormat="1" ht="17.25" thickBot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136">
        <f>90+1350</f>
        <v>1440</v>
      </c>
      <c r="I70" s="27">
        <f t="shared" si="3"/>
        <v>6</v>
      </c>
      <c r="J70" s="27"/>
      <c r="K70" s="16"/>
      <c r="L70" s="27"/>
      <c r="M70" s="27"/>
      <c r="N70" s="27"/>
      <c r="O70" s="27"/>
      <c r="P70" s="27"/>
      <c r="Q70" s="27"/>
      <c r="R70" s="27"/>
      <c r="S70" s="27"/>
      <c r="T70" s="43"/>
      <c r="U70" s="52"/>
      <c r="V70" s="52"/>
      <c r="W70" s="52"/>
      <c r="X70" s="52"/>
      <c r="Y70" s="52"/>
      <c r="Z70" s="52"/>
      <c r="AA70" s="52"/>
      <c r="AB70" s="52"/>
      <c r="AC70" s="52">
        <v>6</v>
      </c>
      <c r="AD70" s="52"/>
      <c r="AE70" s="52"/>
      <c r="AF70" s="52"/>
      <c r="AG70" s="52"/>
      <c r="AH70" s="52"/>
      <c r="AI70" s="55"/>
      <c r="AJ70" s="58"/>
      <c r="AK70" s="55"/>
      <c r="AL70" s="66">
        <f t="shared" si="4"/>
        <v>6</v>
      </c>
      <c r="AM70" s="28" t="str">
        <f t="shared" si="2"/>
        <v>OK</v>
      </c>
    </row>
    <row r="71" spans="1:39" customFormat="1" ht="17.25" hidden="1" thickBot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135"/>
      <c r="I71" s="21">
        <f t="shared" ref="I71:I96" si="7">SUM(L71:AK71)</f>
        <v>0</v>
      </c>
      <c r="J71" s="21"/>
      <c r="K71" s="16"/>
      <c r="L71" s="21"/>
      <c r="M71" s="21"/>
      <c r="N71" s="21"/>
      <c r="O71" s="21"/>
      <c r="P71" s="21"/>
      <c r="Q71" s="21"/>
      <c r="R71" s="21"/>
      <c r="S71" s="21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4"/>
      <c r="AJ71" s="57"/>
      <c r="AK71" s="54"/>
      <c r="AL71" s="65">
        <f t="shared" si="4"/>
        <v>0</v>
      </c>
      <c r="AM71" s="22" t="str">
        <f t="shared" si="2"/>
        <v>OK</v>
      </c>
    </row>
    <row r="72" spans="1:39" customFormat="1" ht="17.25" hidden="1" thickBot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136"/>
      <c r="I72" s="27">
        <f t="shared" si="7"/>
        <v>0</v>
      </c>
      <c r="J72" s="27"/>
      <c r="K72" s="16"/>
      <c r="L72" s="27"/>
      <c r="M72" s="27"/>
      <c r="N72" s="27"/>
      <c r="O72" s="27"/>
      <c r="P72" s="27"/>
      <c r="Q72" s="27"/>
      <c r="R72" s="27"/>
      <c r="S72" s="27"/>
      <c r="T72" s="43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5"/>
      <c r="AJ72" s="58"/>
      <c r="AK72" s="55"/>
      <c r="AL72" s="66">
        <f t="shared" si="4"/>
        <v>0</v>
      </c>
      <c r="AM72" s="28" t="str">
        <f t="shared" si="2"/>
        <v>OK</v>
      </c>
    </row>
    <row r="73" spans="1:39" customFormat="1" ht="17.25" hidden="1" thickBot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138"/>
      <c r="I73" s="101">
        <f t="shared" si="7"/>
        <v>0</v>
      </c>
      <c r="J73" s="21"/>
      <c r="K73" s="16"/>
      <c r="L73" s="21"/>
      <c r="M73" s="21"/>
      <c r="N73" s="21"/>
      <c r="O73" s="21"/>
      <c r="P73" s="21"/>
      <c r="Q73" s="21"/>
      <c r="R73" s="21"/>
      <c r="S73" s="21"/>
      <c r="T73" s="42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4"/>
      <c r="AJ73" s="57"/>
      <c r="AK73" s="54"/>
      <c r="AL73" s="65">
        <f t="shared" si="4"/>
        <v>0</v>
      </c>
      <c r="AM73" s="22" t="str">
        <f t="shared" si="2"/>
        <v>OK</v>
      </c>
    </row>
    <row r="74" spans="1:39" customFormat="1" ht="17.25" hidden="1" thickBot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139"/>
      <c r="I74" s="103">
        <f t="shared" si="7"/>
        <v>0</v>
      </c>
      <c r="J74" s="27"/>
      <c r="K74" s="16"/>
      <c r="L74" s="100"/>
      <c r="M74" s="100"/>
      <c r="N74" s="100"/>
      <c r="O74" s="100"/>
      <c r="P74" s="100"/>
      <c r="Q74" s="100"/>
      <c r="R74" s="100"/>
      <c r="S74" s="100"/>
      <c r="T74" s="109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55"/>
      <c r="AJ74" s="112"/>
      <c r="AK74" s="111"/>
      <c r="AL74" s="66">
        <f t="shared" si="4"/>
        <v>0</v>
      </c>
      <c r="AM74" s="28" t="str">
        <f t="shared" si="2"/>
        <v>OK</v>
      </c>
    </row>
    <row r="75" spans="1:39" ht="17.25" hidden="1" thickBot="1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40"/>
      <c r="I75" s="105">
        <f t="shared" si="7"/>
        <v>0</v>
      </c>
      <c r="J75" s="90"/>
      <c r="K75" s="91"/>
      <c r="L75" s="113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5"/>
      <c r="AL75" s="92">
        <f t="shared" ref="AL75:AL80" si="8">SUM(L75:AK75)</f>
        <v>0</v>
      </c>
      <c r="AM75" s="122" t="str">
        <f t="shared" ref="AM75:AM96" si="9">IF(AL75=I75,"OK","NG")</f>
        <v>OK</v>
      </c>
    </row>
    <row r="76" spans="1:39" ht="17.25" hidden="1" thickBot="1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139">
        <f>1540+1120</f>
        <v>2660</v>
      </c>
      <c r="I76" s="106">
        <f t="shared" si="7"/>
        <v>0</v>
      </c>
      <c r="J76" s="85"/>
      <c r="K76" s="16"/>
      <c r="L76" s="1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8"/>
      <c r="AL76" s="66">
        <f t="shared" si="8"/>
        <v>0</v>
      </c>
      <c r="AM76" s="28" t="str">
        <f t="shared" si="9"/>
        <v>OK</v>
      </c>
    </row>
    <row r="77" spans="1:39" ht="17.25" hidden="1" thickBot="1">
      <c r="A77" s="87" t="s">
        <v>165</v>
      </c>
      <c r="B77" s="93">
        <v>13007</v>
      </c>
      <c r="C77" s="94" t="s">
        <v>164</v>
      </c>
      <c r="D77" s="88"/>
      <c r="E77" s="88"/>
      <c r="F77" s="88"/>
      <c r="G77" s="89"/>
      <c r="H77" s="104"/>
      <c r="I77" s="105">
        <f t="shared" si="7"/>
        <v>0</v>
      </c>
      <c r="J77" s="90"/>
      <c r="K77" s="91"/>
      <c r="L77" s="113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5"/>
      <c r="AL77" s="92">
        <f t="shared" si="8"/>
        <v>0</v>
      </c>
      <c r="AM77" s="122" t="str">
        <f t="shared" si="9"/>
        <v>OK</v>
      </c>
    </row>
    <row r="78" spans="1:39" ht="17.25" hidden="1" thickBot="1">
      <c r="A78" s="68"/>
      <c r="B78" s="78"/>
      <c r="C78" s="95"/>
      <c r="D78" s="83"/>
      <c r="E78" s="83"/>
      <c r="F78" s="83"/>
      <c r="G78" s="84"/>
      <c r="H78" s="102"/>
      <c r="I78" s="106">
        <f t="shared" si="7"/>
        <v>0</v>
      </c>
      <c r="J78" s="85"/>
      <c r="K78" s="16"/>
      <c r="L78" s="1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66">
        <f t="shared" si="8"/>
        <v>0</v>
      </c>
      <c r="AM78" s="28" t="str">
        <f t="shared" si="9"/>
        <v>OK</v>
      </c>
    </row>
    <row r="79" spans="1:39" ht="17.25" hidden="1" thickBot="1">
      <c r="A79" s="87"/>
      <c r="B79" s="93"/>
      <c r="C79" s="94"/>
      <c r="D79" s="88"/>
      <c r="E79" s="88"/>
      <c r="F79" s="88"/>
      <c r="G79" s="89"/>
      <c r="H79" s="104"/>
      <c r="I79" s="105">
        <f t="shared" si="7"/>
        <v>0</v>
      </c>
      <c r="J79" s="90"/>
      <c r="K79" s="91"/>
      <c r="L79" s="113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5"/>
      <c r="AL79" s="92">
        <f t="shared" si="8"/>
        <v>0</v>
      </c>
      <c r="AM79" s="122" t="str">
        <f t="shared" si="9"/>
        <v>OK</v>
      </c>
    </row>
    <row r="80" spans="1:39" ht="17.25" hidden="1" thickBot="1">
      <c r="A80" s="68"/>
      <c r="B80" s="78"/>
      <c r="C80" s="95"/>
      <c r="D80" s="83"/>
      <c r="E80" s="83"/>
      <c r="F80" s="83"/>
      <c r="G80" s="84"/>
      <c r="H80" s="102"/>
      <c r="I80" s="106">
        <f t="shared" si="7"/>
        <v>0</v>
      </c>
      <c r="J80" s="85"/>
      <c r="K80" s="16"/>
      <c r="L80" s="116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66">
        <f t="shared" si="8"/>
        <v>0</v>
      </c>
      <c r="AM80" s="28" t="str">
        <f t="shared" si="9"/>
        <v>OK</v>
      </c>
    </row>
    <row r="81" spans="1:39" ht="17.25" hidden="1" thickBot="1">
      <c r="A81" s="87"/>
      <c r="B81" s="93"/>
      <c r="C81" s="94"/>
      <c r="D81" s="88"/>
      <c r="E81" s="88"/>
      <c r="F81" s="88"/>
      <c r="G81" s="89"/>
      <c r="H81" s="104"/>
      <c r="I81" s="105">
        <f t="shared" si="7"/>
        <v>0</v>
      </c>
      <c r="J81" s="90"/>
      <c r="K81" s="91"/>
      <c r="L81" s="113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5"/>
      <c r="AL81" s="92">
        <f t="shared" ref="AL81:AL96" si="10">SUM(L81:AK81)</f>
        <v>0</v>
      </c>
      <c r="AM81" s="122" t="str">
        <f t="shared" si="9"/>
        <v>OK</v>
      </c>
    </row>
    <row r="82" spans="1:39" ht="17.25" hidden="1" thickBot="1">
      <c r="A82" s="68"/>
      <c r="B82" s="78"/>
      <c r="C82" s="95"/>
      <c r="D82" s="83"/>
      <c r="E82" s="83"/>
      <c r="F82" s="83"/>
      <c r="G82" s="84"/>
      <c r="H82" s="102"/>
      <c r="I82" s="106">
        <f t="shared" si="7"/>
        <v>0</v>
      </c>
      <c r="J82" s="85"/>
      <c r="K82" s="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66">
        <f t="shared" si="10"/>
        <v>0</v>
      </c>
      <c r="AM82" s="28" t="str">
        <f t="shared" si="9"/>
        <v>OK</v>
      </c>
    </row>
    <row r="83" spans="1:39" ht="17.25" hidden="1" thickBot="1">
      <c r="A83" s="96"/>
      <c r="B83" s="93"/>
      <c r="C83" s="94"/>
      <c r="D83" s="88"/>
      <c r="E83" s="88"/>
      <c r="F83" s="88"/>
      <c r="G83" s="89"/>
      <c r="H83" s="104"/>
      <c r="I83" s="105">
        <f t="shared" si="7"/>
        <v>0</v>
      </c>
      <c r="J83" s="90"/>
      <c r="K83" s="91"/>
      <c r="L83" s="113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5"/>
      <c r="AL83" s="92">
        <f t="shared" si="10"/>
        <v>0</v>
      </c>
      <c r="AM83" s="122" t="str">
        <f t="shared" si="9"/>
        <v>OK</v>
      </c>
    </row>
    <row r="84" spans="1:39" ht="17.25" hidden="1" thickBot="1">
      <c r="A84" s="68"/>
      <c r="B84" s="78"/>
      <c r="C84" s="95"/>
      <c r="D84" s="83"/>
      <c r="E84" s="83"/>
      <c r="F84" s="83"/>
      <c r="G84" s="84"/>
      <c r="H84" s="102"/>
      <c r="I84" s="106">
        <f t="shared" si="7"/>
        <v>0</v>
      </c>
      <c r="J84" s="85"/>
      <c r="K84" s="16"/>
      <c r="L84" s="116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66">
        <f t="shared" si="10"/>
        <v>0</v>
      </c>
      <c r="AM84" s="28" t="str">
        <f t="shared" si="9"/>
        <v>OK</v>
      </c>
    </row>
    <row r="85" spans="1:39" ht="17.25" hidden="1" thickBot="1">
      <c r="A85" s="87"/>
      <c r="B85" s="93"/>
      <c r="C85" s="94"/>
      <c r="D85" s="88"/>
      <c r="E85" s="88"/>
      <c r="F85" s="88"/>
      <c r="G85" s="89"/>
      <c r="H85" s="104"/>
      <c r="I85" s="105">
        <f t="shared" si="7"/>
        <v>0</v>
      </c>
      <c r="J85" s="90"/>
      <c r="K85" s="91"/>
      <c r="L85" s="113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5"/>
      <c r="AL85" s="92">
        <f t="shared" si="10"/>
        <v>0</v>
      </c>
      <c r="AM85" s="122" t="str">
        <f t="shared" si="9"/>
        <v>OK</v>
      </c>
    </row>
    <row r="86" spans="1:39" ht="17.25" hidden="1" thickBot="1">
      <c r="A86" s="68"/>
      <c r="B86" s="78"/>
      <c r="C86" s="95"/>
      <c r="D86" s="83"/>
      <c r="E86" s="83"/>
      <c r="F86" s="83"/>
      <c r="G86" s="84"/>
      <c r="H86" s="102"/>
      <c r="I86" s="106">
        <f t="shared" si="7"/>
        <v>0</v>
      </c>
      <c r="J86" s="85"/>
      <c r="K86" s="16"/>
      <c r="L86" s="116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66">
        <f t="shared" si="10"/>
        <v>0</v>
      </c>
      <c r="AM86" s="28" t="str">
        <f t="shared" si="9"/>
        <v>OK</v>
      </c>
    </row>
    <row r="87" spans="1:39" ht="17.25" hidden="1" thickBot="1">
      <c r="A87" s="87"/>
      <c r="B87" s="93"/>
      <c r="C87" s="94"/>
      <c r="D87" s="88"/>
      <c r="E87" s="88"/>
      <c r="F87" s="88"/>
      <c r="G87" s="89"/>
      <c r="H87" s="104"/>
      <c r="I87" s="105">
        <f t="shared" si="7"/>
        <v>0</v>
      </c>
      <c r="J87" s="90"/>
      <c r="K87" s="91"/>
      <c r="L87" s="113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5"/>
      <c r="AL87" s="92">
        <f t="shared" si="10"/>
        <v>0</v>
      </c>
      <c r="AM87" s="122" t="str">
        <f t="shared" si="9"/>
        <v>OK</v>
      </c>
    </row>
    <row r="88" spans="1:39" ht="17.25" hidden="1" thickBot="1">
      <c r="A88" s="68"/>
      <c r="B88" s="78"/>
      <c r="C88" s="95"/>
      <c r="D88" s="83"/>
      <c r="E88" s="83"/>
      <c r="F88" s="83"/>
      <c r="G88" s="84"/>
      <c r="H88" s="102"/>
      <c r="I88" s="106">
        <f t="shared" si="7"/>
        <v>0</v>
      </c>
      <c r="J88" s="85"/>
      <c r="K88" s="16"/>
      <c r="L88" s="116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66">
        <f t="shared" si="10"/>
        <v>0</v>
      </c>
      <c r="AM88" s="28" t="str">
        <f t="shared" si="9"/>
        <v>OK</v>
      </c>
    </row>
    <row r="89" spans="1:39" ht="17.25" hidden="1" thickBot="1">
      <c r="A89" s="87"/>
      <c r="B89" s="93"/>
      <c r="C89" s="94"/>
      <c r="D89" s="88"/>
      <c r="E89" s="88"/>
      <c r="F89" s="88"/>
      <c r="G89" s="89"/>
      <c r="H89" s="104"/>
      <c r="I89" s="105">
        <f t="shared" si="7"/>
        <v>0</v>
      </c>
      <c r="J89" s="90"/>
      <c r="K89" s="91"/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5"/>
      <c r="AL89" s="92">
        <f t="shared" si="10"/>
        <v>0</v>
      </c>
      <c r="AM89" s="122" t="str">
        <f t="shared" si="9"/>
        <v>OK</v>
      </c>
    </row>
    <row r="90" spans="1:39" ht="17.25" hidden="1" thickBot="1">
      <c r="A90" s="68"/>
      <c r="B90" s="78"/>
      <c r="C90" s="95"/>
      <c r="D90" s="83"/>
      <c r="E90" s="83"/>
      <c r="F90" s="83"/>
      <c r="G90" s="84"/>
      <c r="H90" s="102"/>
      <c r="I90" s="106">
        <f t="shared" si="7"/>
        <v>0</v>
      </c>
      <c r="J90" s="85"/>
      <c r="K90" s="16"/>
      <c r="L90" s="116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66">
        <f t="shared" si="10"/>
        <v>0</v>
      </c>
      <c r="AM90" s="28" t="str">
        <f t="shared" si="9"/>
        <v>OK</v>
      </c>
    </row>
    <row r="91" spans="1:39" ht="17.25" hidden="1" thickBot="1">
      <c r="A91" s="87"/>
      <c r="B91" s="93"/>
      <c r="C91" s="94"/>
      <c r="D91" s="88"/>
      <c r="E91" s="88"/>
      <c r="F91" s="88"/>
      <c r="G91" s="89"/>
      <c r="H91" s="104"/>
      <c r="I91" s="105">
        <f t="shared" si="7"/>
        <v>0</v>
      </c>
      <c r="J91" s="90"/>
      <c r="K91" s="91"/>
      <c r="L91" s="113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5"/>
      <c r="AL91" s="92">
        <f t="shared" si="10"/>
        <v>0</v>
      </c>
      <c r="AM91" s="122" t="str">
        <f t="shared" si="9"/>
        <v>OK</v>
      </c>
    </row>
    <row r="92" spans="1:39" ht="17.25" hidden="1" thickBot="1">
      <c r="A92" s="68"/>
      <c r="B92" s="78"/>
      <c r="C92" s="95"/>
      <c r="D92" s="83"/>
      <c r="E92" s="83"/>
      <c r="F92" s="83"/>
      <c r="G92" s="84"/>
      <c r="H92" s="102"/>
      <c r="I92" s="106">
        <f t="shared" si="7"/>
        <v>0</v>
      </c>
      <c r="J92" s="85"/>
      <c r="K92" s="16"/>
      <c r="L92" s="116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66">
        <f t="shared" si="10"/>
        <v>0</v>
      </c>
      <c r="AM92" s="28" t="str">
        <f t="shared" si="9"/>
        <v>OK</v>
      </c>
    </row>
    <row r="93" spans="1:39" ht="17.25" hidden="1" thickBot="1">
      <c r="A93" s="87"/>
      <c r="B93" s="93"/>
      <c r="C93" s="94"/>
      <c r="D93" s="88"/>
      <c r="E93" s="88"/>
      <c r="F93" s="88"/>
      <c r="G93" s="89"/>
      <c r="H93" s="104"/>
      <c r="I93" s="105">
        <f t="shared" si="7"/>
        <v>0</v>
      </c>
      <c r="J93" s="90"/>
      <c r="K93" s="91"/>
      <c r="L93" s="113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5"/>
      <c r="AL93" s="92">
        <f t="shared" si="10"/>
        <v>0</v>
      </c>
      <c r="AM93" s="122" t="str">
        <f t="shared" si="9"/>
        <v>OK</v>
      </c>
    </row>
    <row r="94" spans="1:39" ht="17.25" hidden="1" thickBot="1">
      <c r="A94" s="68"/>
      <c r="B94" s="78"/>
      <c r="C94" s="95"/>
      <c r="D94" s="83"/>
      <c r="E94" s="83"/>
      <c r="F94" s="83"/>
      <c r="G94" s="84"/>
      <c r="H94" s="102"/>
      <c r="I94" s="106">
        <f t="shared" si="7"/>
        <v>0</v>
      </c>
      <c r="J94" s="85"/>
      <c r="K94" s="16"/>
      <c r="L94" s="116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66">
        <f t="shared" si="10"/>
        <v>0</v>
      </c>
      <c r="AM94" s="28" t="str">
        <f t="shared" si="9"/>
        <v>OK</v>
      </c>
    </row>
    <row r="95" spans="1:39" ht="17.25" hidden="1" thickBot="1">
      <c r="A95" s="87"/>
      <c r="B95" s="93"/>
      <c r="C95" s="94"/>
      <c r="D95" s="88"/>
      <c r="E95" s="88"/>
      <c r="F95" s="88"/>
      <c r="G95" s="89"/>
      <c r="H95" s="104"/>
      <c r="I95" s="105">
        <f t="shared" si="7"/>
        <v>0</v>
      </c>
      <c r="J95" s="90"/>
      <c r="K95" s="91"/>
      <c r="L95" s="113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5"/>
      <c r="AL95" s="92">
        <f t="shared" si="10"/>
        <v>0</v>
      </c>
      <c r="AM95" s="122" t="str">
        <f t="shared" si="9"/>
        <v>OK</v>
      </c>
    </row>
    <row r="96" spans="1:39" ht="17.25" hidden="1" thickBot="1">
      <c r="A96" s="97"/>
      <c r="B96" s="98"/>
      <c r="C96" s="99"/>
      <c r="D96" s="83"/>
      <c r="E96" s="83"/>
      <c r="F96" s="83"/>
      <c r="G96" s="84"/>
      <c r="H96" s="107"/>
      <c r="I96" s="108">
        <f t="shared" si="7"/>
        <v>0</v>
      </c>
      <c r="J96" s="85"/>
      <c r="K96" s="16"/>
      <c r="L96" s="119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1"/>
      <c r="AL96" s="66">
        <f t="shared" si="10"/>
        <v>0</v>
      </c>
      <c r="AM96" s="28" t="str">
        <f t="shared" si="9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24066</v>
      </c>
      <c r="I97" s="46">
        <f>SUM(I6:I96)</f>
        <v>8</v>
      </c>
      <c r="J97" s="47">
        <f>SUM(J6:J74)</f>
        <v>0</v>
      </c>
      <c r="K97" s="9"/>
      <c r="L97" s="45">
        <f>SUM(L6:L96)</f>
        <v>1</v>
      </c>
      <c r="M97" s="45">
        <f t="shared" ref="M97:AI97" si="11">SUM(M6:M96)</f>
        <v>0</v>
      </c>
      <c r="N97" s="45">
        <f t="shared" si="11"/>
        <v>0</v>
      </c>
      <c r="O97" s="45">
        <f t="shared" si="11"/>
        <v>0</v>
      </c>
      <c r="P97" s="45">
        <f t="shared" si="11"/>
        <v>0</v>
      </c>
      <c r="Q97" s="45">
        <f t="shared" si="11"/>
        <v>0</v>
      </c>
      <c r="R97" s="45">
        <f t="shared" si="11"/>
        <v>0</v>
      </c>
      <c r="S97" s="45">
        <f t="shared" si="11"/>
        <v>0</v>
      </c>
      <c r="T97" s="45">
        <f t="shared" si="11"/>
        <v>0</v>
      </c>
      <c r="U97" s="45">
        <f t="shared" si="11"/>
        <v>0</v>
      </c>
      <c r="V97" s="45">
        <f t="shared" si="11"/>
        <v>0</v>
      </c>
      <c r="W97" s="45">
        <f t="shared" si="11"/>
        <v>0</v>
      </c>
      <c r="X97" s="45">
        <f t="shared" si="11"/>
        <v>0</v>
      </c>
      <c r="Y97" s="45">
        <f t="shared" si="11"/>
        <v>0</v>
      </c>
      <c r="Z97" s="45">
        <f t="shared" si="11"/>
        <v>0</v>
      </c>
      <c r="AA97" s="45">
        <f t="shared" si="11"/>
        <v>0</v>
      </c>
      <c r="AB97" s="45">
        <f t="shared" si="11"/>
        <v>0</v>
      </c>
      <c r="AC97" s="45">
        <f t="shared" si="11"/>
        <v>6</v>
      </c>
      <c r="AD97" s="45">
        <f t="shared" si="11"/>
        <v>0</v>
      </c>
      <c r="AE97" s="45">
        <f t="shared" si="11"/>
        <v>0</v>
      </c>
      <c r="AF97" s="45">
        <f t="shared" si="11"/>
        <v>0</v>
      </c>
      <c r="AG97" s="45">
        <f t="shared" si="11"/>
        <v>0</v>
      </c>
      <c r="AH97" s="45">
        <f t="shared" si="11"/>
        <v>0</v>
      </c>
      <c r="AI97" s="45">
        <f t="shared" si="11"/>
        <v>1</v>
      </c>
      <c r="AJ97" s="49">
        <f>SUM(AJ6:AJ96)</f>
        <v>0</v>
      </c>
      <c r="AK97" s="61">
        <f>SUM(AK6:AK96)</f>
        <v>0</v>
      </c>
      <c r="AL97" s="67">
        <f>SUM(AL6:AL96)</f>
        <v>8</v>
      </c>
      <c r="AM97" s="48" t="str">
        <f>IF(AL97=SUM(I97),"OK","NG")</f>
        <v>OK</v>
      </c>
    </row>
    <row r="101" spans="1:39">
      <c r="L101" s="86"/>
    </row>
    <row r="102" spans="1:39">
      <c r="L102" s="86"/>
    </row>
    <row r="103" spans="1:39">
      <c r="L103" s="86"/>
    </row>
    <row r="104" spans="1:39">
      <c r="L104" s="86"/>
    </row>
    <row r="105" spans="1:39">
      <c r="L105" s="86"/>
    </row>
    <row r="106" spans="1:39">
      <c r="L106" s="86"/>
    </row>
    <row r="107" spans="1:39">
      <c r="L107" s="86"/>
    </row>
    <row r="108" spans="1:39">
      <c r="L108" s="86"/>
    </row>
    <row r="109" spans="1:39">
      <c r="L109" s="86"/>
    </row>
    <row r="110" spans="1:39">
      <c r="L110" s="86"/>
    </row>
    <row r="111" spans="1:39">
      <c r="L111" s="86"/>
    </row>
    <row r="112" spans="1:39">
      <c r="L112" s="86"/>
    </row>
  </sheetData>
  <autoFilter ref="A5:AM97" xr:uid="{00000000-0001-0000-0200-000000000000}">
    <filterColumn colId="8">
      <filters>
        <filter val="1"/>
        <filter val="6"/>
        <filter val="8"/>
      </filters>
    </filterColumn>
  </autoFilter>
  <mergeCells count="37">
    <mergeCell ref="AM4:AM5"/>
    <mergeCell ref="AG4:AG5"/>
    <mergeCell ref="AH4:AH5"/>
    <mergeCell ref="AI4:AI5"/>
    <mergeCell ref="AJ4:AJ5"/>
    <mergeCell ref="AK4:AK5"/>
    <mergeCell ref="AL4:AL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B1:C1"/>
    <mergeCell ref="F1:G1"/>
    <mergeCell ref="H1:J3"/>
    <mergeCell ref="B2:C2"/>
    <mergeCell ref="AM2:AM3"/>
    <mergeCell ref="B3:C3"/>
  </mergeCells>
  <phoneticPr fontId="3" type="noConversion"/>
  <conditionalFormatting sqref="A4 AM6:AM97">
    <cfRule type="containsText" dxfId="73" priority="7" operator="containsText" text="NG">
      <formula>NOT(ISERROR(SEARCH("NG",A4)))</formula>
    </cfRule>
    <cfRule type="containsText" dxfId="72" priority="8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51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 filterMode="1">
    <pageSetUpPr fitToPage="1"/>
  </sheetPr>
  <dimension ref="A1:AM105"/>
  <sheetViews>
    <sheetView showGridLines="0" zoomScale="85" zoomScaleNormal="85" workbookViewId="0">
      <pane ySplit="5" topLeftCell="A40" activePane="bottomLeft" state="frozen"/>
      <selection activeCell="P19" sqref="P19"/>
      <selection pane="bottomLeft" activeCell="C113" sqref="C113"/>
    </sheetView>
  </sheetViews>
  <sheetFormatPr defaultColWidth="9" defaultRowHeight="16.5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16" width="8.75"/>
    <col min="17" max="20" width="9" customWidth="1"/>
    <col min="21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5" customHeight="1" thickBot="1">
      <c r="A1" s="37" t="s">
        <v>13</v>
      </c>
      <c r="B1" s="168">
        <f>H97</f>
        <v>8127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5" customHeight="1" thickBot="1">
      <c r="A2" s="37" t="s">
        <v>14</v>
      </c>
      <c r="B2" s="173">
        <f>I97</f>
        <v>5</v>
      </c>
      <c r="C2" s="174"/>
      <c r="D2" s="75"/>
      <c r="E2" s="71"/>
      <c r="F2" s="2"/>
      <c r="G2" s="2"/>
      <c r="H2" s="171"/>
      <c r="I2" s="171"/>
      <c r="J2" s="171"/>
      <c r="K2" s="3"/>
      <c r="L2" s="4">
        <f t="shared" ref="L2:AK2" si="0">SUBTOTAL(9,L6:L96)</f>
        <v>5</v>
      </c>
      <c r="M2" s="4">
        <f t="shared" si="0"/>
        <v>0</v>
      </c>
      <c r="N2" s="4">
        <f t="shared" si="0"/>
        <v>0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4">
        <f t="shared" si="0"/>
        <v>0</v>
      </c>
      <c r="U2" s="4">
        <f t="shared" si="0"/>
        <v>0</v>
      </c>
      <c r="V2" s="4">
        <f t="shared" si="0"/>
        <v>0</v>
      </c>
      <c r="W2" s="4">
        <f t="shared" si="0"/>
        <v>0</v>
      </c>
      <c r="X2" s="4">
        <f t="shared" si="0"/>
        <v>0</v>
      </c>
      <c r="Y2" s="4">
        <f t="shared" si="0"/>
        <v>0</v>
      </c>
      <c r="Z2" s="4">
        <f t="shared" si="0"/>
        <v>0</v>
      </c>
      <c r="AA2" s="4">
        <f t="shared" si="0"/>
        <v>0</v>
      </c>
      <c r="AB2" s="4">
        <f t="shared" si="0"/>
        <v>0</v>
      </c>
      <c r="AC2" s="4">
        <f t="shared" si="0"/>
        <v>0</v>
      </c>
      <c r="AD2" s="4">
        <f t="shared" si="0"/>
        <v>0</v>
      </c>
      <c r="AE2" s="4">
        <f t="shared" si="0"/>
        <v>0</v>
      </c>
      <c r="AF2" s="4">
        <f t="shared" si="0"/>
        <v>0</v>
      </c>
      <c r="AG2" s="4">
        <f t="shared" si="0"/>
        <v>0</v>
      </c>
      <c r="AH2" s="5">
        <f t="shared" si="0"/>
        <v>0</v>
      </c>
      <c r="AI2" s="5">
        <f t="shared" si="0"/>
        <v>0</v>
      </c>
      <c r="AJ2" s="5">
        <f t="shared" si="0"/>
        <v>0</v>
      </c>
      <c r="AK2" s="59">
        <f t="shared" si="0"/>
        <v>0</v>
      </c>
      <c r="AL2" s="62">
        <f>SUBTOTAL(9,AL6:AL96)</f>
        <v>5</v>
      </c>
      <c r="AM2" s="175"/>
    </row>
    <row r="3" spans="1:39" customFormat="1" ht="22.5" customHeight="1" thickBot="1">
      <c r="A3" s="38" t="s">
        <v>15</v>
      </c>
      <c r="B3" s="177">
        <f>IF(ISERROR(B2/(B2+B1)*1000000),"",(B2/(B2+B1)*1000000))</f>
        <v>614.85489424495825</v>
      </c>
      <c r="C3" s="178"/>
      <c r="D3" s="73"/>
      <c r="E3" s="72"/>
      <c r="F3" s="32"/>
      <c r="G3" s="32"/>
      <c r="H3" s="172"/>
      <c r="I3" s="172"/>
      <c r="J3" s="172"/>
      <c r="K3" s="6"/>
      <c r="L3" s="7">
        <f t="shared" ref="L3:AK3" si="1">SUM(L6:L96)</f>
        <v>5</v>
      </c>
      <c r="M3" s="7">
        <f t="shared" si="1"/>
        <v>0</v>
      </c>
      <c r="N3" s="7">
        <f t="shared" si="1"/>
        <v>0</v>
      </c>
      <c r="O3" s="7">
        <f t="shared" si="1"/>
        <v>0</v>
      </c>
      <c r="P3" s="7">
        <f t="shared" si="1"/>
        <v>0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7">
        <f t="shared" si="1"/>
        <v>0</v>
      </c>
      <c r="U3" s="7">
        <f t="shared" si="1"/>
        <v>0</v>
      </c>
      <c r="V3" s="7">
        <f t="shared" si="1"/>
        <v>0</v>
      </c>
      <c r="W3" s="7">
        <f t="shared" si="1"/>
        <v>0</v>
      </c>
      <c r="X3" s="7">
        <f t="shared" si="1"/>
        <v>0</v>
      </c>
      <c r="Y3" s="7">
        <f t="shared" si="1"/>
        <v>0</v>
      </c>
      <c r="Z3" s="7">
        <f t="shared" si="1"/>
        <v>0</v>
      </c>
      <c r="AA3" s="7">
        <f t="shared" si="1"/>
        <v>0</v>
      </c>
      <c r="AB3" s="7">
        <f t="shared" si="1"/>
        <v>0</v>
      </c>
      <c r="AC3" s="7">
        <f t="shared" si="1"/>
        <v>0</v>
      </c>
      <c r="AD3" s="7">
        <f t="shared" si="1"/>
        <v>0</v>
      </c>
      <c r="AE3" s="7">
        <f t="shared" si="1"/>
        <v>0</v>
      </c>
      <c r="AF3" s="7">
        <f t="shared" si="1"/>
        <v>0</v>
      </c>
      <c r="AG3" s="7">
        <f t="shared" si="1"/>
        <v>0</v>
      </c>
      <c r="AH3" s="8">
        <f t="shared" si="1"/>
        <v>0</v>
      </c>
      <c r="AI3" s="8">
        <f t="shared" si="1"/>
        <v>0</v>
      </c>
      <c r="AJ3" s="8">
        <f t="shared" si="1"/>
        <v>0</v>
      </c>
      <c r="AK3" s="60">
        <f t="shared" si="1"/>
        <v>0</v>
      </c>
      <c r="AL3" s="63">
        <f>SUM(AL6:AL96)</f>
        <v>5</v>
      </c>
      <c r="AM3" s="176"/>
    </row>
    <row r="4" spans="1:39" customFormat="1" ht="43.5" customHeight="1">
      <c r="A4" s="163" t="str">
        <f>AM97</f>
        <v>OK</v>
      </c>
      <c r="B4" s="163"/>
      <c r="C4" s="163"/>
      <c r="D4" s="164"/>
      <c r="E4" s="165" t="s">
        <v>16</v>
      </c>
      <c r="F4" s="165"/>
      <c r="G4" s="165"/>
      <c r="H4" s="165" t="s">
        <v>17</v>
      </c>
      <c r="I4" s="165"/>
      <c r="J4" s="165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1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56" t="s">
        <v>12</v>
      </c>
      <c r="AL4" s="158" t="s">
        <v>36</v>
      </c>
      <c r="AM4" s="149" t="s">
        <v>37</v>
      </c>
    </row>
    <row r="5" spans="1:39" customFormat="1" ht="33.75" thickBot="1">
      <c r="A5" s="34" t="s">
        <v>3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137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6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3"/>
      <c r="AJ5" s="155"/>
      <c r="AK5" s="157"/>
      <c r="AL5" s="159"/>
      <c r="AM5" s="150"/>
    </row>
    <row r="6" spans="1:39" customFormat="1" hidden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34"/>
      <c r="I6" s="15">
        <f>SUM(L6:AK6)</f>
        <v>0</v>
      </c>
      <c r="J6" s="15"/>
      <c r="K6" s="16"/>
      <c r="L6" s="15"/>
      <c r="M6" s="15"/>
      <c r="N6" s="15"/>
      <c r="O6" s="15"/>
      <c r="P6" s="15"/>
      <c r="Q6" s="15"/>
      <c r="R6" s="15"/>
      <c r="S6" s="15"/>
      <c r="T6" s="41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3"/>
      <c r="AJ6" s="56"/>
      <c r="AK6" s="53"/>
      <c r="AL6" s="64">
        <f>SUM(L6:AK6)</f>
        <v>0</v>
      </c>
      <c r="AM6" s="31" t="str">
        <f t="shared" ref="AM6:AM74" si="2">IF(AL6=I6,"OK","NG")</f>
        <v>OK</v>
      </c>
    </row>
    <row r="7" spans="1:39" customFormat="1" hidden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135"/>
      <c r="I7" s="21">
        <f t="shared" ref="I7:I70" si="3">SUM(L7:AK7)</f>
        <v>0</v>
      </c>
      <c r="J7" s="21"/>
      <c r="K7" s="16"/>
      <c r="L7" s="21"/>
      <c r="M7" s="21"/>
      <c r="N7" s="21"/>
      <c r="O7" s="21"/>
      <c r="P7" s="21"/>
      <c r="Q7" s="21"/>
      <c r="R7" s="21"/>
      <c r="S7" s="21"/>
      <c r="T7" s="42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4"/>
      <c r="AJ7" s="57"/>
      <c r="AK7" s="54"/>
      <c r="AL7" s="65">
        <f t="shared" ref="AL7:AL74" si="4">SUM(L7:AK7)</f>
        <v>0</v>
      </c>
      <c r="AM7" s="22" t="str">
        <f t="shared" si="2"/>
        <v>OK</v>
      </c>
    </row>
    <row r="8" spans="1:39" customFormat="1" hidden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36"/>
      <c r="I8" s="27">
        <f t="shared" si="3"/>
        <v>0</v>
      </c>
      <c r="J8" s="27"/>
      <c r="K8" s="16"/>
      <c r="L8" s="27"/>
      <c r="M8" s="27"/>
      <c r="N8" s="27"/>
      <c r="O8" s="27"/>
      <c r="P8" s="27"/>
      <c r="Q8" s="27"/>
      <c r="R8" s="27"/>
      <c r="S8" s="27"/>
      <c r="T8" s="4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5"/>
      <c r="AJ8" s="58"/>
      <c r="AK8" s="55"/>
      <c r="AL8" s="66">
        <f t="shared" si="4"/>
        <v>0</v>
      </c>
      <c r="AM8" s="28" t="str">
        <f t="shared" si="2"/>
        <v>OK</v>
      </c>
    </row>
    <row r="9" spans="1:39" customFormat="1" hidden="1">
      <c r="A9" s="17" t="s">
        <v>68</v>
      </c>
      <c r="B9" s="77">
        <v>10897</v>
      </c>
      <c r="C9" s="17" t="s">
        <v>62</v>
      </c>
      <c r="D9" s="69"/>
      <c r="E9" s="18"/>
      <c r="F9" s="18"/>
      <c r="G9" s="19"/>
      <c r="H9" s="135"/>
      <c r="I9" s="21">
        <f t="shared" si="3"/>
        <v>0</v>
      </c>
      <c r="J9" s="21"/>
      <c r="K9" s="16"/>
      <c r="L9" s="21"/>
      <c r="M9" s="21"/>
      <c r="N9" s="21"/>
      <c r="O9" s="21"/>
      <c r="P9" s="21"/>
      <c r="Q9" s="21"/>
      <c r="R9" s="21"/>
      <c r="S9" s="21"/>
      <c r="T9" s="42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4"/>
      <c r="AJ9" s="57"/>
      <c r="AK9" s="54"/>
      <c r="AL9" s="65">
        <f t="shared" si="4"/>
        <v>0</v>
      </c>
      <c r="AM9" s="22" t="str">
        <f t="shared" si="2"/>
        <v>OK</v>
      </c>
    </row>
    <row r="10" spans="1:39" customFormat="1" hidden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36"/>
      <c r="I10" s="27">
        <f t="shared" si="3"/>
        <v>0</v>
      </c>
      <c r="J10" s="27"/>
      <c r="K10" s="16"/>
      <c r="L10" s="27"/>
      <c r="M10" s="27"/>
      <c r="N10" s="27"/>
      <c r="O10" s="27"/>
      <c r="P10" s="27"/>
      <c r="Q10" s="27"/>
      <c r="R10" s="27"/>
      <c r="S10" s="27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5"/>
      <c r="AJ10" s="58"/>
      <c r="AK10" s="55"/>
      <c r="AL10" s="66">
        <f t="shared" si="4"/>
        <v>0</v>
      </c>
      <c r="AM10" s="28" t="str">
        <f t="shared" si="2"/>
        <v>OK</v>
      </c>
    </row>
    <row r="11" spans="1:39" customFormat="1" hidden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135"/>
      <c r="I11" s="21">
        <f t="shared" si="3"/>
        <v>0</v>
      </c>
      <c r="J11" s="21"/>
      <c r="K11" s="16"/>
      <c r="L11" s="21"/>
      <c r="M11" s="21"/>
      <c r="N11" s="21"/>
      <c r="O11" s="21"/>
      <c r="P11" s="21"/>
      <c r="Q11" s="21"/>
      <c r="R11" s="21"/>
      <c r="S11" s="21"/>
      <c r="T11" s="42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4"/>
      <c r="AJ11" s="57"/>
      <c r="AK11" s="54"/>
      <c r="AL11" s="65">
        <f t="shared" si="4"/>
        <v>0</v>
      </c>
      <c r="AM11" s="22" t="str">
        <f t="shared" si="2"/>
        <v>OK</v>
      </c>
    </row>
    <row r="12" spans="1:39" customFormat="1" hidden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36"/>
      <c r="I12" s="27">
        <f t="shared" si="3"/>
        <v>0</v>
      </c>
      <c r="J12" s="27"/>
      <c r="K12" s="16"/>
      <c r="L12" s="27"/>
      <c r="M12" s="27"/>
      <c r="N12" s="27"/>
      <c r="O12" s="27"/>
      <c r="P12" s="27"/>
      <c r="Q12" s="27"/>
      <c r="R12" s="27"/>
      <c r="S12" s="27"/>
      <c r="T12" s="43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8"/>
      <c r="AK12" s="55"/>
      <c r="AL12" s="66">
        <f t="shared" si="4"/>
        <v>0</v>
      </c>
      <c r="AM12" s="28" t="str">
        <f t="shared" si="2"/>
        <v>OK</v>
      </c>
    </row>
    <row r="13" spans="1:39" customFormat="1" hidden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135"/>
      <c r="I13" s="21">
        <f t="shared" si="3"/>
        <v>0</v>
      </c>
      <c r="J13" s="21"/>
      <c r="K13" s="16"/>
      <c r="L13" s="21"/>
      <c r="M13" s="21"/>
      <c r="N13" s="21"/>
      <c r="O13" s="21"/>
      <c r="P13" s="21"/>
      <c r="Q13" s="21"/>
      <c r="R13" s="21"/>
      <c r="S13" s="21"/>
      <c r="T13" s="4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4"/>
      <c r="AJ13" s="57"/>
      <c r="AK13" s="54"/>
      <c r="AL13" s="65">
        <f t="shared" si="4"/>
        <v>0</v>
      </c>
      <c r="AM13" s="22" t="str">
        <f t="shared" si="2"/>
        <v>OK</v>
      </c>
    </row>
    <row r="14" spans="1:39" customFormat="1" hidden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36"/>
      <c r="I14" s="27">
        <f t="shared" si="3"/>
        <v>0</v>
      </c>
      <c r="J14" s="27"/>
      <c r="K14" s="16"/>
      <c r="L14" s="27"/>
      <c r="M14" s="27"/>
      <c r="N14" s="27"/>
      <c r="O14" s="27"/>
      <c r="P14" s="27"/>
      <c r="Q14" s="27"/>
      <c r="R14" s="27"/>
      <c r="S14" s="27"/>
      <c r="T14" s="43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5"/>
      <c r="AJ14" s="58"/>
      <c r="AK14" s="55"/>
      <c r="AL14" s="66">
        <f t="shared" si="4"/>
        <v>0</v>
      </c>
      <c r="AM14" s="28" t="str">
        <f t="shared" si="2"/>
        <v>OK</v>
      </c>
    </row>
    <row r="15" spans="1:39" customFormat="1" hidden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135"/>
      <c r="I15" s="21">
        <f t="shared" si="3"/>
        <v>0</v>
      </c>
      <c r="J15" s="21"/>
      <c r="K15" s="16"/>
      <c r="L15" s="21"/>
      <c r="M15" s="21"/>
      <c r="N15" s="21"/>
      <c r="O15" s="21"/>
      <c r="P15" s="21"/>
      <c r="Q15" s="21"/>
      <c r="R15" s="21"/>
      <c r="S15" s="21"/>
      <c r="T15" s="42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4"/>
      <c r="AJ15" s="57"/>
      <c r="AK15" s="54"/>
      <c r="AL15" s="65">
        <f t="shared" si="4"/>
        <v>0</v>
      </c>
      <c r="AM15" s="22" t="str">
        <f t="shared" si="2"/>
        <v>OK</v>
      </c>
    </row>
    <row r="16" spans="1:39" customFormat="1" hidden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36"/>
      <c r="I16" s="27">
        <f t="shared" si="3"/>
        <v>0</v>
      </c>
      <c r="J16" s="27"/>
      <c r="K16" s="16"/>
      <c r="L16" s="27"/>
      <c r="M16" s="27"/>
      <c r="N16" s="27"/>
      <c r="O16" s="27"/>
      <c r="P16" s="27"/>
      <c r="Q16" s="27"/>
      <c r="R16" s="27"/>
      <c r="S16" s="27"/>
      <c r="T16" s="43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8"/>
      <c r="AK16" s="55"/>
      <c r="AL16" s="66">
        <f t="shared" si="4"/>
        <v>0</v>
      </c>
      <c r="AM16" s="28" t="str">
        <f t="shared" si="2"/>
        <v>OK</v>
      </c>
    </row>
    <row r="17" spans="1:39" customFormat="1" hidden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135"/>
      <c r="I17" s="21">
        <f t="shared" si="3"/>
        <v>0</v>
      </c>
      <c r="J17" s="21"/>
      <c r="K17" s="16"/>
      <c r="L17" s="21"/>
      <c r="M17" s="21"/>
      <c r="N17" s="21"/>
      <c r="O17" s="21"/>
      <c r="P17" s="21"/>
      <c r="Q17" s="21"/>
      <c r="R17" s="21"/>
      <c r="S17" s="21"/>
      <c r="T17" s="42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4"/>
      <c r="AJ17" s="57"/>
      <c r="AK17" s="54"/>
      <c r="AL17" s="65">
        <f t="shared" si="4"/>
        <v>0</v>
      </c>
      <c r="AM17" s="22" t="str">
        <f t="shared" si="2"/>
        <v>OK</v>
      </c>
    </row>
    <row r="18" spans="1:39" customFormat="1" hidden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36"/>
      <c r="I18" s="27">
        <f t="shared" si="3"/>
        <v>0</v>
      </c>
      <c r="J18" s="27"/>
      <c r="K18" s="16"/>
      <c r="L18" s="27"/>
      <c r="M18" s="27"/>
      <c r="N18" s="27"/>
      <c r="O18" s="27"/>
      <c r="P18" s="27"/>
      <c r="Q18" s="27"/>
      <c r="R18" s="27"/>
      <c r="S18" s="27"/>
      <c r="T18" s="43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8"/>
      <c r="AK18" s="55"/>
      <c r="AL18" s="66">
        <f t="shared" si="4"/>
        <v>0</v>
      </c>
      <c r="AM18" s="28" t="str">
        <f t="shared" si="2"/>
        <v>OK</v>
      </c>
    </row>
    <row r="19" spans="1:39" customFormat="1" hidden="1">
      <c r="A19" s="17" t="s">
        <v>91</v>
      </c>
      <c r="B19" s="77">
        <v>14988</v>
      </c>
      <c r="C19" s="17" t="s">
        <v>64</v>
      </c>
      <c r="D19" s="69"/>
      <c r="E19" s="18"/>
      <c r="F19" s="18"/>
      <c r="G19" s="19"/>
      <c r="H19" s="135"/>
      <c r="I19" s="21">
        <f t="shared" si="3"/>
        <v>0</v>
      </c>
      <c r="J19" s="21"/>
      <c r="K19" s="16"/>
      <c r="L19" s="21"/>
      <c r="M19" s="21"/>
      <c r="N19" s="21"/>
      <c r="O19" s="21"/>
      <c r="P19" s="21"/>
      <c r="Q19" s="21"/>
      <c r="R19" s="21"/>
      <c r="S19" s="21"/>
      <c r="T19" s="42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4"/>
      <c r="AJ19" s="57"/>
      <c r="AK19" s="54"/>
      <c r="AL19" s="65">
        <f t="shared" si="4"/>
        <v>0</v>
      </c>
      <c r="AM19" s="22" t="str">
        <f t="shared" si="2"/>
        <v>OK</v>
      </c>
    </row>
    <row r="20" spans="1:39" customFormat="1" hidden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136"/>
      <c r="I20" s="27">
        <f t="shared" si="3"/>
        <v>0</v>
      </c>
      <c r="J20" s="27"/>
      <c r="K20" s="16"/>
      <c r="L20" s="27"/>
      <c r="M20" s="27"/>
      <c r="N20" s="27"/>
      <c r="O20" s="27"/>
      <c r="P20" s="27"/>
      <c r="Q20" s="27"/>
      <c r="R20" s="27"/>
      <c r="S20" s="27"/>
      <c r="T20" s="43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8"/>
      <c r="AK20" s="55"/>
      <c r="AL20" s="66">
        <f t="shared" si="4"/>
        <v>0</v>
      </c>
      <c r="AM20" s="28" t="str">
        <f t="shared" si="2"/>
        <v>OK</v>
      </c>
    </row>
    <row r="21" spans="1:39" customFormat="1" hidden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135"/>
      <c r="I21" s="21">
        <f t="shared" si="3"/>
        <v>0</v>
      </c>
      <c r="J21" s="21"/>
      <c r="K21" s="16"/>
      <c r="L21" s="21"/>
      <c r="M21" s="21"/>
      <c r="N21" s="21"/>
      <c r="O21" s="21"/>
      <c r="P21" s="21"/>
      <c r="Q21" s="21"/>
      <c r="R21" s="21"/>
      <c r="S21" s="21"/>
      <c r="T21" s="4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4"/>
      <c r="AJ21" s="57"/>
      <c r="AK21" s="54"/>
      <c r="AL21" s="65">
        <f t="shared" si="4"/>
        <v>0</v>
      </c>
      <c r="AM21" s="22" t="str">
        <f t="shared" si="2"/>
        <v>OK</v>
      </c>
    </row>
    <row r="22" spans="1:39" customFormat="1" hidden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36"/>
      <c r="I22" s="27">
        <f t="shared" si="3"/>
        <v>0</v>
      </c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43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5"/>
      <c r="AJ22" s="58"/>
      <c r="AK22" s="55"/>
      <c r="AL22" s="66">
        <f t="shared" si="4"/>
        <v>0</v>
      </c>
      <c r="AM22" s="28" t="str">
        <f t="shared" si="2"/>
        <v>OK</v>
      </c>
    </row>
    <row r="23" spans="1:39" customFormat="1" hidden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135"/>
      <c r="I23" s="21">
        <f t="shared" si="3"/>
        <v>0</v>
      </c>
      <c r="J23" s="21"/>
      <c r="K23" s="16"/>
      <c r="L23" s="21"/>
      <c r="M23" s="21"/>
      <c r="N23" s="21"/>
      <c r="O23" s="21"/>
      <c r="P23" s="21"/>
      <c r="Q23" s="21"/>
      <c r="R23" s="21"/>
      <c r="S23" s="21"/>
      <c r="T23" s="42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7"/>
      <c r="AK23" s="54"/>
      <c r="AL23" s="65">
        <f>SUM(L23:AK23)</f>
        <v>0</v>
      </c>
      <c r="AM23" s="22" t="str">
        <f t="shared" si="2"/>
        <v>OK</v>
      </c>
    </row>
    <row r="24" spans="1:39" customFormat="1" hidden="1">
      <c r="A24" s="68" t="s">
        <v>44</v>
      </c>
      <c r="B24" s="78">
        <v>10163</v>
      </c>
      <c r="C24" s="23" t="s">
        <v>45</v>
      </c>
      <c r="D24" s="24"/>
      <c r="E24" s="24"/>
      <c r="F24" s="24"/>
      <c r="G24" s="25"/>
      <c r="H24" s="136"/>
      <c r="I24" s="27">
        <f t="shared" si="3"/>
        <v>0</v>
      </c>
      <c r="J24" s="27"/>
      <c r="K24" s="16"/>
      <c r="L24" s="27"/>
      <c r="M24" s="27"/>
      <c r="N24" s="27"/>
      <c r="O24" s="27"/>
      <c r="P24" s="27"/>
      <c r="Q24" s="27"/>
      <c r="R24" s="27"/>
      <c r="S24" s="27"/>
      <c r="T24" s="43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5"/>
      <c r="AJ24" s="58"/>
      <c r="AK24" s="55"/>
      <c r="AL24" s="66">
        <f t="shared" si="4"/>
        <v>0</v>
      </c>
      <c r="AM24" s="28" t="str">
        <f t="shared" si="2"/>
        <v>OK</v>
      </c>
    </row>
    <row r="25" spans="1:39" customFormat="1" hidden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135"/>
      <c r="I25" s="21">
        <f t="shared" si="3"/>
        <v>0</v>
      </c>
      <c r="J25" s="21"/>
      <c r="K25" s="16"/>
      <c r="L25" s="21"/>
      <c r="M25" s="21"/>
      <c r="N25" s="21"/>
      <c r="O25" s="21"/>
      <c r="P25" s="21"/>
      <c r="Q25" s="21"/>
      <c r="R25" s="21"/>
      <c r="S25" s="21"/>
      <c r="T25" s="42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4"/>
      <c r="AJ25" s="57"/>
      <c r="AK25" s="54"/>
      <c r="AL25" s="65">
        <f t="shared" si="4"/>
        <v>0</v>
      </c>
      <c r="AM25" s="22" t="str">
        <f t="shared" si="2"/>
        <v>OK</v>
      </c>
    </row>
    <row r="26" spans="1:39" customFormat="1" hidden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36"/>
      <c r="I26" s="27">
        <f t="shared" si="3"/>
        <v>0</v>
      </c>
      <c r="J26" s="27"/>
      <c r="K26" s="16"/>
      <c r="L26" s="27"/>
      <c r="M26" s="27"/>
      <c r="N26" s="27"/>
      <c r="O26" s="27"/>
      <c r="P26" s="27"/>
      <c r="Q26" s="27"/>
      <c r="R26" s="27"/>
      <c r="S26" s="27"/>
      <c r="T26" s="43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8"/>
      <c r="AK26" s="55"/>
      <c r="AL26" s="66">
        <f t="shared" si="4"/>
        <v>0</v>
      </c>
      <c r="AM26" s="28" t="str">
        <f t="shared" si="2"/>
        <v>OK</v>
      </c>
    </row>
    <row r="27" spans="1:39" customFormat="1" hidden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135"/>
      <c r="I27" s="21">
        <f t="shared" si="3"/>
        <v>0</v>
      </c>
      <c r="J27" s="21"/>
      <c r="K27" s="16"/>
      <c r="L27" s="21"/>
      <c r="M27" s="21"/>
      <c r="N27" s="21"/>
      <c r="O27" s="21"/>
      <c r="P27" s="21"/>
      <c r="Q27" s="21"/>
      <c r="R27" s="21"/>
      <c r="S27" s="21"/>
      <c r="T27" s="4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7"/>
      <c r="AK27" s="54"/>
      <c r="AL27" s="65">
        <f t="shared" si="4"/>
        <v>0</v>
      </c>
      <c r="AM27" s="22" t="str">
        <f t="shared" si="2"/>
        <v>OK</v>
      </c>
    </row>
    <row r="28" spans="1:39" customFormat="1" hidden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136"/>
      <c r="I28" s="27">
        <f t="shared" si="3"/>
        <v>0</v>
      </c>
      <c r="J28" s="27"/>
      <c r="K28" s="16"/>
      <c r="L28" s="27"/>
      <c r="M28" s="27"/>
      <c r="N28" s="27"/>
      <c r="O28" s="27"/>
      <c r="P28" s="145"/>
      <c r="Q28" s="27"/>
      <c r="R28" s="27"/>
      <c r="S28" s="27"/>
      <c r="T28" s="43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5"/>
      <c r="AJ28" s="58"/>
      <c r="AK28" s="55"/>
      <c r="AL28" s="66">
        <f t="shared" si="4"/>
        <v>0</v>
      </c>
      <c r="AM28" s="28" t="str">
        <f t="shared" si="2"/>
        <v>OK</v>
      </c>
    </row>
    <row r="29" spans="1:39" customFormat="1" hidden="1">
      <c r="A29" s="80" t="s">
        <v>71</v>
      </c>
      <c r="B29" s="77">
        <v>10151</v>
      </c>
      <c r="C29" s="17" t="s">
        <v>51</v>
      </c>
      <c r="D29" s="69"/>
      <c r="E29" s="18"/>
      <c r="F29" s="18"/>
      <c r="G29" s="19"/>
      <c r="H29" s="135"/>
      <c r="I29" s="21">
        <f t="shared" si="3"/>
        <v>0</v>
      </c>
      <c r="J29" s="21"/>
      <c r="K29" s="16"/>
      <c r="L29" s="21"/>
      <c r="M29" s="21"/>
      <c r="N29" s="21"/>
      <c r="O29" s="21"/>
      <c r="P29" s="21"/>
      <c r="Q29" s="21"/>
      <c r="R29" s="21"/>
      <c r="S29" s="21"/>
      <c r="T29" s="42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4"/>
      <c r="AJ29" s="57"/>
      <c r="AK29" s="54"/>
      <c r="AL29" s="65">
        <f t="shared" si="4"/>
        <v>0</v>
      </c>
      <c r="AM29" s="22" t="str">
        <f t="shared" si="2"/>
        <v>OK</v>
      </c>
    </row>
    <row r="30" spans="1:39" customFormat="1" hidden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137"/>
      <c r="I30" s="27">
        <f t="shared" si="3"/>
        <v>0</v>
      </c>
      <c r="J30" s="27"/>
      <c r="K30" s="16"/>
      <c r="L30" s="27"/>
      <c r="M30" s="27"/>
      <c r="N30" s="27"/>
      <c r="O30" s="27"/>
      <c r="P30" s="27"/>
      <c r="Q30" s="27"/>
      <c r="R30" s="27"/>
      <c r="S30" s="27"/>
      <c r="T30" s="43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5"/>
      <c r="AJ30" s="58"/>
      <c r="AK30" s="55"/>
      <c r="AL30" s="66">
        <f t="shared" si="4"/>
        <v>0</v>
      </c>
      <c r="AM30" s="28" t="str">
        <f t="shared" si="2"/>
        <v>OK</v>
      </c>
    </row>
    <row r="31" spans="1:39" customFormat="1" hidden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135"/>
      <c r="I31" s="21">
        <f t="shared" si="3"/>
        <v>0</v>
      </c>
      <c r="J31" s="21"/>
      <c r="K31" s="16"/>
      <c r="L31" s="21"/>
      <c r="M31" s="21"/>
      <c r="N31" s="21"/>
      <c r="O31" s="21"/>
      <c r="P31" s="21"/>
      <c r="Q31" s="21"/>
      <c r="R31" s="21"/>
      <c r="S31" s="21"/>
      <c r="T31" s="4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7"/>
      <c r="AK31" s="54"/>
      <c r="AL31" s="65">
        <f t="shared" si="4"/>
        <v>0</v>
      </c>
      <c r="AM31" s="22" t="str">
        <f t="shared" si="2"/>
        <v>OK</v>
      </c>
    </row>
    <row r="32" spans="1:39" customFormat="1" hidden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136"/>
      <c r="I32" s="27">
        <f t="shared" si="3"/>
        <v>0</v>
      </c>
      <c r="J32" s="27"/>
      <c r="K32" s="16"/>
      <c r="L32" s="27"/>
      <c r="M32" s="27"/>
      <c r="N32" s="27"/>
      <c r="O32" s="27"/>
      <c r="P32" s="27"/>
      <c r="Q32" s="27"/>
      <c r="R32" s="27"/>
      <c r="S32" s="27"/>
      <c r="T32" s="43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5"/>
      <c r="AJ32" s="58"/>
      <c r="AK32" s="55"/>
      <c r="AL32" s="66">
        <f t="shared" si="4"/>
        <v>0</v>
      </c>
      <c r="AM32" s="28" t="str">
        <f t="shared" si="2"/>
        <v>OK</v>
      </c>
    </row>
    <row r="33" spans="1:39" customFormat="1" hidden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135"/>
      <c r="I33" s="21">
        <f t="shared" si="3"/>
        <v>0</v>
      </c>
      <c r="J33" s="21"/>
      <c r="K33" s="16"/>
      <c r="L33" s="21"/>
      <c r="M33" s="21"/>
      <c r="N33" s="21"/>
      <c r="O33" s="21"/>
      <c r="P33" s="21"/>
      <c r="Q33" s="21"/>
      <c r="R33" s="21"/>
      <c r="S33" s="21"/>
      <c r="T33" s="42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4"/>
      <c r="AJ33" s="57"/>
      <c r="AK33" s="54"/>
      <c r="AL33" s="65">
        <f t="shared" si="4"/>
        <v>0</v>
      </c>
      <c r="AM33" s="22" t="str">
        <f t="shared" si="2"/>
        <v>OK</v>
      </c>
    </row>
    <row r="34" spans="1:39" customFormat="1" hidden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136"/>
      <c r="I34" s="27">
        <f t="shared" si="3"/>
        <v>0</v>
      </c>
      <c r="J34" s="27"/>
      <c r="K34" s="16"/>
      <c r="L34" s="27"/>
      <c r="M34" s="27"/>
      <c r="N34" s="27"/>
      <c r="O34" s="27"/>
      <c r="P34" s="27"/>
      <c r="Q34" s="27"/>
      <c r="R34" s="27"/>
      <c r="S34" s="27"/>
      <c r="T34" s="43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5"/>
      <c r="AJ34" s="58"/>
      <c r="AK34" s="55"/>
      <c r="AL34" s="66">
        <f t="shared" si="4"/>
        <v>0</v>
      </c>
      <c r="AM34" s="28" t="str">
        <f t="shared" si="2"/>
        <v>OK</v>
      </c>
    </row>
    <row r="35" spans="1:39" customFormat="1" hidden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135"/>
      <c r="I35" s="21">
        <f t="shared" si="3"/>
        <v>0</v>
      </c>
      <c r="J35" s="21"/>
      <c r="K35" s="16"/>
      <c r="L35" s="21"/>
      <c r="M35" s="21"/>
      <c r="N35" s="21"/>
      <c r="O35" s="21"/>
      <c r="P35" s="21"/>
      <c r="Q35" s="21"/>
      <c r="R35" s="21"/>
      <c r="S35" s="21"/>
      <c r="T35" s="42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4"/>
      <c r="AJ35" s="57"/>
      <c r="AK35" s="54"/>
      <c r="AL35" s="65">
        <f t="shared" si="4"/>
        <v>0</v>
      </c>
      <c r="AM35" s="22" t="str">
        <f t="shared" si="2"/>
        <v>OK</v>
      </c>
    </row>
    <row r="36" spans="1:39" customFormat="1" hidden="1">
      <c r="A36" s="68" t="s">
        <v>76</v>
      </c>
      <c r="B36" s="78">
        <v>10135</v>
      </c>
      <c r="C36" s="23" t="s">
        <v>56</v>
      </c>
      <c r="D36" s="24"/>
      <c r="E36" s="24"/>
      <c r="F36" s="24"/>
      <c r="G36" s="25"/>
      <c r="H36" s="136"/>
      <c r="I36" s="27">
        <f t="shared" si="3"/>
        <v>0</v>
      </c>
      <c r="J36" s="27"/>
      <c r="K36" s="16"/>
      <c r="L36" s="27"/>
      <c r="M36" s="27"/>
      <c r="N36" s="27"/>
      <c r="O36" s="27"/>
      <c r="P36" s="27"/>
      <c r="Q36" s="27"/>
      <c r="R36" s="27"/>
      <c r="S36" s="27"/>
      <c r="T36" s="43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5"/>
      <c r="AJ36" s="58"/>
      <c r="AK36" s="55"/>
      <c r="AL36" s="66">
        <f t="shared" si="4"/>
        <v>0</v>
      </c>
      <c r="AM36" s="28" t="str">
        <f t="shared" si="2"/>
        <v>OK</v>
      </c>
    </row>
    <row r="37" spans="1:39" customFormat="1" hidden="1">
      <c r="A37" s="80" t="s">
        <v>77</v>
      </c>
      <c r="B37" s="77">
        <v>10133</v>
      </c>
      <c r="C37" s="17" t="s">
        <v>55</v>
      </c>
      <c r="D37" s="69"/>
      <c r="E37" s="18"/>
      <c r="F37" s="18"/>
      <c r="G37" s="19"/>
      <c r="H37" s="135">
        <f>1220+324+1000</f>
        <v>2544</v>
      </c>
      <c r="I37" s="21">
        <f t="shared" si="3"/>
        <v>0</v>
      </c>
      <c r="J37" s="21"/>
      <c r="K37" s="16"/>
      <c r="L37" s="21"/>
      <c r="M37" s="21"/>
      <c r="N37" s="21"/>
      <c r="O37" s="21"/>
      <c r="P37" s="21"/>
      <c r="Q37" s="21"/>
      <c r="R37" s="21"/>
      <c r="S37" s="21"/>
      <c r="T37" s="42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4"/>
      <c r="AJ37" s="57"/>
      <c r="AK37" s="54"/>
      <c r="AL37" s="65">
        <f t="shared" si="4"/>
        <v>0</v>
      </c>
      <c r="AM37" s="22" t="str">
        <f t="shared" si="2"/>
        <v>OK</v>
      </c>
    </row>
    <row r="38" spans="1:39" customFormat="1" hidden="1">
      <c r="A38" s="68" t="s">
        <v>78</v>
      </c>
      <c r="B38" s="78">
        <v>10131</v>
      </c>
      <c r="C38" s="23" t="s">
        <v>56</v>
      </c>
      <c r="D38" s="24"/>
      <c r="E38" s="24"/>
      <c r="F38" s="24"/>
      <c r="G38" s="25"/>
      <c r="H38" s="136"/>
      <c r="I38" s="27">
        <f t="shared" si="3"/>
        <v>0</v>
      </c>
      <c r="J38" s="27"/>
      <c r="K38" s="16"/>
      <c r="L38" s="27"/>
      <c r="M38" s="27"/>
      <c r="N38" s="27"/>
      <c r="O38" s="27"/>
      <c r="P38" s="27"/>
      <c r="Q38" s="27"/>
      <c r="R38" s="27"/>
      <c r="S38" s="27"/>
      <c r="T38" s="43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5"/>
      <c r="AJ38" s="58"/>
      <c r="AK38" s="55"/>
      <c r="AL38" s="66">
        <f t="shared" ref="AL38:AL50" si="5">SUM(L38:AK38)</f>
        <v>0</v>
      </c>
      <c r="AM38" s="28" t="str">
        <f t="shared" si="2"/>
        <v>OK</v>
      </c>
    </row>
    <row r="39" spans="1:39" customFormat="1" hidden="1">
      <c r="A39" s="17" t="s">
        <v>79</v>
      </c>
      <c r="B39" s="77">
        <v>10129</v>
      </c>
      <c r="C39" s="17" t="s">
        <v>57</v>
      </c>
      <c r="D39" s="69"/>
      <c r="E39" s="18"/>
      <c r="F39" s="18"/>
      <c r="G39" s="19"/>
      <c r="H39" s="135">
        <v>870</v>
      </c>
      <c r="I39" s="21">
        <f t="shared" si="3"/>
        <v>0</v>
      </c>
      <c r="J39" s="21"/>
      <c r="K39" s="16"/>
      <c r="L39" s="21"/>
      <c r="M39" s="21"/>
      <c r="N39" s="21"/>
      <c r="O39" s="21"/>
      <c r="P39" s="21"/>
      <c r="Q39" s="21"/>
      <c r="R39" s="21"/>
      <c r="S39" s="21"/>
      <c r="T39" s="42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4"/>
      <c r="AJ39" s="57"/>
      <c r="AK39" s="54"/>
      <c r="AL39" s="65">
        <f t="shared" si="5"/>
        <v>0</v>
      </c>
      <c r="AM39" s="22" t="str">
        <f t="shared" si="2"/>
        <v>OK</v>
      </c>
    </row>
    <row r="40" spans="1:39" customFormat="1" ht="17.25" thickBot="1">
      <c r="A40" s="68" t="s">
        <v>80</v>
      </c>
      <c r="B40" s="78">
        <v>10127</v>
      </c>
      <c r="C40" s="23" t="s">
        <v>58</v>
      </c>
      <c r="D40" s="24"/>
      <c r="E40" s="24"/>
      <c r="F40" s="24"/>
      <c r="G40" s="25"/>
      <c r="H40" s="136">
        <v>1860</v>
      </c>
      <c r="I40" s="27">
        <f t="shared" si="3"/>
        <v>5</v>
      </c>
      <c r="J40" s="27"/>
      <c r="K40" s="16"/>
      <c r="L40" s="27">
        <v>5</v>
      </c>
      <c r="M40" s="27"/>
      <c r="N40" s="27"/>
      <c r="O40" s="27"/>
      <c r="P40" s="27"/>
      <c r="Q40" s="27"/>
      <c r="R40" s="27"/>
      <c r="S40" s="27"/>
      <c r="T40" s="43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5"/>
      <c r="AJ40" s="58"/>
      <c r="AK40" s="55"/>
      <c r="AL40" s="66">
        <f t="shared" si="5"/>
        <v>5</v>
      </c>
      <c r="AM40" s="28" t="str">
        <f t="shared" si="2"/>
        <v>OK</v>
      </c>
    </row>
    <row r="41" spans="1:39" customFormat="1" ht="17.25" hidden="1" thickBot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135"/>
      <c r="I41" s="21">
        <f t="shared" si="3"/>
        <v>0</v>
      </c>
      <c r="J41" s="21"/>
      <c r="K41" s="16"/>
      <c r="L41" s="21"/>
      <c r="M41" s="21"/>
      <c r="N41" s="21"/>
      <c r="O41" s="21"/>
      <c r="P41" s="21"/>
      <c r="Q41" s="21"/>
      <c r="R41" s="21"/>
      <c r="S41" s="21"/>
      <c r="T41" s="4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4"/>
      <c r="AJ41" s="57"/>
      <c r="AK41" s="54"/>
      <c r="AL41" s="65">
        <f t="shared" si="5"/>
        <v>0</v>
      </c>
      <c r="AM41" s="22" t="str">
        <f t="shared" si="2"/>
        <v>OK</v>
      </c>
    </row>
    <row r="42" spans="1:39" customFormat="1" ht="17.25" hidden="1" thickBot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136"/>
      <c r="I42" s="27">
        <f t="shared" si="3"/>
        <v>0</v>
      </c>
      <c r="J42" s="27"/>
      <c r="K42" s="16"/>
      <c r="L42" s="27"/>
      <c r="M42" s="27"/>
      <c r="N42" s="27"/>
      <c r="O42" s="27"/>
      <c r="P42" s="27"/>
      <c r="Q42" s="27"/>
      <c r="R42" s="27"/>
      <c r="S42" s="27"/>
      <c r="T42" s="43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5"/>
      <c r="AJ42" s="58"/>
      <c r="AK42" s="55"/>
      <c r="AL42" s="66">
        <f t="shared" si="5"/>
        <v>0</v>
      </c>
      <c r="AM42" s="28" t="str">
        <f t="shared" si="2"/>
        <v>OK</v>
      </c>
    </row>
    <row r="43" spans="1:39" customFormat="1" ht="17.25" hidden="1" thickBot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135"/>
      <c r="I43" s="21">
        <f t="shared" si="3"/>
        <v>0</v>
      </c>
      <c r="J43" s="21"/>
      <c r="K43" s="16"/>
      <c r="L43" s="21"/>
      <c r="M43" s="21"/>
      <c r="N43" s="21"/>
      <c r="O43" s="21"/>
      <c r="P43" s="21"/>
      <c r="Q43" s="21"/>
      <c r="R43" s="21"/>
      <c r="S43" s="21"/>
      <c r="T43" s="42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4"/>
      <c r="AJ43" s="57"/>
      <c r="AK43" s="54"/>
      <c r="AL43" s="65">
        <f t="shared" si="5"/>
        <v>0</v>
      </c>
      <c r="AM43" s="22" t="str">
        <f t="shared" si="2"/>
        <v>OK</v>
      </c>
    </row>
    <row r="44" spans="1:39" customFormat="1" ht="17.25" hidden="1" thickBot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136"/>
      <c r="I44" s="27">
        <f t="shared" si="3"/>
        <v>0</v>
      </c>
      <c r="J44" s="27"/>
      <c r="K44" s="16"/>
      <c r="L44" s="27"/>
      <c r="M44" s="27"/>
      <c r="N44" s="27"/>
      <c r="O44" s="27"/>
      <c r="P44" s="27"/>
      <c r="Q44" s="27"/>
      <c r="R44" s="27"/>
      <c r="S44" s="27"/>
      <c r="T44" s="43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5"/>
      <c r="AJ44" s="58"/>
      <c r="AK44" s="55"/>
      <c r="AL44" s="66">
        <f t="shared" si="5"/>
        <v>0</v>
      </c>
      <c r="AM44" s="28" t="str">
        <f t="shared" si="2"/>
        <v>OK</v>
      </c>
    </row>
    <row r="45" spans="1:39" customFormat="1" ht="17.25" hidden="1" thickBot="1">
      <c r="A45" s="17" t="s">
        <v>107</v>
      </c>
      <c r="B45" s="77">
        <v>13467</v>
      </c>
      <c r="C45" s="17" t="s">
        <v>87</v>
      </c>
      <c r="D45" s="69"/>
      <c r="E45" s="18"/>
      <c r="F45" s="18"/>
      <c r="G45" s="19"/>
      <c r="H45" s="135"/>
      <c r="I45" s="21">
        <f t="shared" si="3"/>
        <v>0</v>
      </c>
      <c r="J45" s="21"/>
      <c r="K45" s="16"/>
      <c r="L45" s="21"/>
      <c r="M45" s="21"/>
      <c r="N45" s="21"/>
      <c r="O45" s="21"/>
      <c r="P45" s="21"/>
      <c r="Q45" s="21"/>
      <c r="R45" s="21"/>
      <c r="S45" s="21"/>
      <c r="T45" s="4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4"/>
      <c r="AJ45" s="57"/>
      <c r="AK45" s="54"/>
      <c r="AL45" s="65">
        <f t="shared" si="5"/>
        <v>0</v>
      </c>
      <c r="AM45" s="22" t="str">
        <f t="shared" si="2"/>
        <v>OK</v>
      </c>
    </row>
    <row r="46" spans="1:39" customFormat="1" ht="17.25" hidden="1" thickBot="1">
      <c r="A46" s="68" t="s">
        <v>111</v>
      </c>
      <c r="B46" s="78">
        <v>15948</v>
      </c>
      <c r="C46" s="23" t="s">
        <v>87</v>
      </c>
      <c r="D46" s="24"/>
      <c r="E46" s="24"/>
      <c r="F46" s="24"/>
      <c r="G46" s="25"/>
      <c r="H46" s="136"/>
      <c r="I46" s="27">
        <f t="shared" si="3"/>
        <v>0</v>
      </c>
      <c r="J46" s="27"/>
      <c r="K46" s="16"/>
      <c r="L46" s="27"/>
      <c r="M46" s="27"/>
      <c r="N46" s="27"/>
      <c r="O46" s="27"/>
      <c r="P46" s="27"/>
      <c r="Q46" s="27"/>
      <c r="R46" s="27"/>
      <c r="S46" s="27"/>
      <c r="T46" s="43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5"/>
      <c r="AJ46" s="58"/>
      <c r="AK46" s="55"/>
      <c r="AL46" s="66">
        <f t="shared" si="5"/>
        <v>0</v>
      </c>
      <c r="AM46" s="28" t="str">
        <f t="shared" si="2"/>
        <v>OK</v>
      </c>
    </row>
    <row r="47" spans="1:39" customFormat="1" ht="17.25" hidden="1" thickBot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135"/>
      <c r="I47" s="21">
        <f t="shared" si="3"/>
        <v>0</v>
      </c>
      <c r="J47" s="21"/>
      <c r="K47" s="16"/>
      <c r="L47" s="21"/>
      <c r="M47" s="21"/>
      <c r="N47" s="21"/>
      <c r="O47" s="21"/>
      <c r="P47" s="21"/>
      <c r="Q47" s="21"/>
      <c r="R47" s="21"/>
      <c r="S47" s="21"/>
      <c r="T47" s="42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4"/>
      <c r="AJ47" s="57"/>
      <c r="AK47" s="54"/>
      <c r="AL47" s="65">
        <f t="shared" si="5"/>
        <v>0</v>
      </c>
      <c r="AM47" s="22" t="str">
        <f t="shared" si="2"/>
        <v>OK</v>
      </c>
    </row>
    <row r="48" spans="1:39" customFormat="1" ht="17.25" hidden="1" thickBot="1">
      <c r="A48" s="68" t="s">
        <v>121</v>
      </c>
      <c r="B48" s="78">
        <v>16598</v>
      </c>
      <c r="C48" s="23" t="s">
        <v>87</v>
      </c>
      <c r="D48" s="24"/>
      <c r="E48" s="24"/>
      <c r="F48" s="24"/>
      <c r="G48" s="25"/>
      <c r="H48" s="136"/>
      <c r="I48" s="27">
        <f t="shared" si="3"/>
        <v>0</v>
      </c>
      <c r="J48" s="27"/>
      <c r="K48" s="16"/>
      <c r="L48" s="27"/>
      <c r="M48" s="27"/>
      <c r="N48" s="27"/>
      <c r="O48" s="27"/>
      <c r="P48" s="27"/>
      <c r="Q48" s="27"/>
      <c r="R48" s="27"/>
      <c r="S48" s="27"/>
      <c r="T48" s="43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5"/>
      <c r="AJ48" s="58"/>
      <c r="AK48" s="55"/>
      <c r="AL48" s="66">
        <f t="shared" si="5"/>
        <v>0</v>
      </c>
      <c r="AM48" s="28" t="str">
        <f t="shared" si="2"/>
        <v>OK</v>
      </c>
    </row>
    <row r="49" spans="1:39" customFormat="1" ht="17.25" hidden="1" thickBot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135"/>
      <c r="I49" s="21">
        <f t="shared" si="3"/>
        <v>0</v>
      </c>
      <c r="J49" s="21"/>
      <c r="K49" s="16"/>
      <c r="L49" s="21"/>
      <c r="M49" s="21"/>
      <c r="N49" s="21"/>
      <c r="O49" s="21"/>
      <c r="P49" s="21"/>
      <c r="Q49" s="21"/>
      <c r="R49" s="21"/>
      <c r="S49" s="21"/>
      <c r="T49" s="4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4"/>
      <c r="AJ49" s="57"/>
      <c r="AK49" s="54"/>
      <c r="AL49" s="65">
        <f t="shared" si="5"/>
        <v>0</v>
      </c>
      <c r="AM49" s="22" t="str">
        <f t="shared" si="2"/>
        <v>OK</v>
      </c>
    </row>
    <row r="50" spans="1:39" customFormat="1" ht="17.25" hidden="1" thickBot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136"/>
      <c r="I50" s="27">
        <f t="shared" si="3"/>
        <v>0</v>
      </c>
      <c r="J50" s="27"/>
      <c r="K50" s="16"/>
      <c r="L50" s="27"/>
      <c r="M50" s="27"/>
      <c r="N50" s="27"/>
      <c r="O50" s="27"/>
      <c r="P50" s="27"/>
      <c r="Q50" s="27"/>
      <c r="R50" s="27"/>
      <c r="S50" s="27"/>
      <c r="T50" s="43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8"/>
      <c r="AK50" s="55"/>
      <c r="AL50" s="66">
        <f t="shared" si="5"/>
        <v>0</v>
      </c>
      <c r="AM50" s="28" t="str">
        <f t="shared" si="2"/>
        <v>OK</v>
      </c>
    </row>
    <row r="51" spans="1:39" customFormat="1" ht="17.25" hidden="1" thickBot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135"/>
      <c r="I51" s="21">
        <f t="shared" si="3"/>
        <v>0</v>
      </c>
      <c r="J51" s="21"/>
      <c r="K51" s="16"/>
      <c r="L51" s="21"/>
      <c r="M51" s="21"/>
      <c r="N51" s="21"/>
      <c r="O51" s="21"/>
      <c r="P51" s="21"/>
      <c r="Q51" s="21"/>
      <c r="R51" s="21"/>
      <c r="S51" s="21"/>
      <c r="T51" s="4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4"/>
      <c r="AJ51" s="57"/>
      <c r="AK51" s="54"/>
      <c r="AL51" s="65">
        <f>SUM(L51:AK51)</f>
        <v>0</v>
      </c>
      <c r="AM51" s="22" t="str">
        <f t="shared" si="2"/>
        <v>OK</v>
      </c>
    </row>
    <row r="52" spans="1:39" customFormat="1" ht="17.25" hidden="1" thickBot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136"/>
      <c r="I52" s="27">
        <f t="shared" si="3"/>
        <v>0</v>
      </c>
      <c r="J52" s="27"/>
      <c r="K52" s="16"/>
      <c r="L52" s="27"/>
      <c r="M52" s="27"/>
      <c r="N52" s="27"/>
      <c r="O52" s="27"/>
      <c r="P52" s="27"/>
      <c r="Q52" s="27"/>
      <c r="R52" s="27"/>
      <c r="S52" s="27"/>
      <c r="T52" s="43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5"/>
      <c r="AJ52" s="58"/>
      <c r="AK52" s="55"/>
      <c r="AL52" s="66">
        <f t="shared" ref="AL52:AL64" si="6">SUM(L52:AK52)</f>
        <v>0</v>
      </c>
      <c r="AM52" s="28" t="str">
        <f t="shared" si="2"/>
        <v>OK</v>
      </c>
    </row>
    <row r="53" spans="1:39" customFormat="1" ht="17.25" hidden="1" thickBot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135"/>
      <c r="I53" s="21">
        <f t="shared" si="3"/>
        <v>0</v>
      </c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42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4"/>
      <c r="AJ53" s="57"/>
      <c r="AK53" s="54"/>
      <c r="AL53" s="65">
        <f t="shared" si="6"/>
        <v>0</v>
      </c>
      <c r="AM53" s="22" t="str">
        <f t="shared" si="2"/>
        <v>OK</v>
      </c>
    </row>
    <row r="54" spans="1:39" customFormat="1" ht="17.25" hidden="1" thickBot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136"/>
      <c r="I54" s="27">
        <f t="shared" si="3"/>
        <v>0</v>
      </c>
      <c r="J54" s="27"/>
      <c r="K54" s="16"/>
      <c r="L54" s="27"/>
      <c r="M54" s="27"/>
      <c r="N54" s="27"/>
      <c r="O54" s="27"/>
      <c r="P54" s="27"/>
      <c r="Q54" s="27"/>
      <c r="R54" s="27"/>
      <c r="S54" s="27"/>
      <c r="T54" s="43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5"/>
      <c r="AJ54" s="58"/>
      <c r="AK54" s="55"/>
      <c r="AL54" s="66">
        <f t="shared" si="6"/>
        <v>0</v>
      </c>
      <c r="AM54" s="28" t="str">
        <f t="shared" si="2"/>
        <v>OK</v>
      </c>
    </row>
    <row r="55" spans="1:39" customFormat="1" ht="17.25" hidden="1" thickBot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135"/>
      <c r="I55" s="21">
        <f t="shared" si="3"/>
        <v>0</v>
      </c>
      <c r="J55" s="21"/>
      <c r="K55" s="16"/>
      <c r="L55" s="21"/>
      <c r="M55" s="21"/>
      <c r="N55" s="21"/>
      <c r="O55" s="21"/>
      <c r="P55" s="21"/>
      <c r="Q55" s="21"/>
      <c r="R55" s="21"/>
      <c r="S55" s="21"/>
      <c r="T55" s="42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4"/>
      <c r="AJ55" s="57"/>
      <c r="AK55" s="54"/>
      <c r="AL55" s="65">
        <f t="shared" si="6"/>
        <v>0</v>
      </c>
      <c r="AM55" s="22" t="str">
        <f t="shared" si="2"/>
        <v>OK</v>
      </c>
    </row>
    <row r="56" spans="1:39" customFormat="1" ht="17.25" hidden="1" thickBot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136"/>
      <c r="I56" s="27">
        <f t="shared" si="3"/>
        <v>0</v>
      </c>
      <c r="J56" s="27"/>
      <c r="K56" s="16"/>
      <c r="L56" s="27"/>
      <c r="M56" s="27"/>
      <c r="N56" s="27"/>
      <c r="O56" s="27"/>
      <c r="P56" s="27"/>
      <c r="Q56" s="27"/>
      <c r="R56" s="27"/>
      <c r="S56" s="27"/>
      <c r="T56" s="43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5"/>
      <c r="AJ56" s="58"/>
      <c r="AK56" s="55"/>
      <c r="AL56" s="66">
        <f t="shared" si="6"/>
        <v>0</v>
      </c>
      <c r="AM56" s="28" t="str">
        <f t="shared" si="2"/>
        <v>OK</v>
      </c>
    </row>
    <row r="57" spans="1:39" customFormat="1" ht="17.25" hidden="1" thickBot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135"/>
      <c r="I57" s="21">
        <f t="shared" si="3"/>
        <v>0</v>
      </c>
      <c r="J57" s="21"/>
      <c r="K57" s="16"/>
      <c r="L57" s="21"/>
      <c r="M57" s="21"/>
      <c r="N57" s="21"/>
      <c r="O57" s="21"/>
      <c r="P57" s="21"/>
      <c r="Q57" s="21"/>
      <c r="R57" s="21"/>
      <c r="S57" s="21"/>
      <c r="T57" s="42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4"/>
      <c r="AJ57" s="57"/>
      <c r="AK57" s="54"/>
      <c r="AL57" s="65">
        <f t="shared" si="6"/>
        <v>0</v>
      </c>
      <c r="AM57" s="22" t="str">
        <f t="shared" si="2"/>
        <v>OK</v>
      </c>
    </row>
    <row r="58" spans="1:39" customFormat="1" ht="17.25" hidden="1" thickBot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136"/>
      <c r="I58" s="27">
        <f t="shared" si="3"/>
        <v>0</v>
      </c>
      <c r="J58" s="27"/>
      <c r="K58" s="16"/>
      <c r="L58" s="27"/>
      <c r="M58" s="27"/>
      <c r="N58" s="27"/>
      <c r="O58" s="27"/>
      <c r="P58" s="27"/>
      <c r="Q58" s="27"/>
      <c r="R58" s="27"/>
      <c r="S58" s="27"/>
      <c r="T58" s="43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5"/>
      <c r="AJ58" s="58"/>
      <c r="AK58" s="55"/>
      <c r="AL58" s="66">
        <f t="shared" si="6"/>
        <v>0</v>
      </c>
      <c r="AM58" s="28" t="str">
        <f t="shared" si="2"/>
        <v>OK</v>
      </c>
    </row>
    <row r="59" spans="1:39" customFormat="1" ht="17.25" hidden="1" thickBot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135"/>
      <c r="I59" s="21">
        <f t="shared" si="3"/>
        <v>0</v>
      </c>
      <c r="J59" s="21"/>
      <c r="K59" s="16"/>
      <c r="L59" s="21"/>
      <c r="M59" s="21"/>
      <c r="N59" s="21"/>
      <c r="O59" s="21"/>
      <c r="P59" s="21"/>
      <c r="Q59" s="21"/>
      <c r="R59" s="21"/>
      <c r="S59" s="21"/>
      <c r="T59" s="4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4"/>
      <c r="AJ59" s="57"/>
      <c r="AK59" s="54"/>
      <c r="AL59" s="65">
        <f t="shared" si="6"/>
        <v>0</v>
      </c>
      <c r="AM59" s="22" t="str">
        <f t="shared" si="2"/>
        <v>OK</v>
      </c>
    </row>
    <row r="60" spans="1:39" customFormat="1" ht="17.25" hidden="1" thickBot="1">
      <c r="A60" s="68" t="s">
        <v>84</v>
      </c>
      <c r="B60" s="78">
        <v>11380</v>
      </c>
      <c r="C60" s="23" t="s">
        <v>60</v>
      </c>
      <c r="D60" s="24"/>
      <c r="E60" s="24"/>
      <c r="F60" s="24"/>
      <c r="G60" s="25"/>
      <c r="H60" s="136"/>
      <c r="I60" s="27">
        <f t="shared" si="3"/>
        <v>0</v>
      </c>
      <c r="J60" s="27"/>
      <c r="K60" s="16"/>
      <c r="L60" s="27"/>
      <c r="M60" s="27"/>
      <c r="N60" s="27"/>
      <c r="O60" s="27"/>
      <c r="P60" s="27"/>
      <c r="Q60" s="27"/>
      <c r="R60" s="27"/>
      <c r="S60" s="27"/>
      <c r="T60" s="43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5"/>
      <c r="AJ60" s="58"/>
      <c r="AK60" s="55"/>
      <c r="AL60" s="66">
        <f t="shared" si="6"/>
        <v>0</v>
      </c>
      <c r="AM60" s="28" t="str">
        <f t="shared" si="2"/>
        <v>OK</v>
      </c>
    </row>
    <row r="61" spans="1:39" customFormat="1" ht="17.25" hidden="1" thickBot="1">
      <c r="A61" s="80" t="s">
        <v>112</v>
      </c>
      <c r="B61" s="77">
        <v>18518</v>
      </c>
      <c r="C61" s="17" t="s">
        <v>87</v>
      </c>
      <c r="D61" s="69"/>
      <c r="E61" s="18"/>
      <c r="F61" s="18"/>
      <c r="G61" s="19"/>
      <c r="H61" s="135"/>
      <c r="I61" s="21">
        <f t="shared" si="3"/>
        <v>0</v>
      </c>
      <c r="J61" s="21"/>
      <c r="K61" s="16"/>
      <c r="L61" s="21"/>
      <c r="M61" s="21"/>
      <c r="N61" s="21"/>
      <c r="O61" s="21"/>
      <c r="P61" s="21"/>
      <c r="Q61" s="21"/>
      <c r="R61" s="21"/>
      <c r="S61" s="21"/>
      <c r="T61" s="4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4"/>
      <c r="AJ61" s="57"/>
      <c r="AK61" s="54"/>
      <c r="AL61" s="65">
        <f t="shared" si="6"/>
        <v>0</v>
      </c>
      <c r="AM61" s="22" t="str">
        <f t="shared" si="2"/>
        <v>OK</v>
      </c>
    </row>
    <row r="62" spans="1:39" customFormat="1" ht="17.25" hidden="1" thickBot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136"/>
      <c r="I62" s="27">
        <f t="shared" si="3"/>
        <v>0</v>
      </c>
      <c r="J62" s="27"/>
      <c r="K62" s="16"/>
      <c r="L62" s="27"/>
      <c r="M62" s="27"/>
      <c r="N62" s="27"/>
      <c r="O62" s="27"/>
      <c r="P62" s="27"/>
      <c r="Q62" s="27"/>
      <c r="R62" s="27"/>
      <c r="S62" s="27"/>
      <c r="T62" s="43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5"/>
      <c r="AJ62" s="58"/>
      <c r="AK62" s="55"/>
      <c r="AL62" s="66">
        <f t="shared" si="6"/>
        <v>0</v>
      </c>
      <c r="AM62" s="28" t="str">
        <f t="shared" si="2"/>
        <v>OK</v>
      </c>
    </row>
    <row r="63" spans="1:39" customFormat="1" ht="17.25" hidden="1" thickBot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135"/>
      <c r="I63" s="21">
        <f t="shared" si="3"/>
        <v>0</v>
      </c>
      <c r="J63" s="21"/>
      <c r="K63" s="16"/>
      <c r="L63" s="21"/>
      <c r="M63" s="21"/>
      <c r="N63" s="21"/>
      <c r="O63" s="21"/>
      <c r="P63" s="21"/>
      <c r="Q63" s="21"/>
      <c r="R63" s="21"/>
      <c r="S63" s="21"/>
      <c r="T63" s="4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4"/>
      <c r="AJ63" s="57"/>
      <c r="AK63" s="54"/>
      <c r="AL63" s="65">
        <f t="shared" si="6"/>
        <v>0</v>
      </c>
      <c r="AM63" s="22" t="str">
        <f t="shared" si="2"/>
        <v>OK</v>
      </c>
    </row>
    <row r="64" spans="1:39" customFormat="1" ht="17.25" hidden="1" thickBot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136">
        <f>753+2100</f>
        <v>2853</v>
      </c>
      <c r="I64" s="27">
        <f t="shared" si="3"/>
        <v>0</v>
      </c>
      <c r="J64" s="27"/>
      <c r="K64" s="16"/>
      <c r="L64" s="27"/>
      <c r="M64" s="27"/>
      <c r="N64" s="27"/>
      <c r="O64" s="27"/>
      <c r="P64" s="27"/>
      <c r="Q64" s="27"/>
      <c r="R64" s="27"/>
      <c r="S64" s="27"/>
      <c r="T64" s="43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5"/>
      <c r="AJ64" s="58"/>
      <c r="AK64" s="55"/>
      <c r="AL64" s="66">
        <f t="shared" si="6"/>
        <v>0</v>
      </c>
      <c r="AM64" s="28" t="str">
        <f t="shared" si="2"/>
        <v>OK</v>
      </c>
    </row>
    <row r="65" spans="1:39" customFormat="1" ht="17.25" hidden="1" thickBot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135"/>
      <c r="I65" s="21">
        <f t="shared" si="3"/>
        <v>0</v>
      </c>
      <c r="J65" s="21"/>
      <c r="K65" s="16"/>
      <c r="L65" s="21"/>
      <c r="M65" s="21"/>
      <c r="N65" s="21"/>
      <c r="O65" s="21"/>
      <c r="P65" s="21"/>
      <c r="Q65" s="21"/>
      <c r="R65" s="21"/>
      <c r="S65" s="21"/>
      <c r="T65" s="4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4"/>
      <c r="AJ65" s="57"/>
      <c r="AK65" s="54"/>
      <c r="AL65" s="65">
        <f t="shared" si="4"/>
        <v>0</v>
      </c>
      <c r="AM65" s="22" t="str">
        <f t="shared" si="2"/>
        <v>OK</v>
      </c>
    </row>
    <row r="66" spans="1:39" customFormat="1" ht="17.25" hidden="1" thickBot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136"/>
      <c r="I66" s="27">
        <f t="shared" si="3"/>
        <v>0</v>
      </c>
      <c r="J66" s="27"/>
      <c r="K66" s="16"/>
      <c r="L66" s="27"/>
      <c r="M66" s="27"/>
      <c r="N66" s="27"/>
      <c r="O66" s="27"/>
      <c r="P66" s="27"/>
      <c r="Q66" s="27"/>
      <c r="R66" s="27"/>
      <c r="S66" s="27"/>
      <c r="T66" s="43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5"/>
      <c r="AJ66" s="58"/>
      <c r="AK66" s="55"/>
      <c r="AL66" s="66">
        <f t="shared" si="4"/>
        <v>0</v>
      </c>
      <c r="AM66" s="28" t="str">
        <f t="shared" si="2"/>
        <v>OK</v>
      </c>
    </row>
    <row r="67" spans="1:39" customFormat="1" ht="17.25" hidden="1" thickBot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135"/>
      <c r="I67" s="21">
        <f t="shared" si="3"/>
        <v>0</v>
      </c>
      <c r="J67" s="21"/>
      <c r="K67" s="16"/>
      <c r="L67" s="21"/>
      <c r="M67" s="21"/>
      <c r="N67" s="21"/>
      <c r="O67" s="21"/>
      <c r="P67" s="21"/>
      <c r="Q67" s="21"/>
      <c r="R67" s="21"/>
      <c r="S67" s="21"/>
      <c r="T67" s="4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4"/>
      <c r="AJ67" s="57"/>
      <c r="AK67" s="54"/>
      <c r="AL67" s="65">
        <f t="shared" si="4"/>
        <v>0</v>
      </c>
      <c r="AM67" s="22" t="str">
        <f t="shared" si="2"/>
        <v>OK</v>
      </c>
    </row>
    <row r="68" spans="1:39" customFormat="1" ht="17.25" hidden="1" thickBot="1">
      <c r="A68" s="81" t="s">
        <v>132</v>
      </c>
      <c r="B68" s="78">
        <v>20269</v>
      </c>
      <c r="C68" s="23" t="s">
        <v>131</v>
      </c>
      <c r="D68" s="24"/>
      <c r="E68" s="24"/>
      <c r="F68" s="24"/>
      <c r="G68" s="25"/>
      <c r="H68" s="136"/>
      <c r="I68" s="27">
        <f t="shared" si="3"/>
        <v>0</v>
      </c>
      <c r="J68" s="27"/>
      <c r="K68" s="16"/>
      <c r="L68" s="27"/>
      <c r="M68" s="27"/>
      <c r="N68" s="27"/>
      <c r="O68" s="27"/>
      <c r="P68" s="27"/>
      <c r="Q68" s="27"/>
      <c r="R68" s="27"/>
      <c r="S68" s="27"/>
      <c r="T68" s="43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5"/>
      <c r="AJ68" s="58"/>
      <c r="AK68" s="55"/>
      <c r="AL68" s="66">
        <f t="shared" si="4"/>
        <v>0</v>
      </c>
      <c r="AM68" s="28" t="str">
        <f t="shared" si="2"/>
        <v>OK</v>
      </c>
    </row>
    <row r="69" spans="1:39" customFormat="1" ht="17.25" hidden="1" thickBot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135"/>
      <c r="I69" s="21">
        <f t="shared" si="3"/>
        <v>0</v>
      </c>
      <c r="J69" s="21"/>
      <c r="K69" s="16"/>
      <c r="L69" s="21"/>
      <c r="M69" s="21"/>
      <c r="N69" s="21"/>
      <c r="O69" s="21"/>
      <c r="P69" s="21"/>
      <c r="Q69" s="21"/>
      <c r="R69" s="21"/>
      <c r="S69" s="21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7"/>
      <c r="AK69" s="54"/>
      <c r="AL69" s="65">
        <f t="shared" si="4"/>
        <v>0</v>
      </c>
      <c r="AM69" s="22" t="str">
        <f t="shared" si="2"/>
        <v>OK</v>
      </c>
    </row>
    <row r="70" spans="1:39" customFormat="1" ht="17.25" hidden="1" thickBot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136"/>
      <c r="I70" s="27">
        <f t="shared" si="3"/>
        <v>0</v>
      </c>
      <c r="J70" s="27"/>
      <c r="K70" s="16"/>
      <c r="L70" s="27"/>
      <c r="M70" s="27"/>
      <c r="N70" s="27"/>
      <c r="O70" s="27"/>
      <c r="P70" s="27"/>
      <c r="Q70" s="27"/>
      <c r="R70" s="27"/>
      <c r="S70" s="27"/>
      <c r="T70" s="43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5"/>
      <c r="AJ70" s="58"/>
      <c r="AK70" s="55"/>
      <c r="AL70" s="66">
        <f t="shared" si="4"/>
        <v>0</v>
      </c>
      <c r="AM70" s="28" t="str">
        <f t="shared" si="2"/>
        <v>OK</v>
      </c>
    </row>
    <row r="71" spans="1:39" customFormat="1" ht="17.25" hidden="1" thickBot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135"/>
      <c r="I71" s="21">
        <f t="shared" ref="I71:I96" si="7">SUM(L71:AK71)</f>
        <v>0</v>
      </c>
      <c r="J71" s="21"/>
      <c r="K71" s="16"/>
      <c r="L71" s="21"/>
      <c r="M71" s="21"/>
      <c r="N71" s="21"/>
      <c r="O71" s="21"/>
      <c r="P71" s="21"/>
      <c r="Q71" s="21"/>
      <c r="R71" s="21"/>
      <c r="S71" s="21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4"/>
      <c r="AJ71" s="57"/>
      <c r="AK71" s="54"/>
      <c r="AL71" s="65">
        <f t="shared" si="4"/>
        <v>0</v>
      </c>
      <c r="AM71" s="22" t="str">
        <f t="shared" si="2"/>
        <v>OK</v>
      </c>
    </row>
    <row r="72" spans="1:39" customFormat="1" ht="17.25" hidden="1" thickBot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136"/>
      <c r="I72" s="27">
        <f t="shared" si="7"/>
        <v>0</v>
      </c>
      <c r="J72" s="27"/>
      <c r="K72" s="16"/>
      <c r="L72" s="27"/>
      <c r="M72" s="27"/>
      <c r="N72" s="27"/>
      <c r="O72" s="27"/>
      <c r="P72" s="27"/>
      <c r="Q72" s="27"/>
      <c r="R72" s="27"/>
      <c r="S72" s="27"/>
      <c r="T72" s="43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5"/>
      <c r="AJ72" s="58"/>
      <c r="AK72" s="55"/>
      <c r="AL72" s="66">
        <f t="shared" si="4"/>
        <v>0</v>
      </c>
      <c r="AM72" s="28" t="str">
        <f t="shared" si="2"/>
        <v>OK</v>
      </c>
    </row>
    <row r="73" spans="1:39" customFormat="1" ht="17.25" hidden="1" thickBot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138"/>
      <c r="I73" s="101">
        <f t="shared" si="7"/>
        <v>0</v>
      </c>
      <c r="J73" s="21"/>
      <c r="K73" s="16"/>
      <c r="L73" s="21"/>
      <c r="M73" s="21"/>
      <c r="N73" s="21"/>
      <c r="O73" s="21"/>
      <c r="P73" s="21"/>
      <c r="Q73" s="21"/>
      <c r="R73" s="21"/>
      <c r="S73" s="21"/>
      <c r="T73" s="42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4"/>
      <c r="AJ73" s="57"/>
      <c r="AK73" s="54"/>
      <c r="AL73" s="65">
        <f t="shared" si="4"/>
        <v>0</v>
      </c>
      <c r="AM73" s="22" t="str">
        <f t="shared" si="2"/>
        <v>OK</v>
      </c>
    </row>
    <row r="74" spans="1:39" customFormat="1" ht="17.25" hidden="1" thickBot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139"/>
      <c r="I74" s="103">
        <f t="shared" si="7"/>
        <v>0</v>
      </c>
      <c r="J74" s="27"/>
      <c r="K74" s="16"/>
      <c r="L74" s="100"/>
      <c r="M74" s="100"/>
      <c r="N74" s="100"/>
      <c r="O74" s="100"/>
      <c r="P74" s="100"/>
      <c r="Q74" s="100"/>
      <c r="R74" s="100"/>
      <c r="S74" s="100"/>
      <c r="T74" s="109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1"/>
      <c r="AJ74" s="112"/>
      <c r="AK74" s="111"/>
      <c r="AL74" s="66">
        <f t="shared" si="4"/>
        <v>0</v>
      </c>
      <c r="AM74" s="28" t="str">
        <f t="shared" si="2"/>
        <v>OK</v>
      </c>
    </row>
    <row r="75" spans="1:39" ht="17.25" hidden="1" thickBot="1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40"/>
      <c r="I75" s="105">
        <f t="shared" si="7"/>
        <v>0</v>
      </c>
      <c r="J75" s="90"/>
      <c r="K75" s="91"/>
      <c r="L75" s="113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5"/>
      <c r="AL75" s="92">
        <f t="shared" ref="AL75:AL80" si="8">SUM(L75:AK75)</f>
        <v>0</v>
      </c>
      <c r="AM75" s="122" t="str">
        <f t="shared" ref="AM75:AM96" si="9">IF(AL75=I75,"OK","NG")</f>
        <v>OK</v>
      </c>
    </row>
    <row r="76" spans="1:39" ht="17.25" hidden="1" thickBot="1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139"/>
      <c r="I76" s="106">
        <f t="shared" si="7"/>
        <v>0</v>
      </c>
      <c r="J76" s="85"/>
      <c r="K76" s="16"/>
      <c r="L76" s="1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8"/>
      <c r="AL76" s="66">
        <f t="shared" si="8"/>
        <v>0</v>
      </c>
      <c r="AM76" s="28" t="str">
        <f t="shared" si="9"/>
        <v>OK</v>
      </c>
    </row>
    <row r="77" spans="1:39" ht="17.25" hidden="1" thickBot="1">
      <c r="A77" s="87" t="s">
        <v>165</v>
      </c>
      <c r="B77" s="93">
        <v>13007</v>
      </c>
      <c r="C77" s="94" t="s">
        <v>164</v>
      </c>
      <c r="D77" s="88"/>
      <c r="E77" s="88"/>
      <c r="F77" s="88"/>
      <c r="G77" s="89"/>
      <c r="H77" s="104"/>
      <c r="I77" s="105">
        <f t="shared" si="7"/>
        <v>0</v>
      </c>
      <c r="J77" s="90"/>
      <c r="K77" s="91"/>
      <c r="L77" s="113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5"/>
      <c r="AL77" s="92">
        <f t="shared" si="8"/>
        <v>0</v>
      </c>
      <c r="AM77" s="122" t="str">
        <f t="shared" si="9"/>
        <v>OK</v>
      </c>
    </row>
    <row r="78" spans="1:39" ht="17.25" hidden="1" thickBot="1">
      <c r="A78" s="68"/>
      <c r="B78" s="78"/>
      <c r="C78" s="95"/>
      <c r="D78" s="83"/>
      <c r="E78" s="83"/>
      <c r="F78" s="83"/>
      <c r="G78" s="84"/>
      <c r="H78" s="102"/>
      <c r="I78" s="106">
        <f t="shared" si="7"/>
        <v>0</v>
      </c>
      <c r="J78" s="85"/>
      <c r="K78" s="16"/>
      <c r="L78" s="1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66">
        <f t="shared" si="8"/>
        <v>0</v>
      </c>
      <c r="AM78" s="28" t="str">
        <f t="shared" si="9"/>
        <v>OK</v>
      </c>
    </row>
    <row r="79" spans="1:39" ht="17.25" hidden="1" thickBot="1">
      <c r="A79" s="87"/>
      <c r="B79" s="93"/>
      <c r="C79" s="94"/>
      <c r="D79" s="88"/>
      <c r="E79" s="88"/>
      <c r="F79" s="88"/>
      <c r="G79" s="89"/>
      <c r="H79" s="104"/>
      <c r="I79" s="105">
        <f t="shared" si="7"/>
        <v>0</v>
      </c>
      <c r="J79" s="90"/>
      <c r="K79" s="91"/>
      <c r="L79" s="113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5"/>
      <c r="AL79" s="92">
        <f t="shared" si="8"/>
        <v>0</v>
      </c>
      <c r="AM79" s="122" t="str">
        <f t="shared" si="9"/>
        <v>OK</v>
      </c>
    </row>
    <row r="80" spans="1:39" ht="17.25" hidden="1" thickBot="1">
      <c r="A80" s="68"/>
      <c r="B80" s="78"/>
      <c r="C80" s="95"/>
      <c r="D80" s="83"/>
      <c r="E80" s="83"/>
      <c r="F80" s="83"/>
      <c r="G80" s="84"/>
      <c r="H80" s="102"/>
      <c r="I80" s="106">
        <f t="shared" si="7"/>
        <v>0</v>
      </c>
      <c r="J80" s="85"/>
      <c r="K80" s="16"/>
      <c r="L80" s="116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66">
        <f t="shared" si="8"/>
        <v>0</v>
      </c>
      <c r="AM80" s="28" t="str">
        <f t="shared" si="9"/>
        <v>OK</v>
      </c>
    </row>
    <row r="81" spans="1:39" ht="17.25" hidden="1" thickBot="1">
      <c r="A81" s="87"/>
      <c r="B81" s="93"/>
      <c r="C81" s="94"/>
      <c r="D81" s="88"/>
      <c r="E81" s="88"/>
      <c r="F81" s="88"/>
      <c r="G81" s="89"/>
      <c r="H81" s="104"/>
      <c r="I81" s="105">
        <f t="shared" si="7"/>
        <v>0</v>
      </c>
      <c r="J81" s="90"/>
      <c r="K81" s="91"/>
      <c r="L81" s="113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5"/>
      <c r="AL81" s="92">
        <f t="shared" ref="AL81:AL96" si="10">SUM(L81:AK81)</f>
        <v>0</v>
      </c>
      <c r="AM81" s="122" t="str">
        <f t="shared" si="9"/>
        <v>OK</v>
      </c>
    </row>
    <row r="82" spans="1:39" ht="17.25" hidden="1" thickBot="1">
      <c r="A82" s="68"/>
      <c r="B82" s="78"/>
      <c r="C82" s="95"/>
      <c r="D82" s="83"/>
      <c r="E82" s="83"/>
      <c r="F82" s="83"/>
      <c r="G82" s="84"/>
      <c r="H82" s="102"/>
      <c r="I82" s="106">
        <f t="shared" si="7"/>
        <v>0</v>
      </c>
      <c r="J82" s="85"/>
      <c r="K82" s="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66">
        <f t="shared" si="10"/>
        <v>0</v>
      </c>
      <c r="AM82" s="28" t="str">
        <f t="shared" si="9"/>
        <v>OK</v>
      </c>
    </row>
    <row r="83" spans="1:39" ht="17.25" hidden="1" thickBot="1">
      <c r="A83" s="96"/>
      <c r="B83" s="93"/>
      <c r="C83" s="94"/>
      <c r="D83" s="88"/>
      <c r="E83" s="88"/>
      <c r="F83" s="88"/>
      <c r="G83" s="89"/>
      <c r="H83" s="104"/>
      <c r="I83" s="105">
        <f t="shared" si="7"/>
        <v>0</v>
      </c>
      <c r="J83" s="90"/>
      <c r="K83" s="91"/>
      <c r="L83" s="113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5"/>
      <c r="AL83" s="92">
        <f t="shared" si="10"/>
        <v>0</v>
      </c>
      <c r="AM83" s="122" t="str">
        <f t="shared" si="9"/>
        <v>OK</v>
      </c>
    </row>
    <row r="84" spans="1:39" ht="17.25" hidden="1" thickBot="1">
      <c r="A84" s="68"/>
      <c r="B84" s="78"/>
      <c r="C84" s="95"/>
      <c r="D84" s="83"/>
      <c r="E84" s="83"/>
      <c r="F84" s="83"/>
      <c r="G84" s="84"/>
      <c r="H84" s="102"/>
      <c r="I84" s="106">
        <f t="shared" si="7"/>
        <v>0</v>
      </c>
      <c r="J84" s="85"/>
      <c r="K84" s="16"/>
      <c r="L84" s="116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66">
        <f t="shared" si="10"/>
        <v>0</v>
      </c>
      <c r="AM84" s="28" t="str">
        <f t="shared" si="9"/>
        <v>OK</v>
      </c>
    </row>
    <row r="85" spans="1:39" ht="17.25" hidden="1" thickBot="1">
      <c r="A85" s="87"/>
      <c r="B85" s="93"/>
      <c r="C85" s="94"/>
      <c r="D85" s="88"/>
      <c r="E85" s="88"/>
      <c r="F85" s="88"/>
      <c r="G85" s="89"/>
      <c r="H85" s="104"/>
      <c r="I85" s="105">
        <f t="shared" si="7"/>
        <v>0</v>
      </c>
      <c r="J85" s="90"/>
      <c r="K85" s="91"/>
      <c r="L85" s="113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5"/>
      <c r="AL85" s="92">
        <f t="shared" si="10"/>
        <v>0</v>
      </c>
      <c r="AM85" s="122" t="str">
        <f t="shared" si="9"/>
        <v>OK</v>
      </c>
    </row>
    <row r="86" spans="1:39" ht="17.25" hidden="1" thickBot="1">
      <c r="A86" s="68"/>
      <c r="B86" s="78"/>
      <c r="C86" s="95"/>
      <c r="D86" s="83"/>
      <c r="E86" s="83"/>
      <c r="F86" s="83"/>
      <c r="G86" s="84"/>
      <c r="H86" s="102"/>
      <c r="I86" s="106">
        <f t="shared" si="7"/>
        <v>0</v>
      </c>
      <c r="J86" s="85"/>
      <c r="K86" s="16"/>
      <c r="L86" s="116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66">
        <f t="shared" si="10"/>
        <v>0</v>
      </c>
      <c r="AM86" s="28" t="str">
        <f t="shared" si="9"/>
        <v>OK</v>
      </c>
    </row>
    <row r="87" spans="1:39" ht="17.25" hidden="1" thickBot="1">
      <c r="A87" s="87"/>
      <c r="B87" s="93"/>
      <c r="C87" s="94"/>
      <c r="D87" s="88"/>
      <c r="E87" s="88"/>
      <c r="F87" s="88"/>
      <c r="G87" s="89"/>
      <c r="H87" s="104"/>
      <c r="I87" s="105">
        <f t="shared" si="7"/>
        <v>0</v>
      </c>
      <c r="J87" s="90"/>
      <c r="K87" s="91"/>
      <c r="L87" s="113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5"/>
      <c r="AL87" s="92">
        <f t="shared" si="10"/>
        <v>0</v>
      </c>
      <c r="AM87" s="122" t="str">
        <f t="shared" si="9"/>
        <v>OK</v>
      </c>
    </row>
    <row r="88" spans="1:39" ht="17.25" hidden="1" thickBot="1">
      <c r="A88" s="68"/>
      <c r="B88" s="78"/>
      <c r="C88" s="95"/>
      <c r="D88" s="83"/>
      <c r="E88" s="83"/>
      <c r="F88" s="83"/>
      <c r="G88" s="84"/>
      <c r="H88" s="102"/>
      <c r="I88" s="106">
        <f t="shared" si="7"/>
        <v>0</v>
      </c>
      <c r="J88" s="85"/>
      <c r="K88" s="16"/>
      <c r="L88" s="116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66">
        <f t="shared" si="10"/>
        <v>0</v>
      </c>
      <c r="AM88" s="28" t="str">
        <f t="shared" si="9"/>
        <v>OK</v>
      </c>
    </row>
    <row r="89" spans="1:39" ht="17.25" hidden="1" thickBot="1">
      <c r="A89" s="87"/>
      <c r="B89" s="93"/>
      <c r="C89" s="94"/>
      <c r="D89" s="88"/>
      <c r="E89" s="88"/>
      <c r="F89" s="88"/>
      <c r="G89" s="89"/>
      <c r="H89" s="104"/>
      <c r="I89" s="105">
        <f t="shared" si="7"/>
        <v>0</v>
      </c>
      <c r="J89" s="90"/>
      <c r="K89" s="91"/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5"/>
      <c r="AL89" s="92">
        <f t="shared" si="10"/>
        <v>0</v>
      </c>
      <c r="AM89" s="122" t="str">
        <f t="shared" si="9"/>
        <v>OK</v>
      </c>
    </row>
    <row r="90" spans="1:39" ht="17.25" hidden="1" thickBot="1">
      <c r="A90" s="68"/>
      <c r="B90" s="78"/>
      <c r="C90" s="95"/>
      <c r="D90" s="83"/>
      <c r="E90" s="83"/>
      <c r="F90" s="83"/>
      <c r="G90" s="84"/>
      <c r="H90" s="102"/>
      <c r="I90" s="106">
        <f t="shared" si="7"/>
        <v>0</v>
      </c>
      <c r="J90" s="85"/>
      <c r="K90" s="16"/>
      <c r="L90" s="116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66">
        <f t="shared" si="10"/>
        <v>0</v>
      </c>
      <c r="AM90" s="28" t="str">
        <f t="shared" si="9"/>
        <v>OK</v>
      </c>
    </row>
    <row r="91" spans="1:39" ht="17.25" hidden="1" thickBot="1">
      <c r="A91" s="87"/>
      <c r="B91" s="93"/>
      <c r="C91" s="94"/>
      <c r="D91" s="88"/>
      <c r="E91" s="88"/>
      <c r="F91" s="88"/>
      <c r="G91" s="89"/>
      <c r="H91" s="104"/>
      <c r="I91" s="105">
        <f t="shared" si="7"/>
        <v>0</v>
      </c>
      <c r="J91" s="90"/>
      <c r="K91" s="91"/>
      <c r="L91" s="113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5"/>
      <c r="AL91" s="92">
        <f t="shared" si="10"/>
        <v>0</v>
      </c>
      <c r="AM91" s="122" t="str">
        <f t="shared" si="9"/>
        <v>OK</v>
      </c>
    </row>
    <row r="92" spans="1:39" ht="17.25" hidden="1" thickBot="1">
      <c r="A92" s="68"/>
      <c r="B92" s="78"/>
      <c r="C92" s="95"/>
      <c r="D92" s="83"/>
      <c r="E92" s="83"/>
      <c r="F92" s="83"/>
      <c r="G92" s="84"/>
      <c r="H92" s="102"/>
      <c r="I92" s="106">
        <f t="shared" si="7"/>
        <v>0</v>
      </c>
      <c r="J92" s="85"/>
      <c r="K92" s="16"/>
      <c r="L92" s="116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66">
        <f t="shared" si="10"/>
        <v>0</v>
      </c>
      <c r="AM92" s="28" t="str">
        <f t="shared" si="9"/>
        <v>OK</v>
      </c>
    </row>
    <row r="93" spans="1:39" ht="17.25" hidden="1" thickBot="1">
      <c r="A93" s="87"/>
      <c r="B93" s="93"/>
      <c r="C93" s="94"/>
      <c r="D93" s="88"/>
      <c r="E93" s="88"/>
      <c r="F93" s="88"/>
      <c r="G93" s="89"/>
      <c r="H93" s="104"/>
      <c r="I93" s="105">
        <f t="shared" si="7"/>
        <v>0</v>
      </c>
      <c r="J93" s="90"/>
      <c r="K93" s="91"/>
      <c r="L93" s="113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5"/>
      <c r="AL93" s="92">
        <f t="shared" si="10"/>
        <v>0</v>
      </c>
      <c r="AM93" s="122" t="str">
        <f t="shared" si="9"/>
        <v>OK</v>
      </c>
    </row>
    <row r="94" spans="1:39" ht="17.25" hidden="1" thickBot="1">
      <c r="A94" s="68"/>
      <c r="B94" s="78"/>
      <c r="C94" s="95"/>
      <c r="D94" s="83"/>
      <c r="E94" s="83"/>
      <c r="F94" s="83"/>
      <c r="G94" s="84"/>
      <c r="H94" s="102"/>
      <c r="I94" s="106">
        <f t="shared" si="7"/>
        <v>0</v>
      </c>
      <c r="J94" s="85"/>
      <c r="K94" s="16"/>
      <c r="L94" s="116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66">
        <f t="shared" si="10"/>
        <v>0</v>
      </c>
      <c r="AM94" s="28" t="str">
        <f t="shared" si="9"/>
        <v>OK</v>
      </c>
    </row>
    <row r="95" spans="1:39" ht="17.25" hidden="1" thickBot="1">
      <c r="A95" s="87"/>
      <c r="B95" s="93"/>
      <c r="C95" s="94"/>
      <c r="D95" s="88"/>
      <c r="E95" s="88"/>
      <c r="F95" s="88"/>
      <c r="G95" s="89"/>
      <c r="H95" s="104"/>
      <c r="I95" s="105">
        <f t="shared" si="7"/>
        <v>0</v>
      </c>
      <c r="J95" s="90"/>
      <c r="K95" s="91"/>
      <c r="L95" s="113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5"/>
      <c r="AL95" s="92">
        <f t="shared" si="10"/>
        <v>0</v>
      </c>
      <c r="AM95" s="122" t="str">
        <f t="shared" si="9"/>
        <v>OK</v>
      </c>
    </row>
    <row r="96" spans="1:39" ht="17.25" hidden="1" thickBot="1">
      <c r="A96" s="97"/>
      <c r="B96" s="98"/>
      <c r="C96" s="99"/>
      <c r="D96" s="83"/>
      <c r="E96" s="83"/>
      <c r="F96" s="83"/>
      <c r="G96" s="84"/>
      <c r="H96" s="107"/>
      <c r="I96" s="108">
        <f t="shared" si="7"/>
        <v>0</v>
      </c>
      <c r="J96" s="85"/>
      <c r="K96" s="16"/>
      <c r="L96" s="119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1"/>
      <c r="AL96" s="66">
        <f t="shared" si="10"/>
        <v>0</v>
      </c>
      <c r="AM96" s="28" t="str">
        <f t="shared" si="9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8127</v>
      </c>
      <c r="I97" s="46">
        <f>SUM(I6:I96)</f>
        <v>5</v>
      </c>
      <c r="J97" s="47">
        <f>SUM(J6:J74)</f>
        <v>0</v>
      </c>
      <c r="K97" s="9"/>
      <c r="L97" s="45">
        <f>SUM(L6:L96)</f>
        <v>5</v>
      </c>
      <c r="M97" s="45">
        <f t="shared" ref="M97:AI97" si="11">SUM(M6:M96)</f>
        <v>0</v>
      </c>
      <c r="N97" s="45">
        <f t="shared" si="11"/>
        <v>0</v>
      </c>
      <c r="O97" s="45">
        <f t="shared" si="11"/>
        <v>0</v>
      </c>
      <c r="P97" s="45">
        <f t="shared" si="11"/>
        <v>0</v>
      </c>
      <c r="Q97" s="45">
        <f t="shared" si="11"/>
        <v>0</v>
      </c>
      <c r="R97" s="45">
        <f t="shared" si="11"/>
        <v>0</v>
      </c>
      <c r="S97" s="45">
        <f t="shared" si="11"/>
        <v>0</v>
      </c>
      <c r="T97" s="45">
        <f t="shared" si="11"/>
        <v>0</v>
      </c>
      <c r="U97" s="45">
        <f t="shared" si="11"/>
        <v>0</v>
      </c>
      <c r="V97" s="45">
        <f t="shared" si="11"/>
        <v>0</v>
      </c>
      <c r="W97" s="45">
        <f t="shared" si="11"/>
        <v>0</v>
      </c>
      <c r="X97" s="45">
        <f t="shared" si="11"/>
        <v>0</v>
      </c>
      <c r="Y97" s="45">
        <f t="shared" si="11"/>
        <v>0</v>
      </c>
      <c r="Z97" s="45">
        <f t="shared" si="11"/>
        <v>0</v>
      </c>
      <c r="AA97" s="45">
        <f t="shared" si="11"/>
        <v>0</v>
      </c>
      <c r="AB97" s="45">
        <f t="shared" si="11"/>
        <v>0</v>
      </c>
      <c r="AC97" s="45">
        <f t="shared" si="11"/>
        <v>0</v>
      </c>
      <c r="AD97" s="45">
        <f t="shared" si="11"/>
        <v>0</v>
      </c>
      <c r="AE97" s="45">
        <f t="shared" si="11"/>
        <v>0</v>
      </c>
      <c r="AF97" s="45">
        <f t="shared" si="11"/>
        <v>0</v>
      </c>
      <c r="AG97" s="45">
        <f t="shared" si="11"/>
        <v>0</v>
      </c>
      <c r="AH97" s="45">
        <f t="shared" si="11"/>
        <v>0</v>
      </c>
      <c r="AI97" s="45">
        <f t="shared" si="11"/>
        <v>0</v>
      </c>
      <c r="AJ97" s="49">
        <f>SUM(AJ6:AJ96)</f>
        <v>0</v>
      </c>
      <c r="AK97" s="61">
        <f>SUM(AK6:AK96)</f>
        <v>0</v>
      </c>
      <c r="AL97" s="67">
        <f>SUM(AL6:AL96)</f>
        <v>5</v>
      </c>
      <c r="AM97" s="48" t="str">
        <f>IF(AL97=SUM(I97),"OK","NG")</f>
        <v>OK</v>
      </c>
    </row>
    <row r="101" spans="1:39">
      <c r="H101" s="86"/>
    </row>
    <row r="102" spans="1:39">
      <c r="H102" s="86"/>
    </row>
    <row r="105" spans="1:39">
      <c r="H105" s="86"/>
    </row>
  </sheetData>
  <autoFilter ref="A5:AM97" xr:uid="{00000000-0001-0000-0600-000000000000}">
    <filterColumn colId="8">
      <filters>
        <filter val="5"/>
      </filters>
    </filterColumn>
  </autoFilter>
  <mergeCells count="37">
    <mergeCell ref="AM4:AM5"/>
    <mergeCell ref="AG4:AG5"/>
    <mergeCell ref="AH4:AH5"/>
    <mergeCell ref="AI4:AI5"/>
    <mergeCell ref="AJ4:AJ5"/>
    <mergeCell ref="AK4:AK5"/>
    <mergeCell ref="AL4:AL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B1:C1"/>
    <mergeCell ref="F1:G1"/>
    <mergeCell ref="H1:J3"/>
    <mergeCell ref="B2:C2"/>
    <mergeCell ref="AM2:AM3"/>
    <mergeCell ref="B3:C3"/>
  </mergeCells>
  <phoneticPr fontId="3" type="noConversion"/>
  <conditionalFormatting sqref="A4 AM6:AM97">
    <cfRule type="containsText" dxfId="71" priority="7" operator="containsText" text="NG">
      <formula>NOT(ISERROR(SEARCH("NG",A4)))</formula>
    </cfRule>
    <cfRule type="containsText" dxfId="70" priority="8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51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AM118"/>
  <sheetViews>
    <sheetView showGridLines="0" zoomScale="85" zoomScaleNormal="85" workbookViewId="0">
      <pane ySplit="5" topLeftCell="A24" activePane="bottomLeft" state="frozen"/>
      <selection activeCell="P19" sqref="P19"/>
      <selection pane="bottomLeft" activeCell="P19" sqref="P19"/>
    </sheetView>
  </sheetViews>
  <sheetFormatPr defaultColWidth="9" defaultRowHeight="16.5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13" width="8.75"/>
    <col min="14" max="14" width="10" bestFit="1" customWidth="1"/>
    <col min="15" max="15" width="8.75"/>
    <col min="16" max="16" width="10" bestFit="1" customWidth="1"/>
    <col min="17" max="20" width="9" customWidth="1"/>
    <col min="21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7" customHeight="1" thickBot="1">
      <c r="A1" s="37" t="s">
        <v>13</v>
      </c>
      <c r="B1" s="168">
        <f>H97</f>
        <v>0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4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7" customHeight="1" thickBot="1">
      <c r="A2" s="37" t="s">
        <v>14</v>
      </c>
      <c r="B2" s="173">
        <f>I97</f>
        <v>0</v>
      </c>
      <c r="C2" s="174"/>
      <c r="D2" s="75"/>
      <c r="E2" s="71"/>
      <c r="F2" s="2"/>
      <c r="G2" s="2"/>
      <c r="H2" s="171"/>
      <c r="I2" s="171"/>
      <c r="J2" s="171"/>
      <c r="K2" s="3"/>
      <c r="L2" s="4">
        <f t="shared" ref="L2:AK2" si="0">SUBTOTAL(9,L6:L96)</f>
        <v>0</v>
      </c>
      <c r="M2" s="4">
        <f t="shared" si="0"/>
        <v>0</v>
      </c>
      <c r="N2" s="4">
        <f t="shared" si="0"/>
        <v>0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4">
        <f t="shared" si="0"/>
        <v>0</v>
      </c>
      <c r="U2" s="4">
        <f t="shared" si="0"/>
        <v>0</v>
      </c>
      <c r="V2" s="4">
        <f t="shared" si="0"/>
        <v>0</v>
      </c>
      <c r="W2" s="4">
        <f t="shared" si="0"/>
        <v>0</v>
      </c>
      <c r="X2" s="4">
        <f t="shared" si="0"/>
        <v>0</v>
      </c>
      <c r="Y2" s="4">
        <f t="shared" si="0"/>
        <v>0</v>
      </c>
      <c r="Z2" s="4">
        <f t="shared" si="0"/>
        <v>0</v>
      </c>
      <c r="AA2" s="4">
        <f t="shared" si="0"/>
        <v>0</v>
      </c>
      <c r="AB2" s="4">
        <f t="shared" si="0"/>
        <v>0</v>
      </c>
      <c r="AC2" s="4">
        <f t="shared" si="0"/>
        <v>0</v>
      </c>
      <c r="AD2" s="4">
        <f t="shared" si="0"/>
        <v>0</v>
      </c>
      <c r="AE2" s="4">
        <f t="shared" si="0"/>
        <v>0</v>
      </c>
      <c r="AF2" s="4">
        <f t="shared" si="0"/>
        <v>0</v>
      </c>
      <c r="AG2" s="4">
        <f t="shared" si="0"/>
        <v>0</v>
      </c>
      <c r="AH2" s="4">
        <f t="shared" si="0"/>
        <v>0</v>
      </c>
      <c r="AI2" s="4">
        <f t="shared" si="0"/>
        <v>0</v>
      </c>
      <c r="AJ2" s="5">
        <f t="shared" si="0"/>
        <v>0</v>
      </c>
      <c r="AK2" s="59">
        <f t="shared" si="0"/>
        <v>0</v>
      </c>
      <c r="AL2" s="62">
        <f>SUBTOTAL(9,AL6:AL96)</f>
        <v>0</v>
      </c>
      <c r="AM2" s="175"/>
    </row>
    <row r="3" spans="1:39" customFormat="1" ht="22.7" customHeight="1" thickBot="1">
      <c r="A3" s="38" t="s">
        <v>15</v>
      </c>
      <c r="B3" s="177" t="str">
        <f>IF(ISERROR(B2/(B2+B1)*1000000),"",(B2/(B2+B1)*1000000))</f>
        <v/>
      </c>
      <c r="C3" s="178"/>
      <c r="D3" s="73"/>
      <c r="E3" s="72"/>
      <c r="F3" s="32"/>
      <c r="G3" s="32"/>
      <c r="H3" s="172"/>
      <c r="I3" s="172"/>
      <c r="J3" s="172"/>
      <c r="K3" s="6"/>
      <c r="L3" s="7">
        <f t="shared" ref="L3:AK3" si="1">SUM(L6:L96)</f>
        <v>0</v>
      </c>
      <c r="M3" s="7">
        <f t="shared" si="1"/>
        <v>0</v>
      </c>
      <c r="N3" s="7">
        <f t="shared" si="1"/>
        <v>0</v>
      </c>
      <c r="O3" s="7">
        <f t="shared" si="1"/>
        <v>0</v>
      </c>
      <c r="P3" s="7">
        <f t="shared" si="1"/>
        <v>0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7">
        <f t="shared" si="1"/>
        <v>0</v>
      </c>
      <c r="U3" s="7">
        <f t="shared" si="1"/>
        <v>0</v>
      </c>
      <c r="V3" s="7">
        <f t="shared" si="1"/>
        <v>0</v>
      </c>
      <c r="W3" s="7">
        <f t="shared" si="1"/>
        <v>0</v>
      </c>
      <c r="X3" s="7">
        <f t="shared" si="1"/>
        <v>0</v>
      </c>
      <c r="Y3" s="7">
        <f t="shared" si="1"/>
        <v>0</v>
      </c>
      <c r="Z3" s="7">
        <f t="shared" si="1"/>
        <v>0</v>
      </c>
      <c r="AA3" s="7">
        <f t="shared" si="1"/>
        <v>0</v>
      </c>
      <c r="AB3" s="7">
        <f t="shared" si="1"/>
        <v>0</v>
      </c>
      <c r="AC3" s="7">
        <f t="shared" si="1"/>
        <v>0</v>
      </c>
      <c r="AD3" s="7">
        <f t="shared" si="1"/>
        <v>0</v>
      </c>
      <c r="AE3" s="7">
        <f t="shared" si="1"/>
        <v>0</v>
      </c>
      <c r="AF3" s="7">
        <f t="shared" si="1"/>
        <v>0</v>
      </c>
      <c r="AG3" s="7">
        <f t="shared" si="1"/>
        <v>0</v>
      </c>
      <c r="AH3" s="7">
        <f t="shared" si="1"/>
        <v>0</v>
      </c>
      <c r="AI3" s="7">
        <f t="shared" si="1"/>
        <v>0</v>
      </c>
      <c r="AJ3" s="8">
        <f t="shared" si="1"/>
        <v>0</v>
      </c>
      <c r="AK3" s="60">
        <f t="shared" si="1"/>
        <v>0</v>
      </c>
      <c r="AL3" s="63">
        <f>SUM(AL6:AL96)</f>
        <v>0</v>
      </c>
      <c r="AM3" s="176"/>
    </row>
    <row r="4" spans="1:39" customFormat="1" ht="43.7" customHeight="1">
      <c r="A4" s="163" t="str">
        <f>AM97</f>
        <v>OK</v>
      </c>
      <c r="B4" s="163"/>
      <c r="C4" s="163"/>
      <c r="D4" s="179"/>
      <c r="E4" s="180" t="s">
        <v>16</v>
      </c>
      <c r="F4" s="181"/>
      <c r="G4" s="182"/>
      <c r="H4" s="180" t="s">
        <v>17</v>
      </c>
      <c r="I4" s="181"/>
      <c r="J4" s="182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0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85" t="s">
        <v>12</v>
      </c>
      <c r="AL4" s="187" t="s">
        <v>36</v>
      </c>
      <c r="AM4" s="183" t="s">
        <v>37</v>
      </c>
    </row>
    <row r="5" spans="1:39" customFormat="1" ht="33.75" thickBot="1">
      <c r="A5" s="34" t="s">
        <v>3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137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52"/>
      <c r="U5" s="152"/>
      <c r="V5" s="153"/>
      <c r="W5" s="153"/>
      <c r="X5" s="152"/>
      <c r="Y5" s="152"/>
      <c r="Z5" s="152"/>
      <c r="AA5" s="152"/>
      <c r="AB5" s="152"/>
      <c r="AC5" s="152"/>
      <c r="AD5" s="153"/>
      <c r="AE5" s="153"/>
      <c r="AF5" s="153"/>
      <c r="AG5" s="153"/>
      <c r="AH5" s="153"/>
      <c r="AI5" s="153"/>
      <c r="AJ5" s="155"/>
      <c r="AK5" s="186"/>
      <c r="AL5" s="188"/>
      <c r="AM5" s="184"/>
    </row>
    <row r="6" spans="1:39" customFormat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34"/>
      <c r="I6" s="15">
        <f>SUM(L6:AK6)</f>
        <v>0</v>
      </c>
      <c r="J6" s="15"/>
      <c r="K6" s="16"/>
      <c r="L6" s="15"/>
      <c r="M6" s="15"/>
      <c r="N6" s="15"/>
      <c r="O6" s="15"/>
      <c r="P6" s="15"/>
      <c r="Q6" s="15"/>
      <c r="R6" s="15"/>
      <c r="S6" s="15"/>
      <c r="T6" s="41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3"/>
      <c r="AJ6" s="56"/>
      <c r="AK6" s="53"/>
      <c r="AL6" s="64">
        <f>SUM(L6:AK6)</f>
        <v>0</v>
      </c>
      <c r="AM6" s="31" t="str">
        <f t="shared" ref="AM6:AM74" si="2">IF(AL6=I6,"OK","NG")</f>
        <v>OK</v>
      </c>
    </row>
    <row r="7" spans="1:39" customFormat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135"/>
      <c r="I7" s="21">
        <f t="shared" ref="I7:I70" si="3">SUM(L7:AK7)</f>
        <v>0</v>
      </c>
      <c r="J7" s="21"/>
      <c r="K7" s="16"/>
      <c r="L7" s="21"/>
      <c r="M7" s="21"/>
      <c r="N7" s="21"/>
      <c r="O7" s="21"/>
      <c r="P7" s="21"/>
      <c r="Q7" s="21"/>
      <c r="R7" s="21"/>
      <c r="S7" s="21"/>
      <c r="T7" s="42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4"/>
      <c r="AJ7" s="57"/>
      <c r="AK7" s="54"/>
      <c r="AL7" s="65">
        <f t="shared" ref="AL7:AL74" si="4">SUM(L7:AK7)</f>
        <v>0</v>
      </c>
      <c r="AM7" s="22" t="str">
        <f t="shared" si="2"/>
        <v>OK</v>
      </c>
    </row>
    <row r="8" spans="1:39" customFormat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36"/>
      <c r="I8" s="27">
        <f t="shared" si="3"/>
        <v>0</v>
      </c>
      <c r="J8" s="27"/>
      <c r="K8" s="16"/>
      <c r="L8" s="27"/>
      <c r="M8" s="27"/>
      <c r="N8" s="27"/>
      <c r="O8" s="27"/>
      <c r="P8" s="27"/>
      <c r="Q8" s="27"/>
      <c r="R8" s="27"/>
      <c r="S8" s="27"/>
      <c r="T8" s="4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5"/>
      <c r="AJ8" s="58"/>
      <c r="AK8" s="55"/>
      <c r="AL8" s="66">
        <f t="shared" si="4"/>
        <v>0</v>
      </c>
      <c r="AM8" s="28" t="str">
        <f t="shared" si="2"/>
        <v>OK</v>
      </c>
    </row>
    <row r="9" spans="1:39" customFormat="1">
      <c r="A9" s="17" t="s">
        <v>68</v>
      </c>
      <c r="B9" s="77">
        <v>10897</v>
      </c>
      <c r="C9" s="17" t="s">
        <v>62</v>
      </c>
      <c r="D9" s="69"/>
      <c r="E9" s="18"/>
      <c r="F9" s="18"/>
      <c r="G9" s="19"/>
      <c r="H9" s="135"/>
      <c r="I9" s="21">
        <f t="shared" si="3"/>
        <v>0</v>
      </c>
      <c r="J9" s="21"/>
      <c r="K9" s="16"/>
      <c r="L9" s="21"/>
      <c r="M9" s="21"/>
      <c r="N9" s="21"/>
      <c r="O9" s="21"/>
      <c r="P9" s="21"/>
      <c r="Q9" s="21"/>
      <c r="R9" s="21"/>
      <c r="S9" s="21"/>
      <c r="T9" s="42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4"/>
      <c r="AJ9" s="57"/>
      <c r="AK9" s="54"/>
      <c r="AL9" s="65">
        <f t="shared" si="4"/>
        <v>0</v>
      </c>
      <c r="AM9" s="22" t="str">
        <f t="shared" si="2"/>
        <v>OK</v>
      </c>
    </row>
    <row r="10" spans="1:39" customFormat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36"/>
      <c r="I10" s="27">
        <f t="shared" si="3"/>
        <v>0</v>
      </c>
      <c r="J10" s="27"/>
      <c r="K10" s="16"/>
      <c r="L10" s="27"/>
      <c r="M10" s="27"/>
      <c r="N10" s="27"/>
      <c r="O10" s="27"/>
      <c r="P10" s="27"/>
      <c r="Q10" s="27"/>
      <c r="R10" s="27"/>
      <c r="S10" s="27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5"/>
      <c r="AJ10" s="58"/>
      <c r="AK10" s="55"/>
      <c r="AL10" s="66">
        <f t="shared" si="4"/>
        <v>0</v>
      </c>
      <c r="AM10" s="28" t="str">
        <f t="shared" si="2"/>
        <v>OK</v>
      </c>
    </row>
    <row r="11" spans="1:39" customFormat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135"/>
      <c r="I11" s="21">
        <f t="shared" si="3"/>
        <v>0</v>
      </c>
      <c r="J11" s="21"/>
      <c r="K11" s="16"/>
      <c r="L11" s="21"/>
      <c r="M11" s="21"/>
      <c r="N11" s="21"/>
      <c r="O11" s="21"/>
      <c r="P11" s="21"/>
      <c r="Q11" s="21"/>
      <c r="R11" s="21"/>
      <c r="S11" s="21"/>
      <c r="T11" s="42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4"/>
      <c r="AJ11" s="57"/>
      <c r="AK11" s="54"/>
      <c r="AL11" s="65">
        <f t="shared" si="4"/>
        <v>0</v>
      </c>
      <c r="AM11" s="22" t="str">
        <f t="shared" si="2"/>
        <v>OK</v>
      </c>
    </row>
    <row r="12" spans="1:39" customFormat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36"/>
      <c r="I12" s="27">
        <f t="shared" si="3"/>
        <v>0</v>
      </c>
      <c r="J12" s="27"/>
      <c r="K12" s="16"/>
      <c r="L12" s="27"/>
      <c r="M12" s="27"/>
      <c r="N12" s="27"/>
      <c r="O12" s="27"/>
      <c r="P12" s="27"/>
      <c r="Q12" s="27"/>
      <c r="R12" s="27"/>
      <c r="S12" s="27"/>
      <c r="T12" s="43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8"/>
      <c r="AK12" s="55"/>
      <c r="AL12" s="66">
        <f t="shared" si="4"/>
        <v>0</v>
      </c>
      <c r="AM12" s="28" t="str">
        <f t="shared" si="2"/>
        <v>OK</v>
      </c>
    </row>
    <row r="13" spans="1:39" customFormat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135"/>
      <c r="I13" s="21">
        <f t="shared" si="3"/>
        <v>0</v>
      </c>
      <c r="J13" s="21"/>
      <c r="K13" s="16"/>
      <c r="L13" s="21"/>
      <c r="M13" s="21"/>
      <c r="N13" s="21"/>
      <c r="O13" s="21"/>
      <c r="P13" s="21"/>
      <c r="Q13" s="21"/>
      <c r="R13" s="21"/>
      <c r="S13" s="21"/>
      <c r="T13" s="4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4"/>
      <c r="AJ13" s="57"/>
      <c r="AK13" s="54"/>
      <c r="AL13" s="65">
        <f t="shared" si="4"/>
        <v>0</v>
      </c>
      <c r="AM13" s="22" t="str">
        <f t="shared" si="2"/>
        <v>OK</v>
      </c>
    </row>
    <row r="14" spans="1:39" customFormat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36"/>
      <c r="I14" s="27">
        <f t="shared" si="3"/>
        <v>0</v>
      </c>
      <c r="J14" s="27"/>
      <c r="K14" s="16"/>
      <c r="L14" s="27"/>
      <c r="M14" s="27"/>
      <c r="N14" s="27"/>
      <c r="O14" s="27"/>
      <c r="P14" s="27"/>
      <c r="Q14" s="27"/>
      <c r="R14" s="27"/>
      <c r="S14" s="27"/>
      <c r="T14" s="43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5"/>
      <c r="AJ14" s="58"/>
      <c r="AK14" s="55"/>
      <c r="AL14" s="66">
        <f t="shared" si="4"/>
        <v>0</v>
      </c>
      <c r="AM14" s="28" t="str">
        <f t="shared" si="2"/>
        <v>OK</v>
      </c>
    </row>
    <row r="15" spans="1:39" customFormat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135"/>
      <c r="I15" s="21">
        <f t="shared" si="3"/>
        <v>0</v>
      </c>
      <c r="J15" s="21"/>
      <c r="K15" s="16"/>
      <c r="L15" s="21"/>
      <c r="M15" s="21"/>
      <c r="N15" s="21"/>
      <c r="O15" s="21"/>
      <c r="P15" s="21"/>
      <c r="Q15" s="21"/>
      <c r="R15" s="21"/>
      <c r="S15" s="21"/>
      <c r="T15" s="42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4"/>
      <c r="AJ15" s="57"/>
      <c r="AK15" s="54"/>
      <c r="AL15" s="65">
        <f t="shared" si="4"/>
        <v>0</v>
      </c>
      <c r="AM15" s="22" t="str">
        <f t="shared" si="2"/>
        <v>OK</v>
      </c>
    </row>
    <row r="16" spans="1:39" customFormat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36"/>
      <c r="I16" s="27">
        <f t="shared" si="3"/>
        <v>0</v>
      </c>
      <c r="J16" s="27"/>
      <c r="K16" s="16"/>
      <c r="L16" s="27"/>
      <c r="M16" s="27"/>
      <c r="N16" s="27"/>
      <c r="O16" s="27"/>
      <c r="P16" s="27"/>
      <c r="Q16" s="27"/>
      <c r="R16" s="27"/>
      <c r="S16" s="27"/>
      <c r="T16" s="43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8"/>
      <c r="AK16" s="55"/>
      <c r="AL16" s="66">
        <f t="shared" si="4"/>
        <v>0</v>
      </c>
      <c r="AM16" s="28" t="str">
        <f t="shared" si="2"/>
        <v>OK</v>
      </c>
    </row>
    <row r="17" spans="1:39" customFormat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135"/>
      <c r="I17" s="21">
        <f t="shared" si="3"/>
        <v>0</v>
      </c>
      <c r="J17" s="21"/>
      <c r="K17" s="16"/>
      <c r="L17" s="21"/>
      <c r="M17" s="21"/>
      <c r="N17" s="21"/>
      <c r="O17" s="21"/>
      <c r="P17" s="21"/>
      <c r="Q17" s="21"/>
      <c r="R17" s="21"/>
      <c r="S17" s="21"/>
      <c r="T17" s="42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4"/>
      <c r="AJ17" s="57"/>
      <c r="AK17" s="54"/>
      <c r="AL17" s="65">
        <f t="shared" si="4"/>
        <v>0</v>
      </c>
      <c r="AM17" s="22" t="str">
        <f t="shared" si="2"/>
        <v>OK</v>
      </c>
    </row>
    <row r="18" spans="1:39" customFormat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36"/>
      <c r="I18" s="27">
        <f t="shared" si="3"/>
        <v>0</v>
      </c>
      <c r="J18" s="27"/>
      <c r="K18" s="16"/>
      <c r="L18" s="27"/>
      <c r="M18" s="27"/>
      <c r="N18" s="27"/>
      <c r="O18" s="27"/>
      <c r="P18" s="27"/>
      <c r="Q18" s="27"/>
      <c r="R18" s="27"/>
      <c r="S18" s="27"/>
      <c r="T18" s="43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8"/>
      <c r="AK18" s="55"/>
      <c r="AL18" s="66">
        <f t="shared" si="4"/>
        <v>0</v>
      </c>
      <c r="AM18" s="28" t="str">
        <f t="shared" si="2"/>
        <v>OK</v>
      </c>
    </row>
    <row r="19" spans="1:39" customFormat="1">
      <c r="A19" s="17" t="s">
        <v>91</v>
      </c>
      <c r="B19" s="77">
        <v>14988</v>
      </c>
      <c r="C19" s="17" t="s">
        <v>64</v>
      </c>
      <c r="D19" s="69"/>
      <c r="E19" s="18"/>
      <c r="F19" s="18"/>
      <c r="G19" s="19"/>
      <c r="H19" s="135"/>
      <c r="I19" s="21">
        <f t="shared" si="3"/>
        <v>0</v>
      </c>
      <c r="J19" s="21"/>
      <c r="K19" s="16"/>
      <c r="L19" s="21"/>
      <c r="M19" s="21"/>
      <c r="N19" s="21"/>
      <c r="O19" s="21"/>
      <c r="P19" s="21"/>
      <c r="Q19" s="21"/>
      <c r="R19" s="21"/>
      <c r="S19" s="21"/>
      <c r="T19" s="42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4"/>
      <c r="AJ19" s="57"/>
      <c r="AK19" s="54"/>
      <c r="AL19" s="65">
        <f t="shared" si="4"/>
        <v>0</v>
      </c>
      <c r="AM19" s="22" t="str">
        <f t="shared" si="2"/>
        <v>OK</v>
      </c>
    </row>
    <row r="20" spans="1:39" customFormat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136"/>
      <c r="I20" s="27">
        <f t="shared" si="3"/>
        <v>0</v>
      </c>
      <c r="J20" s="27"/>
      <c r="K20" s="16"/>
      <c r="L20" s="27"/>
      <c r="M20" s="27"/>
      <c r="N20" s="27"/>
      <c r="O20" s="27"/>
      <c r="P20" s="27"/>
      <c r="Q20" s="27"/>
      <c r="R20" s="27"/>
      <c r="S20" s="27"/>
      <c r="T20" s="43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8"/>
      <c r="AK20" s="55"/>
      <c r="AL20" s="66">
        <f t="shared" si="4"/>
        <v>0</v>
      </c>
      <c r="AM20" s="28" t="str">
        <f t="shared" si="2"/>
        <v>OK</v>
      </c>
    </row>
    <row r="21" spans="1:39" customFormat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135"/>
      <c r="I21" s="21">
        <f t="shared" si="3"/>
        <v>0</v>
      </c>
      <c r="J21" s="21"/>
      <c r="K21" s="16"/>
      <c r="L21" s="21"/>
      <c r="M21" s="21"/>
      <c r="N21" s="21"/>
      <c r="O21" s="21"/>
      <c r="P21" s="21"/>
      <c r="Q21" s="21"/>
      <c r="R21" s="21"/>
      <c r="S21" s="21"/>
      <c r="T21" s="4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4"/>
      <c r="AJ21" s="57"/>
      <c r="AK21" s="54"/>
      <c r="AL21" s="65">
        <f t="shared" si="4"/>
        <v>0</v>
      </c>
      <c r="AM21" s="22" t="str">
        <f t="shared" si="2"/>
        <v>OK</v>
      </c>
    </row>
    <row r="22" spans="1:39" customFormat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36"/>
      <c r="I22" s="27">
        <f t="shared" si="3"/>
        <v>0</v>
      </c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43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5"/>
      <c r="AJ22" s="58"/>
      <c r="AK22" s="55"/>
      <c r="AL22" s="66">
        <f t="shared" si="4"/>
        <v>0</v>
      </c>
      <c r="AM22" s="28" t="str">
        <f t="shared" si="2"/>
        <v>OK</v>
      </c>
    </row>
    <row r="23" spans="1:39" customFormat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135"/>
      <c r="I23" s="21">
        <f t="shared" si="3"/>
        <v>0</v>
      </c>
      <c r="J23" s="21"/>
      <c r="K23" s="16"/>
      <c r="L23" s="21"/>
      <c r="M23" s="21"/>
      <c r="N23" s="21"/>
      <c r="O23" s="21"/>
      <c r="P23" s="21"/>
      <c r="Q23" s="21"/>
      <c r="R23" s="21"/>
      <c r="S23" s="21"/>
      <c r="T23" s="42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7"/>
      <c r="AK23" s="54"/>
      <c r="AL23" s="65">
        <f>SUM(L23:AK23)</f>
        <v>0</v>
      </c>
      <c r="AM23" s="22" t="str">
        <f t="shared" si="2"/>
        <v>OK</v>
      </c>
    </row>
    <row r="24" spans="1:39" customFormat="1">
      <c r="A24" s="68" t="s">
        <v>44</v>
      </c>
      <c r="B24" s="78">
        <v>10163</v>
      </c>
      <c r="C24" s="23" t="s">
        <v>45</v>
      </c>
      <c r="D24" s="24"/>
      <c r="E24" s="24"/>
      <c r="F24" s="24"/>
      <c r="G24" s="25"/>
      <c r="H24" s="136"/>
      <c r="I24" s="27">
        <f t="shared" si="3"/>
        <v>0</v>
      </c>
      <c r="J24" s="27"/>
      <c r="K24" s="16"/>
      <c r="L24" s="27"/>
      <c r="M24" s="27"/>
      <c r="N24" s="27"/>
      <c r="O24" s="27"/>
      <c r="P24" s="27"/>
      <c r="Q24" s="27"/>
      <c r="R24" s="27"/>
      <c r="S24" s="27"/>
      <c r="T24" s="43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5"/>
      <c r="AJ24" s="58"/>
      <c r="AK24" s="55"/>
      <c r="AL24" s="66">
        <f t="shared" si="4"/>
        <v>0</v>
      </c>
      <c r="AM24" s="28" t="str">
        <f t="shared" si="2"/>
        <v>OK</v>
      </c>
    </row>
    <row r="25" spans="1:39" customFormat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135"/>
      <c r="I25" s="21">
        <f t="shared" si="3"/>
        <v>0</v>
      </c>
      <c r="J25" s="21"/>
      <c r="K25" s="16"/>
      <c r="L25" s="21"/>
      <c r="M25" s="21"/>
      <c r="N25" s="21"/>
      <c r="O25" s="21"/>
      <c r="P25" s="21"/>
      <c r="Q25" s="21"/>
      <c r="R25" s="21"/>
      <c r="S25" s="21"/>
      <c r="T25" s="42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4"/>
      <c r="AJ25" s="57"/>
      <c r="AK25" s="54"/>
      <c r="AL25" s="65">
        <f t="shared" si="4"/>
        <v>0</v>
      </c>
      <c r="AM25" s="22" t="str">
        <f t="shared" si="2"/>
        <v>OK</v>
      </c>
    </row>
    <row r="26" spans="1:39" customFormat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36"/>
      <c r="I26" s="27">
        <f t="shared" si="3"/>
        <v>0</v>
      </c>
      <c r="J26" s="27"/>
      <c r="K26" s="16"/>
      <c r="L26" s="27"/>
      <c r="M26" s="27"/>
      <c r="N26" s="27"/>
      <c r="O26" s="27"/>
      <c r="P26" s="27"/>
      <c r="Q26" s="27"/>
      <c r="R26" s="27"/>
      <c r="S26" s="27"/>
      <c r="T26" s="43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8"/>
      <c r="AK26" s="55"/>
      <c r="AL26" s="66">
        <f t="shared" si="4"/>
        <v>0</v>
      </c>
      <c r="AM26" s="28" t="str">
        <f t="shared" si="2"/>
        <v>OK</v>
      </c>
    </row>
    <row r="27" spans="1:39" customFormat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135"/>
      <c r="I27" s="21">
        <f t="shared" si="3"/>
        <v>0</v>
      </c>
      <c r="J27" s="21"/>
      <c r="K27" s="16"/>
      <c r="L27" s="21"/>
      <c r="M27" s="21"/>
      <c r="N27" s="21"/>
      <c r="O27" s="21"/>
      <c r="P27" s="21"/>
      <c r="Q27" s="21"/>
      <c r="R27" s="21"/>
      <c r="S27" s="21"/>
      <c r="T27" s="4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7"/>
      <c r="AK27" s="54"/>
      <c r="AL27" s="65">
        <f t="shared" si="4"/>
        <v>0</v>
      </c>
      <c r="AM27" s="22" t="str">
        <f t="shared" si="2"/>
        <v>OK</v>
      </c>
    </row>
    <row r="28" spans="1:39" customFormat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136"/>
      <c r="I28" s="27">
        <f t="shared" si="3"/>
        <v>0</v>
      </c>
      <c r="J28" s="27"/>
      <c r="K28" s="16"/>
      <c r="L28" s="27"/>
      <c r="M28" s="27"/>
      <c r="N28" s="27"/>
      <c r="O28" s="27"/>
      <c r="P28" s="27"/>
      <c r="Q28" s="27"/>
      <c r="R28" s="27"/>
      <c r="S28" s="27"/>
      <c r="T28" s="43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5"/>
      <c r="AJ28" s="58"/>
      <c r="AK28" s="55"/>
      <c r="AL28" s="66">
        <f t="shared" si="4"/>
        <v>0</v>
      </c>
      <c r="AM28" s="28" t="str">
        <f t="shared" si="2"/>
        <v>OK</v>
      </c>
    </row>
    <row r="29" spans="1:39" customFormat="1">
      <c r="A29" s="80" t="s">
        <v>71</v>
      </c>
      <c r="B29" s="77">
        <v>10151</v>
      </c>
      <c r="C29" s="17" t="s">
        <v>51</v>
      </c>
      <c r="D29" s="69"/>
      <c r="E29" s="18"/>
      <c r="F29" s="18"/>
      <c r="G29" s="19"/>
      <c r="H29" s="135"/>
      <c r="I29" s="21">
        <f t="shared" si="3"/>
        <v>0</v>
      </c>
      <c r="J29" s="21"/>
      <c r="K29" s="16"/>
      <c r="L29" s="21"/>
      <c r="M29" s="21"/>
      <c r="N29" s="21"/>
      <c r="O29" s="21"/>
      <c r="P29" s="21"/>
      <c r="Q29" s="21"/>
      <c r="R29" s="21"/>
      <c r="S29" s="21"/>
      <c r="T29" s="42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4"/>
      <c r="AJ29" s="57"/>
      <c r="AK29" s="54"/>
      <c r="AL29" s="65">
        <f t="shared" si="4"/>
        <v>0</v>
      </c>
      <c r="AM29" s="22" t="str">
        <f t="shared" si="2"/>
        <v>OK</v>
      </c>
    </row>
    <row r="30" spans="1:39" customFormat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137"/>
      <c r="I30" s="27">
        <f t="shared" si="3"/>
        <v>0</v>
      </c>
      <c r="J30" s="27"/>
      <c r="K30" s="16"/>
      <c r="L30" s="27"/>
      <c r="M30" s="27"/>
      <c r="N30" s="27"/>
      <c r="O30" s="27"/>
      <c r="P30" s="27"/>
      <c r="Q30" s="27"/>
      <c r="R30" s="27"/>
      <c r="S30" s="27"/>
      <c r="T30" s="43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5"/>
      <c r="AJ30" s="58"/>
      <c r="AK30" s="55"/>
      <c r="AL30" s="66">
        <f t="shared" si="4"/>
        <v>0</v>
      </c>
      <c r="AM30" s="28" t="str">
        <f t="shared" si="2"/>
        <v>OK</v>
      </c>
    </row>
    <row r="31" spans="1:39" customFormat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135"/>
      <c r="I31" s="21">
        <f t="shared" si="3"/>
        <v>0</v>
      </c>
      <c r="J31" s="21"/>
      <c r="K31" s="16"/>
      <c r="L31" s="21"/>
      <c r="M31" s="21"/>
      <c r="N31" s="21"/>
      <c r="O31" s="21"/>
      <c r="P31" s="21"/>
      <c r="Q31" s="21"/>
      <c r="R31" s="21"/>
      <c r="S31" s="21"/>
      <c r="T31" s="4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7"/>
      <c r="AK31" s="54"/>
      <c r="AL31" s="65">
        <f t="shared" si="4"/>
        <v>0</v>
      </c>
      <c r="AM31" s="22" t="str">
        <f t="shared" si="2"/>
        <v>OK</v>
      </c>
    </row>
    <row r="32" spans="1:39" customFormat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136"/>
      <c r="I32" s="27">
        <f t="shared" si="3"/>
        <v>0</v>
      </c>
      <c r="J32" s="27"/>
      <c r="K32" s="16"/>
      <c r="L32" s="27"/>
      <c r="M32" s="27"/>
      <c r="N32" s="27"/>
      <c r="O32" s="27"/>
      <c r="P32" s="27"/>
      <c r="Q32" s="27"/>
      <c r="R32" s="27"/>
      <c r="S32" s="27"/>
      <c r="T32" s="43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5"/>
      <c r="AJ32" s="58"/>
      <c r="AK32" s="55"/>
      <c r="AL32" s="66">
        <f t="shared" si="4"/>
        <v>0</v>
      </c>
      <c r="AM32" s="28" t="str">
        <f t="shared" si="2"/>
        <v>OK</v>
      </c>
    </row>
    <row r="33" spans="1:39" customFormat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135"/>
      <c r="I33" s="21">
        <f t="shared" si="3"/>
        <v>0</v>
      </c>
      <c r="J33" s="21"/>
      <c r="K33" s="16"/>
      <c r="L33" s="21"/>
      <c r="M33" s="21"/>
      <c r="N33" s="21"/>
      <c r="O33" s="21"/>
      <c r="P33" s="21"/>
      <c r="Q33" s="21"/>
      <c r="R33" s="21"/>
      <c r="S33" s="21"/>
      <c r="T33" s="42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4"/>
      <c r="AJ33" s="57"/>
      <c r="AK33" s="54"/>
      <c r="AL33" s="65">
        <f t="shared" si="4"/>
        <v>0</v>
      </c>
      <c r="AM33" s="22" t="str">
        <f t="shared" si="2"/>
        <v>OK</v>
      </c>
    </row>
    <row r="34" spans="1:39" customFormat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136"/>
      <c r="I34" s="27">
        <f t="shared" si="3"/>
        <v>0</v>
      </c>
      <c r="J34" s="27"/>
      <c r="K34" s="16"/>
      <c r="L34" s="27"/>
      <c r="M34" s="27"/>
      <c r="N34" s="27"/>
      <c r="O34" s="27"/>
      <c r="P34" s="27"/>
      <c r="Q34" s="27"/>
      <c r="R34" s="27"/>
      <c r="S34" s="27"/>
      <c r="T34" s="43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5"/>
      <c r="AJ34" s="58"/>
      <c r="AK34" s="55"/>
      <c r="AL34" s="66">
        <f t="shared" si="4"/>
        <v>0</v>
      </c>
      <c r="AM34" s="28" t="str">
        <f t="shared" si="2"/>
        <v>OK</v>
      </c>
    </row>
    <row r="35" spans="1:39" customFormat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135"/>
      <c r="I35" s="21">
        <f t="shared" si="3"/>
        <v>0</v>
      </c>
      <c r="J35" s="21"/>
      <c r="K35" s="16"/>
      <c r="L35" s="21"/>
      <c r="M35" s="21"/>
      <c r="N35" s="21"/>
      <c r="O35" s="21"/>
      <c r="P35" s="21"/>
      <c r="Q35" s="21"/>
      <c r="R35" s="21"/>
      <c r="S35" s="21"/>
      <c r="T35" s="42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4"/>
      <c r="AJ35" s="57"/>
      <c r="AK35" s="54"/>
      <c r="AL35" s="65">
        <f t="shared" si="4"/>
        <v>0</v>
      </c>
      <c r="AM35" s="22" t="str">
        <f t="shared" si="2"/>
        <v>OK</v>
      </c>
    </row>
    <row r="36" spans="1:39" customFormat="1">
      <c r="A36" s="68" t="s">
        <v>76</v>
      </c>
      <c r="B36" s="78">
        <v>10135</v>
      </c>
      <c r="C36" s="23" t="s">
        <v>56</v>
      </c>
      <c r="D36" s="24"/>
      <c r="E36" s="24"/>
      <c r="F36" s="24"/>
      <c r="G36" s="25"/>
      <c r="H36" s="136"/>
      <c r="I36" s="27">
        <f t="shared" si="3"/>
        <v>0</v>
      </c>
      <c r="J36" s="27"/>
      <c r="K36" s="16"/>
      <c r="L36" s="27"/>
      <c r="M36" s="27"/>
      <c r="N36" s="27"/>
      <c r="O36" s="27"/>
      <c r="P36" s="27"/>
      <c r="Q36" s="27"/>
      <c r="R36" s="27"/>
      <c r="S36" s="27"/>
      <c r="T36" s="43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5"/>
      <c r="AJ36" s="58"/>
      <c r="AK36" s="55"/>
      <c r="AL36" s="66">
        <f t="shared" si="4"/>
        <v>0</v>
      </c>
      <c r="AM36" s="28" t="str">
        <f t="shared" si="2"/>
        <v>OK</v>
      </c>
    </row>
    <row r="37" spans="1:39" customFormat="1">
      <c r="A37" s="80" t="s">
        <v>77</v>
      </c>
      <c r="B37" s="77">
        <v>10133</v>
      </c>
      <c r="C37" s="17" t="s">
        <v>55</v>
      </c>
      <c r="D37" s="69"/>
      <c r="E37" s="18"/>
      <c r="F37" s="18"/>
      <c r="G37" s="19"/>
      <c r="H37" s="135"/>
      <c r="I37" s="21">
        <f t="shared" si="3"/>
        <v>0</v>
      </c>
      <c r="J37" s="21"/>
      <c r="K37" s="16"/>
      <c r="L37" s="21"/>
      <c r="M37" s="21"/>
      <c r="N37" s="21"/>
      <c r="O37" s="21"/>
      <c r="P37" s="21"/>
      <c r="Q37" s="21"/>
      <c r="R37" s="21"/>
      <c r="S37" s="21"/>
      <c r="T37" s="42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4"/>
      <c r="AJ37" s="57"/>
      <c r="AK37" s="54"/>
      <c r="AL37" s="65">
        <f t="shared" si="4"/>
        <v>0</v>
      </c>
      <c r="AM37" s="22" t="str">
        <f t="shared" si="2"/>
        <v>OK</v>
      </c>
    </row>
    <row r="38" spans="1:39" customFormat="1">
      <c r="A38" s="68" t="s">
        <v>78</v>
      </c>
      <c r="B38" s="78">
        <v>10131</v>
      </c>
      <c r="C38" s="23" t="s">
        <v>56</v>
      </c>
      <c r="D38" s="24"/>
      <c r="E38" s="24"/>
      <c r="F38" s="24"/>
      <c r="G38" s="25"/>
      <c r="H38" s="136"/>
      <c r="I38" s="26">
        <f t="shared" si="3"/>
        <v>0</v>
      </c>
      <c r="J38" s="27"/>
      <c r="K38" s="16"/>
      <c r="L38" s="27"/>
      <c r="M38" s="27"/>
      <c r="N38" s="27"/>
      <c r="O38" s="27"/>
      <c r="P38" s="27"/>
      <c r="Q38" s="27"/>
      <c r="R38" s="27"/>
      <c r="S38" s="27"/>
      <c r="T38" s="43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5"/>
      <c r="AJ38" s="58"/>
      <c r="AK38" s="55"/>
      <c r="AL38" s="66">
        <f t="shared" ref="AL38:AL50" si="5">SUM(L38:AK38)</f>
        <v>0</v>
      </c>
      <c r="AM38" s="28" t="str">
        <f t="shared" si="2"/>
        <v>OK</v>
      </c>
    </row>
    <row r="39" spans="1:39" customFormat="1">
      <c r="A39" s="17" t="s">
        <v>79</v>
      </c>
      <c r="B39" s="77">
        <v>10129</v>
      </c>
      <c r="C39" s="17" t="s">
        <v>57</v>
      </c>
      <c r="D39" s="69"/>
      <c r="E39" s="18"/>
      <c r="F39" s="18"/>
      <c r="G39" s="19"/>
      <c r="H39" s="135"/>
      <c r="I39" s="21">
        <f t="shared" si="3"/>
        <v>0</v>
      </c>
      <c r="J39" s="21"/>
      <c r="K39" s="16"/>
      <c r="L39" s="21"/>
      <c r="M39" s="21"/>
      <c r="N39" s="21"/>
      <c r="O39" s="21"/>
      <c r="P39" s="21"/>
      <c r="Q39" s="21"/>
      <c r="R39" s="21"/>
      <c r="S39" s="21"/>
      <c r="T39" s="42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4"/>
      <c r="AJ39" s="57"/>
      <c r="AK39" s="54"/>
      <c r="AL39" s="65">
        <f t="shared" si="5"/>
        <v>0</v>
      </c>
      <c r="AM39" s="22" t="str">
        <f t="shared" si="2"/>
        <v>OK</v>
      </c>
    </row>
    <row r="40" spans="1:39" customFormat="1">
      <c r="A40" s="68" t="s">
        <v>80</v>
      </c>
      <c r="B40" s="78">
        <v>10127</v>
      </c>
      <c r="C40" s="23" t="s">
        <v>58</v>
      </c>
      <c r="D40" s="24"/>
      <c r="E40" s="24"/>
      <c r="F40" s="24"/>
      <c r="G40" s="25"/>
      <c r="H40" s="136"/>
      <c r="I40" s="27">
        <f>SUM(L40:AK40)</f>
        <v>0</v>
      </c>
      <c r="J40" s="27"/>
      <c r="K40" s="16"/>
      <c r="L40" s="27"/>
      <c r="M40" s="27"/>
      <c r="N40" s="27"/>
      <c r="O40" s="27"/>
      <c r="P40" s="27"/>
      <c r="Q40" s="27"/>
      <c r="R40" s="27"/>
      <c r="S40" s="27"/>
      <c r="T40" s="43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5"/>
      <c r="AJ40" s="58"/>
      <c r="AK40" s="55"/>
      <c r="AL40" s="66">
        <f t="shared" si="5"/>
        <v>0</v>
      </c>
      <c r="AM40" s="28" t="str">
        <f t="shared" si="2"/>
        <v>OK</v>
      </c>
    </row>
    <row r="41" spans="1:39" customFormat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135"/>
      <c r="I41" s="21">
        <f t="shared" si="3"/>
        <v>0</v>
      </c>
      <c r="J41" s="21"/>
      <c r="K41" s="16"/>
      <c r="L41" s="21"/>
      <c r="M41" s="21"/>
      <c r="N41" s="21"/>
      <c r="O41" s="21"/>
      <c r="P41" s="21"/>
      <c r="Q41" s="21"/>
      <c r="R41" s="21"/>
      <c r="S41" s="21"/>
      <c r="T41" s="4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4"/>
      <c r="AJ41" s="57"/>
      <c r="AK41" s="54"/>
      <c r="AL41" s="65">
        <f t="shared" si="5"/>
        <v>0</v>
      </c>
      <c r="AM41" s="22" t="str">
        <f t="shared" si="2"/>
        <v>OK</v>
      </c>
    </row>
    <row r="42" spans="1:39" customFormat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136"/>
      <c r="I42" s="27">
        <f t="shared" si="3"/>
        <v>0</v>
      </c>
      <c r="J42" s="27"/>
      <c r="K42" s="16"/>
      <c r="L42" s="27"/>
      <c r="M42" s="27"/>
      <c r="N42" s="27"/>
      <c r="O42" s="27"/>
      <c r="P42" s="27"/>
      <c r="Q42" s="27"/>
      <c r="R42" s="27"/>
      <c r="S42" s="27"/>
      <c r="T42" s="43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5"/>
      <c r="AJ42" s="58"/>
      <c r="AK42" s="55"/>
      <c r="AL42" s="66">
        <f t="shared" si="5"/>
        <v>0</v>
      </c>
      <c r="AM42" s="28" t="str">
        <f t="shared" si="2"/>
        <v>OK</v>
      </c>
    </row>
    <row r="43" spans="1:39" customFormat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135"/>
      <c r="I43" s="21">
        <f t="shared" si="3"/>
        <v>0</v>
      </c>
      <c r="J43" s="21"/>
      <c r="K43" s="16"/>
      <c r="L43" s="21"/>
      <c r="M43" s="21"/>
      <c r="N43" s="21"/>
      <c r="O43" s="21"/>
      <c r="P43" s="21"/>
      <c r="Q43" s="21"/>
      <c r="R43" s="21"/>
      <c r="S43" s="21"/>
      <c r="T43" s="42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4"/>
      <c r="AJ43" s="57"/>
      <c r="AK43" s="54"/>
      <c r="AL43" s="65">
        <f t="shared" si="5"/>
        <v>0</v>
      </c>
      <c r="AM43" s="22" t="str">
        <f t="shared" si="2"/>
        <v>OK</v>
      </c>
    </row>
    <row r="44" spans="1:39" customFormat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136"/>
      <c r="I44" s="27">
        <f t="shared" si="3"/>
        <v>0</v>
      </c>
      <c r="J44" s="27"/>
      <c r="K44" s="16"/>
      <c r="L44" s="27"/>
      <c r="M44" s="27"/>
      <c r="N44" s="27"/>
      <c r="O44" s="27"/>
      <c r="P44" s="27"/>
      <c r="Q44" s="27"/>
      <c r="R44" s="27"/>
      <c r="S44" s="27"/>
      <c r="T44" s="43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5"/>
      <c r="AJ44" s="58"/>
      <c r="AK44" s="55"/>
      <c r="AL44" s="66">
        <f t="shared" si="5"/>
        <v>0</v>
      </c>
      <c r="AM44" s="28" t="str">
        <f t="shared" si="2"/>
        <v>OK</v>
      </c>
    </row>
    <row r="45" spans="1:39" customFormat="1">
      <c r="A45" s="17" t="s">
        <v>107</v>
      </c>
      <c r="B45" s="77">
        <v>13467</v>
      </c>
      <c r="C45" s="17" t="s">
        <v>87</v>
      </c>
      <c r="D45" s="69"/>
      <c r="E45" s="18"/>
      <c r="F45" s="18"/>
      <c r="G45" s="19"/>
      <c r="H45" s="135"/>
      <c r="I45" s="21">
        <f t="shared" si="3"/>
        <v>0</v>
      </c>
      <c r="J45" s="21"/>
      <c r="K45" s="16"/>
      <c r="L45" s="21"/>
      <c r="M45" s="21"/>
      <c r="N45" s="21"/>
      <c r="O45" s="21"/>
      <c r="P45" s="21"/>
      <c r="Q45" s="21"/>
      <c r="R45" s="21"/>
      <c r="S45" s="21"/>
      <c r="T45" s="4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4"/>
      <c r="AJ45" s="57"/>
      <c r="AK45" s="54"/>
      <c r="AL45" s="65">
        <f t="shared" si="5"/>
        <v>0</v>
      </c>
      <c r="AM45" s="22" t="str">
        <f t="shared" si="2"/>
        <v>OK</v>
      </c>
    </row>
    <row r="46" spans="1:39" customFormat="1">
      <c r="A46" s="68" t="s">
        <v>111</v>
      </c>
      <c r="B46" s="78">
        <v>15948</v>
      </c>
      <c r="C46" s="23" t="s">
        <v>87</v>
      </c>
      <c r="D46" s="24"/>
      <c r="E46" s="24"/>
      <c r="F46" s="24"/>
      <c r="G46" s="25"/>
      <c r="H46" s="136"/>
      <c r="I46" s="27">
        <f t="shared" si="3"/>
        <v>0</v>
      </c>
      <c r="J46" s="27"/>
      <c r="K46" s="16"/>
      <c r="L46" s="27"/>
      <c r="M46" s="27"/>
      <c r="N46" s="27"/>
      <c r="O46" s="27"/>
      <c r="P46" s="27"/>
      <c r="Q46" s="27"/>
      <c r="R46" s="27"/>
      <c r="S46" s="27"/>
      <c r="T46" s="43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5"/>
      <c r="AJ46" s="58"/>
      <c r="AK46" s="55"/>
      <c r="AL46" s="66">
        <f t="shared" si="5"/>
        <v>0</v>
      </c>
      <c r="AM46" s="28" t="str">
        <f t="shared" si="2"/>
        <v>OK</v>
      </c>
    </row>
    <row r="47" spans="1:39" customFormat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135"/>
      <c r="I47" s="21">
        <f t="shared" si="3"/>
        <v>0</v>
      </c>
      <c r="J47" s="21"/>
      <c r="K47" s="16"/>
      <c r="L47" s="21"/>
      <c r="M47" s="21"/>
      <c r="N47" s="21"/>
      <c r="O47" s="21"/>
      <c r="P47" s="21"/>
      <c r="Q47" s="21"/>
      <c r="R47" s="21"/>
      <c r="S47" s="21"/>
      <c r="T47" s="42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4"/>
      <c r="AJ47" s="57"/>
      <c r="AK47" s="54"/>
      <c r="AL47" s="65">
        <f t="shared" si="5"/>
        <v>0</v>
      </c>
      <c r="AM47" s="22" t="str">
        <f t="shared" si="2"/>
        <v>OK</v>
      </c>
    </row>
    <row r="48" spans="1:39" customFormat="1">
      <c r="A48" s="68" t="s">
        <v>121</v>
      </c>
      <c r="B48" s="78">
        <v>16598</v>
      </c>
      <c r="C48" s="23" t="s">
        <v>87</v>
      </c>
      <c r="D48" s="24"/>
      <c r="E48" s="24"/>
      <c r="F48" s="24"/>
      <c r="G48" s="25"/>
      <c r="H48" s="136"/>
      <c r="I48" s="27">
        <f t="shared" si="3"/>
        <v>0</v>
      </c>
      <c r="J48" s="27"/>
      <c r="K48" s="16"/>
      <c r="L48" s="27"/>
      <c r="M48" s="27"/>
      <c r="N48" s="27"/>
      <c r="O48" s="27"/>
      <c r="P48" s="27"/>
      <c r="Q48" s="27"/>
      <c r="R48" s="27"/>
      <c r="S48" s="27"/>
      <c r="T48" s="43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5"/>
      <c r="AJ48" s="58"/>
      <c r="AK48" s="55"/>
      <c r="AL48" s="66">
        <f t="shared" si="5"/>
        <v>0</v>
      </c>
      <c r="AM48" s="28" t="str">
        <f t="shared" si="2"/>
        <v>OK</v>
      </c>
    </row>
    <row r="49" spans="1:39" customFormat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135"/>
      <c r="I49" s="21">
        <f t="shared" si="3"/>
        <v>0</v>
      </c>
      <c r="J49" s="21"/>
      <c r="K49" s="16"/>
      <c r="L49" s="21"/>
      <c r="M49" s="21"/>
      <c r="N49" s="21"/>
      <c r="O49" s="21"/>
      <c r="P49" s="21"/>
      <c r="Q49" s="21"/>
      <c r="R49" s="21"/>
      <c r="S49" s="21"/>
      <c r="T49" s="4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4"/>
      <c r="AJ49" s="57"/>
      <c r="AK49" s="54"/>
      <c r="AL49" s="65">
        <f t="shared" si="5"/>
        <v>0</v>
      </c>
      <c r="AM49" s="22" t="str">
        <f t="shared" si="2"/>
        <v>OK</v>
      </c>
    </row>
    <row r="50" spans="1:39" customFormat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136"/>
      <c r="I50" s="27">
        <f t="shared" si="3"/>
        <v>0</v>
      </c>
      <c r="J50" s="27"/>
      <c r="K50" s="16"/>
      <c r="L50" s="27"/>
      <c r="M50" s="27"/>
      <c r="N50" s="27"/>
      <c r="O50" s="27"/>
      <c r="P50" s="27"/>
      <c r="Q50" s="27"/>
      <c r="R50" s="27"/>
      <c r="S50" s="27"/>
      <c r="T50" s="43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8"/>
      <c r="AK50" s="55"/>
      <c r="AL50" s="66">
        <f t="shared" si="5"/>
        <v>0</v>
      </c>
      <c r="AM50" s="28" t="str">
        <f t="shared" si="2"/>
        <v>OK</v>
      </c>
    </row>
    <row r="51" spans="1:39" customFormat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135"/>
      <c r="I51" s="21">
        <f t="shared" si="3"/>
        <v>0</v>
      </c>
      <c r="J51" s="21"/>
      <c r="K51" s="16"/>
      <c r="L51" s="21"/>
      <c r="M51" s="21"/>
      <c r="N51" s="21"/>
      <c r="O51" s="21"/>
      <c r="P51" s="21"/>
      <c r="Q51" s="21"/>
      <c r="R51" s="21"/>
      <c r="S51" s="21"/>
      <c r="T51" s="4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4"/>
      <c r="AJ51" s="57"/>
      <c r="AK51" s="54"/>
      <c r="AL51" s="65">
        <f>SUM(L51:AK51)</f>
        <v>0</v>
      </c>
      <c r="AM51" s="22" t="str">
        <f t="shared" si="2"/>
        <v>OK</v>
      </c>
    </row>
    <row r="52" spans="1:39" customFormat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136"/>
      <c r="I52" s="27">
        <f t="shared" si="3"/>
        <v>0</v>
      </c>
      <c r="J52" s="27"/>
      <c r="K52" s="16"/>
      <c r="L52" s="27"/>
      <c r="M52" s="27"/>
      <c r="N52" s="27"/>
      <c r="O52" s="27"/>
      <c r="P52" s="27"/>
      <c r="Q52" s="27"/>
      <c r="R52" s="27"/>
      <c r="S52" s="27"/>
      <c r="T52" s="43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5"/>
      <c r="AJ52" s="58"/>
      <c r="AK52" s="55"/>
      <c r="AL52" s="66">
        <f t="shared" ref="AL52:AL64" si="6">SUM(L52:AK52)</f>
        <v>0</v>
      </c>
      <c r="AM52" s="28" t="str">
        <f t="shared" si="2"/>
        <v>OK</v>
      </c>
    </row>
    <row r="53" spans="1:39" customFormat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135"/>
      <c r="I53" s="21">
        <f t="shared" si="3"/>
        <v>0</v>
      </c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42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4"/>
      <c r="AJ53" s="57"/>
      <c r="AK53" s="54"/>
      <c r="AL53" s="65">
        <f t="shared" si="6"/>
        <v>0</v>
      </c>
      <c r="AM53" s="22" t="str">
        <f t="shared" si="2"/>
        <v>OK</v>
      </c>
    </row>
    <row r="54" spans="1:39" customFormat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136"/>
      <c r="I54" s="27">
        <f t="shared" si="3"/>
        <v>0</v>
      </c>
      <c r="J54" s="27"/>
      <c r="K54" s="16"/>
      <c r="L54" s="27"/>
      <c r="M54" s="27"/>
      <c r="N54" s="27"/>
      <c r="O54" s="27"/>
      <c r="P54" s="27"/>
      <c r="Q54" s="27"/>
      <c r="R54" s="27"/>
      <c r="S54" s="27"/>
      <c r="T54" s="43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5"/>
      <c r="AJ54" s="58"/>
      <c r="AK54" s="55"/>
      <c r="AL54" s="66">
        <f t="shared" si="6"/>
        <v>0</v>
      </c>
      <c r="AM54" s="28" t="str">
        <f t="shared" si="2"/>
        <v>OK</v>
      </c>
    </row>
    <row r="55" spans="1:39" customFormat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135"/>
      <c r="I55" s="21">
        <f t="shared" si="3"/>
        <v>0</v>
      </c>
      <c r="J55" s="21"/>
      <c r="K55" s="16"/>
      <c r="L55" s="21"/>
      <c r="M55" s="21"/>
      <c r="N55" s="21"/>
      <c r="O55" s="21"/>
      <c r="P55" s="21"/>
      <c r="Q55" s="21"/>
      <c r="R55" s="21"/>
      <c r="S55" s="21"/>
      <c r="T55" s="42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4"/>
      <c r="AJ55" s="57"/>
      <c r="AK55" s="54"/>
      <c r="AL55" s="65">
        <f t="shared" si="6"/>
        <v>0</v>
      </c>
      <c r="AM55" s="22" t="str">
        <f t="shared" si="2"/>
        <v>OK</v>
      </c>
    </row>
    <row r="56" spans="1:39" customFormat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136"/>
      <c r="I56" s="27">
        <f t="shared" si="3"/>
        <v>0</v>
      </c>
      <c r="J56" s="27"/>
      <c r="K56" s="16"/>
      <c r="L56" s="27"/>
      <c r="M56" s="27"/>
      <c r="N56" s="27"/>
      <c r="O56" s="27"/>
      <c r="P56" s="27"/>
      <c r="Q56" s="27"/>
      <c r="R56" s="27"/>
      <c r="S56" s="27"/>
      <c r="T56" s="43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5"/>
      <c r="AJ56" s="58"/>
      <c r="AK56" s="55"/>
      <c r="AL56" s="66">
        <f t="shared" si="6"/>
        <v>0</v>
      </c>
      <c r="AM56" s="28" t="str">
        <f t="shared" si="2"/>
        <v>OK</v>
      </c>
    </row>
    <row r="57" spans="1:39" customFormat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135"/>
      <c r="I57" s="21">
        <f t="shared" si="3"/>
        <v>0</v>
      </c>
      <c r="J57" s="21"/>
      <c r="K57" s="16"/>
      <c r="L57" s="21"/>
      <c r="M57" s="21"/>
      <c r="N57" s="21"/>
      <c r="O57" s="21"/>
      <c r="P57" s="21"/>
      <c r="Q57" s="21"/>
      <c r="R57" s="21"/>
      <c r="S57" s="21"/>
      <c r="T57" s="42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4"/>
      <c r="AJ57" s="57"/>
      <c r="AK57" s="54"/>
      <c r="AL57" s="65">
        <f t="shared" si="6"/>
        <v>0</v>
      </c>
      <c r="AM57" s="22" t="str">
        <f t="shared" si="2"/>
        <v>OK</v>
      </c>
    </row>
    <row r="58" spans="1:39" customFormat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136"/>
      <c r="I58" s="27">
        <f t="shared" si="3"/>
        <v>0</v>
      </c>
      <c r="J58" s="27"/>
      <c r="K58" s="16"/>
      <c r="L58" s="27"/>
      <c r="M58" s="27"/>
      <c r="N58" s="27"/>
      <c r="O58" s="27"/>
      <c r="P58" s="27"/>
      <c r="Q58" s="27"/>
      <c r="R58" s="27"/>
      <c r="S58" s="27"/>
      <c r="T58" s="43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5"/>
      <c r="AJ58" s="58"/>
      <c r="AK58" s="55"/>
      <c r="AL58" s="66">
        <f t="shared" si="6"/>
        <v>0</v>
      </c>
      <c r="AM58" s="28" t="str">
        <f t="shared" si="2"/>
        <v>OK</v>
      </c>
    </row>
    <row r="59" spans="1:39" customFormat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135"/>
      <c r="I59" s="21">
        <f t="shared" si="3"/>
        <v>0</v>
      </c>
      <c r="J59" s="21"/>
      <c r="K59" s="16"/>
      <c r="L59" s="21"/>
      <c r="M59" s="21"/>
      <c r="N59" s="21"/>
      <c r="O59" s="21"/>
      <c r="P59" s="21"/>
      <c r="Q59" s="21"/>
      <c r="R59" s="21"/>
      <c r="S59" s="21"/>
      <c r="T59" s="4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4"/>
      <c r="AJ59" s="57"/>
      <c r="AK59" s="54"/>
      <c r="AL59" s="65">
        <f t="shared" si="6"/>
        <v>0</v>
      </c>
      <c r="AM59" s="22" t="str">
        <f t="shared" si="2"/>
        <v>OK</v>
      </c>
    </row>
    <row r="60" spans="1:39" customFormat="1">
      <c r="A60" s="68" t="s">
        <v>84</v>
      </c>
      <c r="B60" s="78">
        <v>11380</v>
      </c>
      <c r="C60" s="23" t="s">
        <v>156</v>
      </c>
      <c r="D60" s="24"/>
      <c r="E60" s="24"/>
      <c r="F60" s="24"/>
      <c r="G60" s="25"/>
      <c r="H60" s="136"/>
      <c r="I60" s="27">
        <f t="shared" si="3"/>
        <v>0</v>
      </c>
      <c r="J60" s="27"/>
      <c r="K60" s="16"/>
      <c r="L60" s="27"/>
      <c r="M60" s="27"/>
      <c r="N60" s="27"/>
      <c r="O60" s="27"/>
      <c r="P60" s="27"/>
      <c r="Q60" s="27"/>
      <c r="R60" s="27"/>
      <c r="S60" s="27"/>
      <c r="T60" s="43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5"/>
      <c r="AJ60" s="58"/>
      <c r="AK60" s="55"/>
      <c r="AL60" s="66">
        <f t="shared" si="6"/>
        <v>0</v>
      </c>
      <c r="AM60" s="28" t="str">
        <f t="shared" si="2"/>
        <v>OK</v>
      </c>
    </row>
    <row r="61" spans="1:39" customFormat="1">
      <c r="A61" s="80" t="s">
        <v>112</v>
      </c>
      <c r="B61" s="77">
        <v>18518</v>
      </c>
      <c r="C61" s="17" t="s">
        <v>87</v>
      </c>
      <c r="D61" s="69"/>
      <c r="E61" s="18"/>
      <c r="F61" s="18"/>
      <c r="G61" s="19"/>
      <c r="H61" s="135"/>
      <c r="I61" s="21">
        <f t="shared" si="3"/>
        <v>0</v>
      </c>
      <c r="J61" s="21"/>
      <c r="K61" s="16"/>
      <c r="L61" s="21"/>
      <c r="M61" s="21"/>
      <c r="N61" s="21"/>
      <c r="O61" s="21"/>
      <c r="P61" s="21"/>
      <c r="Q61" s="21"/>
      <c r="R61" s="21"/>
      <c r="S61" s="21"/>
      <c r="T61" s="4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4"/>
      <c r="AJ61" s="57"/>
      <c r="AK61" s="54"/>
      <c r="AL61" s="65">
        <f t="shared" si="6"/>
        <v>0</v>
      </c>
      <c r="AM61" s="22" t="str">
        <f t="shared" si="2"/>
        <v>OK</v>
      </c>
    </row>
    <row r="62" spans="1:39" customFormat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136"/>
      <c r="I62" s="27">
        <f t="shared" si="3"/>
        <v>0</v>
      </c>
      <c r="J62" s="27"/>
      <c r="K62" s="16"/>
      <c r="L62" s="27"/>
      <c r="M62" s="27"/>
      <c r="N62" s="27"/>
      <c r="O62" s="27"/>
      <c r="P62" s="27"/>
      <c r="Q62" s="27"/>
      <c r="R62" s="27"/>
      <c r="S62" s="27"/>
      <c r="T62" s="43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5"/>
      <c r="AJ62" s="58"/>
      <c r="AK62" s="55"/>
      <c r="AL62" s="66">
        <f t="shared" si="6"/>
        <v>0</v>
      </c>
      <c r="AM62" s="28" t="str">
        <f t="shared" si="2"/>
        <v>OK</v>
      </c>
    </row>
    <row r="63" spans="1:39" customFormat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135"/>
      <c r="I63" s="21">
        <f t="shared" si="3"/>
        <v>0</v>
      </c>
      <c r="J63" s="21"/>
      <c r="K63" s="16"/>
      <c r="L63" s="21"/>
      <c r="M63" s="21"/>
      <c r="N63" s="21"/>
      <c r="O63" s="21"/>
      <c r="P63" s="21"/>
      <c r="Q63" s="21"/>
      <c r="R63" s="21"/>
      <c r="S63" s="21"/>
      <c r="T63" s="4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4"/>
      <c r="AJ63" s="57"/>
      <c r="AK63" s="54"/>
      <c r="AL63" s="65">
        <f t="shared" si="6"/>
        <v>0</v>
      </c>
      <c r="AM63" s="22" t="str">
        <f t="shared" si="2"/>
        <v>OK</v>
      </c>
    </row>
    <row r="64" spans="1:39" customFormat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136"/>
      <c r="I64" s="27">
        <f t="shared" si="3"/>
        <v>0</v>
      </c>
      <c r="J64" s="27"/>
      <c r="K64" s="16"/>
      <c r="L64" s="27"/>
      <c r="M64" s="27"/>
      <c r="N64" s="27"/>
      <c r="O64" s="27"/>
      <c r="P64" s="27"/>
      <c r="Q64" s="27"/>
      <c r="R64" s="27"/>
      <c r="S64" s="27"/>
      <c r="T64" s="43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5"/>
      <c r="AJ64" s="58"/>
      <c r="AK64" s="55"/>
      <c r="AL64" s="66">
        <f t="shared" si="6"/>
        <v>0</v>
      </c>
      <c r="AM64" s="28" t="str">
        <f t="shared" si="2"/>
        <v>OK</v>
      </c>
    </row>
    <row r="65" spans="1:39" customFormat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135"/>
      <c r="I65" s="21">
        <f t="shared" si="3"/>
        <v>0</v>
      </c>
      <c r="J65" s="21"/>
      <c r="K65" s="16"/>
      <c r="L65" s="21"/>
      <c r="M65" s="21"/>
      <c r="N65" s="21"/>
      <c r="O65" s="21"/>
      <c r="P65" s="21"/>
      <c r="Q65" s="21"/>
      <c r="R65" s="21"/>
      <c r="S65" s="21"/>
      <c r="T65" s="4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4"/>
      <c r="AJ65" s="57"/>
      <c r="AK65" s="54"/>
      <c r="AL65" s="65">
        <f t="shared" si="4"/>
        <v>0</v>
      </c>
      <c r="AM65" s="22" t="str">
        <f t="shared" si="2"/>
        <v>OK</v>
      </c>
    </row>
    <row r="66" spans="1:39" customFormat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136"/>
      <c r="I66" s="27">
        <f t="shared" si="3"/>
        <v>0</v>
      </c>
      <c r="J66" s="27"/>
      <c r="K66" s="16"/>
      <c r="L66" s="27"/>
      <c r="M66" s="27"/>
      <c r="N66" s="27"/>
      <c r="O66" s="27"/>
      <c r="P66" s="27"/>
      <c r="Q66" s="27"/>
      <c r="R66" s="27"/>
      <c r="S66" s="27"/>
      <c r="T66" s="43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5"/>
      <c r="AJ66" s="58"/>
      <c r="AK66" s="55"/>
      <c r="AL66" s="66">
        <f t="shared" si="4"/>
        <v>0</v>
      </c>
      <c r="AM66" s="28" t="str">
        <f t="shared" si="2"/>
        <v>OK</v>
      </c>
    </row>
    <row r="67" spans="1:39" customFormat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135"/>
      <c r="I67" s="21">
        <f t="shared" si="3"/>
        <v>0</v>
      </c>
      <c r="J67" s="21"/>
      <c r="K67" s="16"/>
      <c r="L67" s="21"/>
      <c r="M67" s="21"/>
      <c r="N67" s="21"/>
      <c r="O67" s="21"/>
      <c r="P67" s="21"/>
      <c r="Q67" s="21"/>
      <c r="R67" s="21"/>
      <c r="S67" s="21"/>
      <c r="T67" s="4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4"/>
      <c r="AJ67" s="57"/>
      <c r="AK67" s="54"/>
      <c r="AL67" s="65">
        <f t="shared" si="4"/>
        <v>0</v>
      </c>
      <c r="AM67" s="22" t="str">
        <f t="shared" si="2"/>
        <v>OK</v>
      </c>
    </row>
    <row r="68" spans="1:39" customFormat="1">
      <c r="A68" s="81" t="s">
        <v>132</v>
      </c>
      <c r="B68" s="78">
        <v>20269</v>
      </c>
      <c r="C68" s="23" t="s">
        <v>131</v>
      </c>
      <c r="D68" s="24"/>
      <c r="E68" s="24"/>
      <c r="F68" s="24"/>
      <c r="G68" s="25"/>
      <c r="H68" s="136"/>
      <c r="I68" s="27">
        <f t="shared" si="3"/>
        <v>0</v>
      </c>
      <c r="J68" s="27"/>
      <c r="K68" s="16"/>
      <c r="L68" s="27"/>
      <c r="M68" s="27"/>
      <c r="N68" s="27"/>
      <c r="O68" s="27"/>
      <c r="P68" s="27"/>
      <c r="Q68" s="27"/>
      <c r="R68" s="27"/>
      <c r="S68" s="27"/>
      <c r="T68" s="43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5"/>
      <c r="AJ68" s="58"/>
      <c r="AK68" s="55"/>
      <c r="AL68" s="66">
        <f t="shared" si="4"/>
        <v>0</v>
      </c>
      <c r="AM68" s="28" t="str">
        <f t="shared" si="2"/>
        <v>OK</v>
      </c>
    </row>
    <row r="69" spans="1:39" customFormat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135"/>
      <c r="I69" s="21">
        <f t="shared" si="3"/>
        <v>0</v>
      </c>
      <c r="J69" s="21"/>
      <c r="K69" s="16"/>
      <c r="L69" s="21"/>
      <c r="M69" s="21"/>
      <c r="N69" s="21"/>
      <c r="O69" s="21"/>
      <c r="P69" s="21"/>
      <c r="Q69" s="21"/>
      <c r="R69" s="21"/>
      <c r="S69" s="21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7"/>
      <c r="AK69" s="54"/>
      <c r="AL69" s="65">
        <f t="shared" si="4"/>
        <v>0</v>
      </c>
      <c r="AM69" s="22" t="str">
        <f t="shared" si="2"/>
        <v>OK</v>
      </c>
    </row>
    <row r="70" spans="1:39" customFormat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136"/>
      <c r="I70" s="27">
        <f t="shared" si="3"/>
        <v>0</v>
      </c>
      <c r="J70" s="27"/>
      <c r="K70" s="16"/>
      <c r="L70" s="27"/>
      <c r="M70" s="27"/>
      <c r="N70" s="27"/>
      <c r="O70" s="27"/>
      <c r="P70" s="27"/>
      <c r="Q70" s="27"/>
      <c r="R70" s="27"/>
      <c r="S70" s="27"/>
      <c r="T70" s="43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5"/>
      <c r="AJ70" s="58"/>
      <c r="AK70" s="55"/>
      <c r="AL70" s="66">
        <f t="shared" si="4"/>
        <v>0</v>
      </c>
      <c r="AM70" s="28" t="str">
        <f t="shared" si="2"/>
        <v>OK</v>
      </c>
    </row>
    <row r="71" spans="1:39" customFormat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135"/>
      <c r="I71" s="21">
        <f t="shared" ref="I71:I96" si="7">SUM(L71:AK71)</f>
        <v>0</v>
      </c>
      <c r="J71" s="21"/>
      <c r="K71" s="16"/>
      <c r="L71" s="21"/>
      <c r="M71" s="21"/>
      <c r="N71" s="21"/>
      <c r="O71" s="21"/>
      <c r="P71" s="21"/>
      <c r="Q71" s="21"/>
      <c r="R71" s="21"/>
      <c r="S71" s="21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4"/>
      <c r="AJ71" s="57"/>
      <c r="AK71" s="54"/>
      <c r="AL71" s="65">
        <f t="shared" si="4"/>
        <v>0</v>
      </c>
      <c r="AM71" s="22" t="str">
        <f t="shared" si="2"/>
        <v>OK</v>
      </c>
    </row>
    <row r="72" spans="1:39" customFormat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136"/>
      <c r="I72" s="27">
        <f t="shared" si="7"/>
        <v>0</v>
      </c>
      <c r="J72" s="27"/>
      <c r="K72" s="16"/>
      <c r="L72" s="27"/>
      <c r="M72" s="27"/>
      <c r="N72" s="27"/>
      <c r="O72" s="27"/>
      <c r="P72" s="27"/>
      <c r="Q72" s="27"/>
      <c r="R72" s="27"/>
      <c r="S72" s="27"/>
      <c r="T72" s="43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5"/>
      <c r="AJ72" s="58"/>
      <c r="AK72" s="55"/>
      <c r="AL72" s="66">
        <f t="shared" si="4"/>
        <v>0</v>
      </c>
      <c r="AM72" s="28" t="str">
        <f t="shared" si="2"/>
        <v>OK</v>
      </c>
    </row>
    <row r="73" spans="1:39" customFormat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138"/>
      <c r="I73" s="101">
        <f t="shared" si="7"/>
        <v>0</v>
      </c>
      <c r="J73" s="21"/>
      <c r="K73" s="16"/>
      <c r="L73" s="21"/>
      <c r="M73" s="21"/>
      <c r="N73" s="21"/>
      <c r="O73" s="21"/>
      <c r="P73" s="21"/>
      <c r="Q73" s="21"/>
      <c r="R73" s="21"/>
      <c r="S73" s="21"/>
      <c r="T73" s="42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4"/>
      <c r="AJ73" s="57"/>
      <c r="AK73" s="54"/>
      <c r="AL73" s="65">
        <f t="shared" si="4"/>
        <v>0</v>
      </c>
      <c r="AM73" s="22" t="str">
        <f t="shared" si="2"/>
        <v>OK</v>
      </c>
    </row>
    <row r="74" spans="1:39" customFormat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139"/>
      <c r="I74" s="103">
        <f t="shared" si="7"/>
        <v>0</v>
      </c>
      <c r="J74" s="27"/>
      <c r="K74" s="16"/>
      <c r="L74" s="100"/>
      <c r="M74" s="100"/>
      <c r="N74" s="100"/>
      <c r="O74" s="100"/>
      <c r="P74" s="100"/>
      <c r="Q74" s="100"/>
      <c r="R74" s="100"/>
      <c r="S74" s="100"/>
      <c r="T74" s="109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1"/>
      <c r="AJ74" s="112"/>
      <c r="AK74" s="111"/>
      <c r="AL74" s="66">
        <f t="shared" si="4"/>
        <v>0</v>
      </c>
      <c r="AM74" s="28" t="str">
        <f t="shared" si="2"/>
        <v>OK</v>
      </c>
    </row>
    <row r="75" spans="1:39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40"/>
      <c r="I75" s="105">
        <f t="shared" si="7"/>
        <v>0</v>
      </c>
      <c r="J75" s="90"/>
      <c r="K75" s="91"/>
      <c r="L75" s="113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5"/>
      <c r="AL75" s="92">
        <f t="shared" ref="AL75:AL80" si="8">SUM(L75:AK75)</f>
        <v>0</v>
      </c>
      <c r="AM75" s="122" t="str">
        <f t="shared" ref="AM75:AM96" si="9">IF(AL75=I75,"OK","NG")</f>
        <v>OK</v>
      </c>
    </row>
    <row r="76" spans="1:39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139"/>
      <c r="I76" s="106">
        <f t="shared" si="7"/>
        <v>0</v>
      </c>
      <c r="J76" s="85"/>
      <c r="K76" s="16"/>
      <c r="L76" s="1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8"/>
      <c r="AL76" s="66">
        <f t="shared" si="8"/>
        <v>0</v>
      </c>
      <c r="AM76" s="28" t="str">
        <f t="shared" si="9"/>
        <v>OK</v>
      </c>
    </row>
    <row r="77" spans="1:39">
      <c r="A77" s="87" t="s">
        <v>165</v>
      </c>
      <c r="B77" s="93">
        <v>13007</v>
      </c>
      <c r="C77" s="94" t="s">
        <v>164</v>
      </c>
      <c r="D77" s="88"/>
      <c r="E77" s="88"/>
      <c r="F77" s="88"/>
      <c r="G77" s="89"/>
      <c r="H77" s="104"/>
      <c r="I77" s="105">
        <f t="shared" si="7"/>
        <v>0</v>
      </c>
      <c r="J77" s="90"/>
      <c r="K77" s="91"/>
      <c r="L77" s="113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5"/>
      <c r="AL77" s="92">
        <f t="shared" si="8"/>
        <v>0</v>
      </c>
      <c r="AM77" s="122" t="str">
        <f t="shared" si="9"/>
        <v>OK</v>
      </c>
    </row>
    <row r="78" spans="1:39">
      <c r="A78" s="68"/>
      <c r="B78" s="78"/>
      <c r="C78" s="95"/>
      <c r="D78" s="83"/>
      <c r="E78" s="83"/>
      <c r="F78" s="83"/>
      <c r="G78" s="84"/>
      <c r="H78" s="102"/>
      <c r="I78" s="106">
        <f t="shared" si="7"/>
        <v>0</v>
      </c>
      <c r="J78" s="85"/>
      <c r="K78" s="16"/>
      <c r="L78" s="1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66">
        <f t="shared" si="8"/>
        <v>0</v>
      </c>
      <c r="AM78" s="28" t="str">
        <f t="shared" si="9"/>
        <v>OK</v>
      </c>
    </row>
    <row r="79" spans="1:39">
      <c r="A79" s="87"/>
      <c r="B79" s="93"/>
      <c r="C79" s="94"/>
      <c r="D79" s="88"/>
      <c r="E79" s="88"/>
      <c r="F79" s="88"/>
      <c r="G79" s="89"/>
      <c r="H79" s="104"/>
      <c r="I79" s="105">
        <f t="shared" si="7"/>
        <v>0</v>
      </c>
      <c r="J79" s="90"/>
      <c r="K79" s="91"/>
      <c r="L79" s="113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5"/>
      <c r="AL79" s="92">
        <f t="shared" si="8"/>
        <v>0</v>
      </c>
      <c r="AM79" s="122" t="str">
        <f t="shared" si="9"/>
        <v>OK</v>
      </c>
    </row>
    <row r="80" spans="1:39">
      <c r="A80" s="68"/>
      <c r="B80" s="78"/>
      <c r="C80" s="95"/>
      <c r="D80" s="83"/>
      <c r="E80" s="83"/>
      <c r="F80" s="83"/>
      <c r="G80" s="84"/>
      <c r="H80" s="102"/>
      <c r="I80" s="106">
        <f t="shared" si="7"/>
        <v>0</v>
      </c>
      <c r="J80" s="85"/>
      <c r="K80" s="16"/>
      <c r="L80" s="116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66">
        <f t="shared" si="8"/>
        <v>0</v>
      </c>
      <c r="AM80" s="28" t="str">
        <f t="shared" si="9"/>
        <v>OK</v>
      </c>
    </row>
    <row r="81" spans="1:39">
      <c r="A81" s="87"/>
      <c r="B81" s="93"/>
      <c r="C81" s="94"/>
      <c r="D81" s="88"/>
      <c r="E81" s="88"/>
      <c r="F81" s="88"/>
      <c r="G81" s="89"/>
      <c r="H81" s="104"/>
      <c r="I81" s="105">
        <f t="shared" si="7"/>
        <v>0</v>
      </c>
      <c r="J81" s="90"/>
      <c r="K81" s="91"/>
      <c r="L81" s="113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5"/>
      <c r="AL81" s="92">
        <f t="shared" ref="AL81:AL96" si="10">SUM(L81:AK81)</f>
        <v>0</v>
      </c>
      <c r="AM81" s="122" t="str">
        <f t="shared" si="9"/>
        <v>OK</v>
      </c>
    </row>
    <row r="82" spans="1:39">
      <c r="A82" s="68"/>
      <c r="B82" s="78"/>
      <c r="C82" s="95"/>
      <c r="D82" s="83"/>
      <c r="E82" s="83"/>
      <c r="F82" s="83"/>
      <c r="G82" s="84"/>
      <c r="H82" s="102"/>
      <c r="I82" s="106">
        <f t="shared" si="7"/>
        <v>0</v>
      </c>
      <c r="J82" s="85"/>
      <c r="K82" s="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66">
        <f t="shared" si="10"/>
        <v>0</v>
      </c>
      <c r="AM82" s="28" t="str">
        <f t="shared" si="9"/>
        <v>OK</v>
      </c>
    </row>
    <row r="83" spans="1:39">
      <c r="A83" s="96"/>
      <c r="B83" s="93"/>
      <c r="C83" s="94"/>
      <c r="D83" s="88"/>
      <c r="E83" s="88"/>
      <c r="F83" s="88"/>
      <c r="G83" s="89"/>
      <c r="H83" s="104"/>
      <c r="I83" s="105">
        <f t="shared" si="7"/>
        <v>0</v>
      </c>
      <c r="J83" s="90"/>
      <c r="K83" s="91"/>
      <c r="L83" s="113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5"/>
      <c r="AL83" s="92">
        <f t="shared" si="10"/>
        <v>0</v>
      </c>
      <c r="AM83" s="122" t="str">
        <f t="shared" si="9"/>
        <v>OK</v>
      </c>
    </row>
    <row r="84" spans="1:39">
      <c r="A84" s="68"/>
      <c r="B84" s="78"/>
      <c r="C84" s="95"/>
      <c r="D84" s="83"/>
      <c r="E84" s="83"/>
      <c r="F84" s="83"/>
      <c r="G84" s="84"/>
      <c r="H84" s="102"/>
      <c r="I84" s="106">
        <f t="shared" si="7"/>
        <v>0</v>
      </c>
      <c r="J84" s="85"/>
      <c r="K84" s="16"/>
      <c r="L84" s="116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66">
        <f t="shared" si="10"/>
        <v>0</v>
      </c>
      <c r="AM84" s="28" t="str">
        <f t="shared" si="9"/>
        <v>OK</v>
      </c>
    </row>
    <row r="85" spans="1:39">
      <c r="A85" s="87"/>
      <c r="B85" s="93"/>
      <c r="C85" s="94"/>
      <c r="D85" s="88"/>
      <c r="E85" s="88"/>
      <c r="F85" s="88"/>
      <c r="G85" s="89"/>
      <c r="H85" s="104"/>
      <c r="I85" s="105">
        <f t="shared" si="7"/>
        <v>0</v>
      </c>
      <c r="J85" s="90"/>
      <c r="K85" s="91"/>
      <c r="L85" s="113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5"/>
      <c r="AL85" s="92">
        <f t="shared" si="10"/>
        <v>0</v>
      </c>
      <c r="AM85" s="122" t="str">
        <f t="shared" si="9"/>
        <v>OK</v>
      </c>
    </row>
    <row r="86" spans="1:39">
      <c r="A86" s="68"/>
      <c r="B86" s="78"/>
      <c r="C86" s="95"/>
      <c r="D86" s="83"/>
      <c r="E86" s="83"/>
      <c r="F86" s="83"/>
      <c r="G86" s="84"/>
      <c r="H86" s="102"/>
      <c r="I86" s="106">
        <f t="shared" si="7"/>
        <v>0</v>
      </c>
      <c r="J86" s="85"/>
      <c r="K86" s="16"/>
      <c r="L86" s="116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66">
        <f t="shared" si="10"/>
        <v>0</v>
      </c>
      <c r="AM86" s="28" t="str">
        <f t="shared" si="9"/>
        <v>OK</v>
      </c>
    </row>
    <row r="87" spans="1:39">
      <c r="A87" s="87"/>
      <c r="B87" s="93"/>
      <c r="C87" s="94"/>
      <c r="D87" s="88"/>
      <c r="E87" s="88"/>
      <c r="F87" s="88"/>
      <c r="G87" s="89"/>
      <c r="H87" s="104"/>
      <c r="I87" s="105">
        <f t="shared" si="7"/>
        <v>0</v>
      </c>
      <c r="J87" s="90"/>
      <c r="K87" s="91"/>
      <c r="L87" s="113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5"/>
      <c r="AL87" s="92">
        <f t="shared" si="10"/>
        <v>0</v>
      </c>
      <c r="AM87" s="122" t="str">
        <f t="shared" si="9"/>
        <v>OK</v>
      </c>
    </row>
    <row r="88" spans="1:39">
      <c r="A88" s="68"/>
      <c r="B88" s="78"/>
      <c r="C88" s="95"/>
      <c r="D88" s="83"/>
      <c r="E88" s="83"/>
      <c r="F88" s="83"/>
      <c r="G88" s="84"/>
      <c r="H88" s="102"/>
      <c r="I88" s="106">
        <f t="shared" si="7"/>
        <v>0</v>
      </c>
      <c r="J88" s="85"/>
      <c r="K88" s="16"/>
      <c r="L88" s="116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66">
        <f t="shared" si="10"/>
        <v>0</v>
      </c>
      <c r="AM88" s="28" t="str">
        <f t="shared" si="9"/>
        <v>OK</v>
      </c>
    </row>
    <row r="89" spans="1:39">
      <c r="A89" s="87"/>
      <c r="B89" s="93"/>
      <c r="C89" s="94"/>
      <c r="D89" s="88"/>
      <c r="E89" s="88"/>
      <c r="F89" s="88"/>
      <c r="G89" s="89"/>
      <c r="H89" s="104"/>
      <c r="I89" s="105">
        <f t="shared" si="7"/>
        <v>0</v>
      </c>
      <c r="J89" s="90"/>
      <c r="K89" s="91"/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5"/>
      <c r="AL89" s="92">
        <f t="shared" si="10"/>
        <v>0</v>
      </c>
      <c r="AM89" s="122" t="str">
        <f t="shared" si="9"/>
        <v>OK</v>
      </c>
    </row>
    <row r="90" spans="1:39">
      <c r="A90" s="68"/>
      <c r="B90" s="78"/>
      <c r="C90" s="95"/>
      <c r="D90" s="83"/>
      <c r="E90" s="83"/>
      <c r="F90" s="83"/>
      <c r="G90" s="84"/>
      <c r="H90" s="102"/>
      <c r="I90" s="106">
        <f t="shared" si="7"/>
        <v>0</v>
      </c>
      <c r="J90" s="85"/>
      <c r="K90" s="16"/>
      <c r="L90" s="116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66">
        <f t="shared" si="10"/>
        <v>0</v>
      </c>
      <c r="AM90" s="28" t="str">
        <f t="shared" si="9"/>
        <v>OK</v>
      </c>
    </row>
    <row r="91" spans="1:39">
      <c r="A91" s="87"/>
      <c r="B91" s="93"/>
      <c r="C91" s="94"/>
      <c r="D91" s="88"/>
      <c r="E91" s="88"/>
      <c r="F91" s="88"/>
      <c r="G91" s="89"/>
      <c r="H91" s="104"/>
      <c r="I91" s="105">
        <f t="shared" si="7"/>
        <v>0</v>
      </c>
      <c r="J91" s="90"/>
      <c r="K91" s="91"/>
      <c r="L91" s="113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5"/>
      <c r="AL91" s="92">
        <f t="shared" si="10"/>
        <v>0</v>
      </c>
      <c r="AM91" s="122" t="str">
        <f t="shared" si="9"/>
        <v>OK</v>
      </c>
    </row>
    <row r="92" spans="1:39">
      <c r="A92" s="68"/>
      <c r="B92" s="78"/>
      <c r="C92" s="95"/>
      <c r="D92" s="83"/>
      <c r="E92" s="83"/>
      <c r="F92" s="83"/>
      <c r="G92" s="84"/>
      <c r="H92" s="102"/>
      <c r="I92" s="106">
        <f t="shared" si="7"/>
        <v>0</v>
      </c>
      <c r="J92" s="85"/>
      <c r="K92" s="16"/>
      <c r="L92" s="116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66">
        <f t="shared" si="10"/>
        <v>0</v>
      </c>
      <c r="AM92" s="28" t="str">
        <f t="shared" si="9"/>
        <v>OK</v>
      </c>
    </row>
    <row r="93" spans="1:39">
      <c r="A93" s="87"/>
      <c r="B93" s="93"/>
      <c r="C93" s="94"/>
      <c r="D93" s="88"/>
      <c r="E93" s="88"/>
      <c r="F93" s="88"/>
      <c r="G93" s="89"/>
      <c r="H93" s="104"/>
      <c r="I93" s="105">
        <f t="shared" si="7"/>
        <v>0</v>
      </c>
      <c r="J93" s="90"/>
      <c r="K93" s="91"/>
      <c r="L93" s="113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5"/>
      <c r="AL93" s="92">
        <f t="shared" si="10"/>
        <v>0</v>
      </c>
      <c r="AM93" s="122" t="str">
        <f t="shared" si="9"/>
        <v>OK</v>
      </c>
    </row>
    <row r="94" spans="1:39">
      <c r="A94" s="68"/>
      <c r="B94" s="78"/>
      <c r="C94" s="95"/>
      <c r="D94" s="83"/>
      <c r="E94" s="83"/>
      <c r="F94" s="83"/>
      <c r="G94" s="84"/>
      <c r="H94" s="102"/>
      <c r="I94" s="106">
        <f t="shared" si="7"/>
        <v>0</v>
      </c>
      <c r="J94" s="85"/>
      <c r="K94" s="16"/>
      <c r="L94" s="116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66">
        <f t="shared" si="10"/>
        <v>0</v>
      </c>
      <c r="AM94" s="28" t="str">
        <f t="shared" si="9"/>
        <v>OK</v>
      </c>
    </row>
    <row r="95" spans="1:39">
      <c r="A95" s="87"/>
      <c r="B95" s="93"/>
      <c r="C95" s="94"/>
      <c r="D95" s="88"/>
      <c r="E95" s="88"/>
      <c r="F95" s="88"/>
      <c r="G95" s="89"/>
      <c r="H95" s="104"/>
      <c r="I95" s="105">
        <f t="shared" si="7"/>
        <v>0</v>
      </c>
      <c r="J95" s="90"/>
      <c r="K95" s="91"/>
      <c r="L95" s="113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5"/>
      <c r="AL95" s="92">
        <f t="shared" si="10"/>
        <v>0</v>
      </c>
      <c r="AM95" s="122" t="str">
        <f t="shared" si="9"/>
        <v>OK</v>
      </c>
    </row>
    <row r="96" spans="1:39" ht="16.5" customHeight="1" thickBot="1">
      <c r="A96" s="97"/>
      <c r="B96" s="98"/>
      <c r="C96" s="99"/>
      <c r="D96" s="83"/>
      <c r="E96" s="83"/>
      <c r="F96" s="83"/>
      <c r="G96" s="84"/>
      <c r="H96" s="107"/>
      <c r="I96" s="108">
        <f t="shared" si="7"/>
        <v>0</v>
      </c>
      <c r="J96" s="85"/>
      <c r="K96" s="16"/>
      <c r="L96" s="119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1"/>
      <c r="AL96" s="66">
        <f t="shared" si="10"/>
        <v>0</v>
      </c>
      <c r="AM96" s="28" t="str">
        <f t="shared" si="9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0</v>
      </c>
      <c r="I97" s="46">
        <f>SUM(I6:I96)</f>
        <v>0</v>
      </c>
      <c r="J97" s="47">
        <f>SUM(J6:J74)</f>
        <v>0</v>
      </c>
      <c r="K97" s="9"/>
      <c r="L97" s="45">
        <f>SUM(L6:L96)</f>
        <v>0</v>
      </c>
      <c r="M97" s="45">
        <f t="shared" ref="M97:AI97" si="11">SUM(M6:M96)</f>
        <v>0</v>
      </c>
      <c r="N97" s="45">
        <f t="shared" si="11"/>
        <v>0</v>
      </c>
      <c r="O97" s="45">
        <f t="shared" si="11"/>
        <v>0</v>
      </c>
      <c r="P97" s="45">
        <f t="shared" si="11"/>
        <v>0</v>
      </c>
      <c r="Q97" s="45">
        <f t="shared" si="11"/>
        <v>0</v>
      </c>
      <c r="R97" s="45">
        <f t="shared" si="11"/>
        <v>0</v>
      </c>
      <c r="S97" s="45">
        <f t="shared" si="11"/>
        <v>0</v>
      </c>
      <c r="T97" s="45">
        <f t="shared" si="11"/>
        <v>0</v>
      </c>
      <c r="U97" s="45">
        <f t="shared" si="11"/>
        <v>0</v>
      </c>
      <c r="V97" s="45">
        <f t="shared" si="11"/>
        <v>0</v>
      </c>
      <c r="W97" s="45">
        <f t="shared" si="11"/>
        <v>0</v>
      </c>
      <c r="X97" s="45">
        <f t="shared" si="11"/>
        <v>0</v>
      </c>
      <c r="Y97" s="45">
        <f t="shared" si="11"/>
        <v>0</v>
      </c>
      <c r="Z97" s="45">
        <f t="shared" si="11"/>
        <v>0</v>
      </c>
      <c r="AA97" s="45">
        <f t="shared" si="11"/>
        <v>0</v>
      </c>
      <c r="AB97" s="45">
        <f t="shared" si="11"/>
        <v>0</v>
      </c>
      <c r="AC97" s="45">
        <f t="shared" si="11"/>
        <v>0</v>
      </c>
      <c r="AD97" s="45">
        <f t="shared" si="11"/>
        <v>0</v>
      </c>
      <c r="AE97" s="45">
        <f t="shared" si="11"/>
        <v>0</v>
      </c>
      <c r="AF97" s="45">
        <f t="shared" si="11"/>
        <v>0</v>
      </c>
      <c r="AG97" s="45">
        <f t="shared" si="11"/>
        <v>0</v>
      </c>
      <c r="AH97" s="45">
        <f t="shared" si="11"/>
        <v>0</v>
      </c>
      <c r="AI97" s="45">
        <f t="shared" si="11"/>
        <v>0</v>
      </c>
      <c r="AJ97" s="49">
        <f>SUM(AJ6:AJ96)</f>
        <v>0</v>
      </c>
      <c r="AK97" s="61">
        <f>SUM(AK6:AK96)</f>
        <v>0</v>
      </c>
      <c r="AL97" s="67">
        <f>SUM(AL6:AL96)</f>
        <v>0</v>
      </c>
      <c r="AM97" s="48" t="str">
        <f>IF(AL97=SUM(I97),"OK","NG")</f>
        <v>OK</v>
      </c>
    </row>
    <row r="99" spans="1:39">
      <c r="I99" s="86"/>
      <c r="M99" s="86"/>
    </row>
    <row r="100" spans="1:39">
      <c r="L100" s="86"/>
    </row>
    <row r="101" spans="1:39">
      <c r="I101" s="86"/>
    </row>
    <row r="104" spans="1:39">
      <c r="I104" s="86"/>
    </row>
    <row r="118" spans="14:16">
      <c r="N118" s="146"/>
      <c r="P118" s="146"/>
    </row>
  </sheetData>
  <mergeCells count="37">
    <mergeCell ref="AM4:AM5"/>
    <mergeCell ref="AG4:AG5"/>
    <mergeCell ref="AH4:AH5"/>
    <mergeCell ref="AI4:AI5"/>
    <mergeCell ref="AJ4:AJ5"/>
    <mergeCell ref="AK4:AK5"/>
    <mergeCell ref="AL4:AL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B1:C1"/>
    <mergeCell ref="F1:G1"/>
    <mergeCell ref="H1:J3"/>
    <mergeCell ref="B2:C2"/>
    <mergeCell ref="AM2:AM3"/>
    <mergeCell ref="B3:C3"/>
  </mergeCells>
  <phoneticPr fontId="3" type="noConversion"/>
  <conditionalFormatting sqref="A4 AM6:AM97">
    <cfRule type="containsText" dxfId="69" priority="7" operator="containsText" text="NG">
      <formula>NOT(ISERROR(SEARCH("NG",A4)))</formula>
    </cfRule>
    <cfRule type="containsText" dxfId="68" priority="8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43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 filterMode="1">
    <pageSetUpPr fitToPage="1"/>
  </sheetPr>
  <dimension ref="A1:AM103"/>
  <sheetViews>
    <sheetView showGridLines="0" zoomScale="85" zoomScaleNormal="85" workbookViewId="0">
      <pane ySplit="5" topLeftCell="A14" activePane="bottomLeft" state="frozen"/>
      <selection activeCell="P19" sqref="P19"/>
      <selection pane="bottomLeft" activeCell="M104" sqref="M104"/>
    </sheetView>
  </sheetViews>
  <sheetFormatPr defaultColWidth="9" defaultRowHeight="16.5"/>
  <cols>
    <col min="1" max="1" width="14.75" bestFit="1" customWidth="1"/>
    <col min="2" max="2" width="14.125" bestFit="1" customWidth="1"/>
    <col min="3" max="3" width="43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16" width="8.75"/>
    <col min="17" max="20" width="9" customWidth="1"/>
    <col min="21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7" customHeight="1" thickBot="1">
      <c r="A1" s="37" t="s">
        <v>13</v>
      </c>
      <c r="B1" s="168">
        <f>H97</f>
        <v>38138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7" customHeight="1" thickBot="1">
      <c r="A2" s="37" t="s">
        <v>14</v>
      </c>
      <c r="B2" s="173">
        <f>I97</f>
        <v>20</v>
      </c>
      <c r="C2" s="174"/>
      <c r="D2" s="75"/>
      <c r="E2" s="71"/>
      <c r="F2" s="2"/>
      <c r="G2" s="2"/>
      <c r="H2" s="171"/>
      <c r="I2" s="171"/>
      <c r="J2" s="171"/>
      <c r="K2" s="3"/>
      <c r="L2" s="4">
        <f t="shared" ref="L2:AK2" si="0">SUBTOTAL(9,L6:L96)</f>
        <v>7</v>
      </c>
      <c r="M2" s="4">
        <f t="shared" si="0"/>
        <v>0</v>
      </c>
      <c r="N2" s="4">
        <f t="shared" si="0"/>
        <v>0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39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4">
        <f t="shared" si="0"/>
        <v>4</v>
      </c>
      <c r="Z2" s="4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3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0</v>
      </c>
      <c r="AH2" s="5">
        <f t="shared" si="0"/>
        <v>0</v>
      </c>
      <c r="AI2" s="5">
        <f t="shared" si="0"/>
        <v>6</v>
      </c>
      <c r="AJ2" s="5">
        <f t="shared" si="0"/>
        <v>0</v>
      </c>
      <c r="AK2" s="59">
        <f t="shared" si="0"/>
        <v>0</v>
      </c>
      <c r="AL2" s="62">
        <f>SUBTOTAL(9,AL6:AL96)</f>
        <v>20</v>
      </c>
      <c r="AM2" s="175"/>
    </row>
    <row r="3" spans="1:39" customFormat="1" ht="22.7" customHeight="1" thickBot="1">
      <c r="A3" s="38" t="s">
        <v>15</v>
      </c>
      <c r="B3" s="177">
        <f>IF(ISERROR(B2/(B2+B1)*1000000),"",(B2/(B2+B1)*1000000))</f>
        <v>524.13648514073066</v>
      </c>
      <c r="C3" s="178"/>
      <c r="D3" s="73"/>
      <c r="E3" s="72"/>
      <c r="F3" s="32"/>
      <c r="G3" s="32"/>
      <c r="H3" s="172"/>
      <c r="I3" s="172"/>
      <c r="J3" s="172"/>
      <c r="K3" s="6"/>
      <c r="L3" s="7">
        <f t="shared" ref="L3:AK3" si="1">SUM(L6:L96)</f>
        <v>7</v>
      </c>
      <c r="M3" s="7">
        <f t="shared" si="1"/>
        <v>0</v>
      </c>
      <c r="N3" s="7">
        <f t="shared" si="1"/>
        <v>0</v>
      </c>
      <c r="O3" s="7">
        <f t="shared" si="1"/>
        <v>0</v>
      </c>
      <c r="P3" s="7">
        <f t="shared" si="1"/>
        <v>0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40">
        <f t="shared" si="1"/>
        <v>0</v>
      </c>
      <c r="U3" s="8">
        <f t="shared" si="1"/>
        <v>0</v>
      </c>
      <c r="V3" s="8">
        <f t="shared" si="1"/>
        <v>0</v>
      </c>
      <c r="W3" s="8">
        <f t="shared" si="1"/>
        <v>0</v>
      </c>
      <c r="X3" s="8">
        <f t="shared" si="1"/>
        <v>0</v>
      </c>
      <c r="Y3" s="7">
        <f t="shared" si="1"/>
        <v>4</v>
      </c>
      <c r="Z3" s="7">
        <f t="shared" si="1"/>
        <v>0</v>
      </c>
      <c r="AA3" s="8">
        <f t="shared" si="1"/>
        <v>0</v>
      </c>
      <c r="AB3" s="8">
        <f t="shared" si="1"/>
        <v>0</v>
      </c>
      <c r="AC3" s="8">
        <f t="shared" si="1"/>
        <v>3</v>
      </c>
      <c r="AD3" s="8">
        <f t="shared" si="1"/>
        <v>0</v>
      </c>
      <c r="AE3" s="8">
        <f t="shared" si="1"/>
        <v>0</v>
      </c>
      <c r="AF3" s="8">
        <f t="shared" si="1"/>
        <v>0</v>
      </c>
      <c r="AG3" s="8">
        <f t="shared" si="1"/>
        <v>0</v>
      </c>
      <c r="AH3" s="8">
        <f t="shared" si="1"/>
        <v>0</v>
      </c>
      <c r="AI3" s="8">
        <f t="shared" si="1"/>
        <v>6</v>
      </c>
      <c r="AJ3" s="8">
        <f t="shared" si="1"/>
        <v>0</v>
      </c>
      <c r="AK3" s="60">
        <f t="shared" si="1"/>
        <v>0</v>
      </c>
      <c r="AL3" s="63">
        <f>SUM(AL6:AL96)</f>
        <v>20</v>
      </c>
      <c r="AM3" s="176"/>
    </row>
    <row r="4" spans="1:39" customFormat="1" ht="43.7" customHeight="1">
      <c r="A4" s="163" t="str">
        <f>AM97</f>
        <v>OK</v>
      </c>
      <c r="B4" s="163"/>
      <c r="C4" s="163"/>
      <c r="D4" s="179"/>
      <c r="E4" s="180" t="s">
        <v>16</v>
      </c>
      <c r="F4" s="181"/>
      <c r="G4" s="182"/>
      <c r="H4" s="180" t="s">
        <v>17</v>
      </c>
      <c r="I4" s="181"/>
      <c r="J4" s="182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0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85" t="s">
        <v>12</v>
      </c>
      <c r="AL4" s="187" t="s">
        <v>36</v>
      </c>
      <c r="AM4" s="183" t="s">
        <v>37</v>
      </c>
    </row>
    <row r="5" spans="1:39" customFormat="1" ht="33.75" thickBot="1">
      <c r="A5" s="34" t="s">
        <v>167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137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52"/>
      <c r="U5" s="152"/>
      <c r="V5" s="153"/>
      <c r="W5" s="153"/>
      <c r="X5" s="152"/>
      <c r="Y5" s="152"/>
      <c r="Z5" s="152"/>
      <c r="AA5" s="152"/>
      <c r="AB5" s="152"/>
      <c r="AC5" s="152"/>
      <c r="AD5" s="153"/>
      <c r="AE5" s="153"/>
      <c r="AF5" s="153"/>
      <c r="AG5" s="153"/>
      <c r="AH5" s="153"/>
      <c r="AI5" s="153"/>
      <c r="AJ5" s="155"/>
      <c r="AK5" s="186"/>
      <c r="AL5" s="188"/>
      <c r="AM5" s="184"/>
    </row>
    <row r="6" spans="1:39" customFormat="1" hidden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34">
        <v>3600</v>
      </c>
      <c r="I6" s="15">
        <f>SUM(L6:AK6)</f>
        <v>0</v>
      </c>
      <c r="J6" s="15"/>
      <c r="K6" s="16"/>
      <c r="L6" s="15"/>
      <c r="M6" s="15"/>
      <c r="N6" s="15"/>
      <c r="O6" s="15"/>
      <c r="P6" s="15"/>
      <c r="Q6" s="15"/>
      <c r="R6" s="15"/>
      <c r="S6" s="15"/>
      <c r="T6" s="41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3"/>
      <c r="AJ6" s="56"/>
      <c r="AK6" s="53"/>
      <c r="AL6" s="64">
        <f>SUM(L6:AK6)</f>
        <v>0</v>
      </c>
      <c r="AM6" s="31" t="str">
        <f t="shared" ref="AM6:AM74" si="2">IF(AL6=I6,"OK","NG")</f>
        <v>OK</v>
      </c>
    </row>
    <row r="7" spans="1:39" customFormat="1" hidden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135"/>
      <c r="I7" s="21">
        <f t="shared" ref="I7:I70" si="3">SUM(L7:AK7)</f>
        <v>0</v>
      </c>
      <c r="J7" s="21"/>
      <c r="K7" s="16"/>
      <c r="L7" s="21"/>
      <c r="M7" s="21"/>
      <c r="N7" s="21"/>
      <c r="O7" s="21"/>
      <c r="P7" s="21"/>
      <c r="Q7" s="21"/>
      <c r="R7" s="21"/>
      <c r="S7" s="21"/>
      <c r="T7" s="42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4"/>
      <c r="AJ7" s="57"/>
      <c r="AK7" s="54"/>
      <c r="AL7" s="65">
        <f t="shared" ref="AL7:AL74" si="4">SUM(L7:AK7)</f>
        <v>0</v>
      </c>
      <c r="AM7" s="22" t="str">
        <f t="shared" si="2"/>
        <v>OK</v>
      </c>
    </row>
    <row r="8" spans="1:39" customFormat="1" hidden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36"/>
      <c r="I8" s="27">
        <f t="shared" si="3"/>
        <v>0</v>
      </c>
      <c r="J8" s="27"/>
      <c r="K8" s="16"/>
      <c r="L8" s="27"/>
      <c r="M8" s="27"/>
      <c r="N8" s="27"/>
      <c r="O8" s="27"/>
      <c r="P8" s="27"/>
      <c r="Q8" s="27"/>
      <c r="R8" s="27"/>
      <c r="S8" s="27"/>
      <c r="T8" s="4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5"/>
      <c r="AJ8" s="58"/>
      <c r="AK8" s="55"/>
      <c r="AL8" s="66">
        <f t="shared" si="4"/>
        <v>0</v>
      </c>
      <c r="AM8" s="28" t="str">
        <f t="shared" si="2"/>
        <v>OK</v>
      </c>
    </row>
    <row r="9" spans="1:39" customFormat="1" hidden="1">
      <c r="A9" s="17" t="s">
        <v>68</v>
      </c>
      <c r="B9" s="77">
        <v>10897</v>
      </c>
      <c r="C9" s="17" t="s">
        <v>62</v>
      </c>
      <c r="D9" s="69"/>
      <c r="E9" s="18"/>
      <c r="F9" s="18"/>
      <c r="G9" s="19"/>
      <c r="H9" s="135"/>
      <c r="I9" s="21">
        <f t="shared" si="3"/>
        <v>0</v>
      </c>
      <c r="J9" s="21"/>
      <c r="K9" s="16"/>
      <c r="L9" s="21"/>
      <c r="M9" s="21"/>
      <c r="N9" s="21"/>
      <c r="O9" s="21"/>
      <c r="P9" s="21"/>
      <c r="Q9" s="21"/>
      <c r="R9" s="21"/>
      <c r="S9" s="21"/>
      <c r="T9" s="42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4"/>
      <c r="AJ9" s="57"/>
      <c r="AK9" s="54"/>
      <c r="AL9" s="65">
        <f t="shared" si="4"/>
        <v>0</v>
      </c>
      <c r="AM9" s="22" t="str">
        <f t="shared" si="2"/>
        <v>OK</v>
      </c>
    </row>
    <row r="10" spans="1:39" customFormat="1" hidden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36"/>
      <c r="I10" s="27">
        <f t="shared" si="3"/>
        <v>0</v>
      </c>
      <c r="J10" s="27"/>
      <c r="K10" s="16"/>
      <c r="L10" s="27"/>
      <c r="M10" s="27"/>
      <c r="N10" s="27"/>
      <c r="O10" s="27"/>
      <c r="P10" s="27"/>
      <c r="Q10" s="27"/>
      <c r="R10" s="27"/>
      <c r="S10" s="27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5"/>
      <c r="AJ10" s="58"/>
      <c r="AK10" s="55"/>
      <c r="AL10" s="66">
        <f t="shared" si="4"/>
        <v>0</v>
      </c>
      <c r="AM10" s="28" t="str">
        <f t="shared" si="2"/>
        <v>OK</v>
      </c>
    </row>
    <row r="11" spans="1:39" customFormat="1" hidden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135"/>
      <c r="I11" s="21">
        <f t="shared" si="3"/>
        <v>0</v>
      </c>
      <c r="J11" s="21"/>
      <c r="K11" s="16"/>
      <c r="L11" s="21"/>
      <c r="M11" s="21"/>
      <c r="N11" s="21"/>
      <c r="O11" s="21"/>
      <c r="P11" s="21"/>
      <c r="Q11" s="21"/>
      <c r="R11" s="21"/>
      <c r="S11" s="21"/>
      <c r="T11" s="42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4"/>
      <c r="AJ11" s="57"/>
      <c r="AK11" s="54"/>
      <c r="AL11" s="65">
        <f t="shared" si="4"/>
        <v>0</v>
      </c>
      <c r="AM11" s="22" t="str">
        <f t="shared" si="2"/>
        <v>OK</v>
      </c>
    </row>
    <row r="12" spans="1:39" customFormat="1" hidden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36"/>
      <c r="I12" s="27">
        <f t="shared" si="3"/>
        <v>0</v>
      </c>
      <c r="J12" s="27"/>
      <c r="K12" s="16"/>
      <c r="L12" s="27"/>
      <c r="M12" s="27"/>
      <c r="N12" s="27"/>
      <c r="O12" s="27"/>
      <c r="P12" s="27"/>
      <c r="Q12" s="27"/>
      <c r="R12" s="27"/>
      <c r="S12" s="27"/>
      <c r="T12" s="43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8"/>
      <c r="AK12" s="55"/>
      <c r="AL12" s="66">
        <f t="shared" si="4"/>
        <v>0</v>
      </c>
      <c r="AM12" s="28" t="str">
        <f t="shared" si="2"/>
        <v>OK</v>
      </c>
    </row>
    <row r="13" spans="1:39" customFormat="1" hidden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135"/>
      <c r="I13" s="21">
        <f t="shared" si="3"/>
        <v>0</v>
      </c>
      <c r="J13" s="21"/>
      <c r="K13" s="16"/>
      <c r="L13" s="21"/>
      <c r="M13" s="21"/>
      <c r="N13" s="21"/>
      <c r="O13" s="21"/>
      <c r="P13" s="21"/>
      <c r="Q13" s="21"/>
      <c r="R13" s="21"/>
      <c r="S13" s="21"/>
      <c r="T13" s="4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4"/>
      <c r="AJ13" s="57"/>
      <c r="AK13" s="54"/>
      <c r="AL13" s="65">
        <f t="shared" si="4"/>
        <v>0</v>
      </c>
      <c r="AM13" s="22" t="str">
        <f t="shared" si="2"/>
        <v>OK</v>
      </c>
    </row>
    <row r="14" spans="1:39" customFormat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36">
        <f>1560+1200</f>
        <v>2760</v>
      </c>
      <c r="I14" s="27">
        <f t="shared" si="3"/>
        <v>2</v>
      </c>
      <c r="J14" s="27"/>
      <c r="K14" s="16"/>
      <c r="L14" s="27">
        <v>1</v>
      </c>
      <c r="M14" s="27"/>
      <c r="N14" s="27"/>
      <c r="O14" s="27"/>
      <c r="P14" s="27"/>
      <c r="Q14" s="27"/>
      <c r="R14" s="27"/>
      <c r="S14" s="27"/>
      <c r="T14" s="43"/>
      <c r="U14" s="52"/>
      <c r="V14" s="52"/>
      <c r="W14" s="52"/>
      <c r="X14" s="52"/>
      <c r="Y14" s="52">
        <v>1</v>
      </c>
      <c r="Z14" s="52"/>
      <c r="AA14" s="52"/>
      <c r="AB14" s="52"/>
      <c r="AC14" s="52"/>
      <c r="AD14" s="52"/>
      <c r="AE14" s="52"/>
      <c r="AF14" s="52"/>
      <c r="AG14" s="52"/>
      <c r="AH14" s="52"/>
      <c r="AI14" s="55"/>
      <c r="AJ14" s="58"/>
      <c r="AK14" s="55"/>
      <c r="AL14" s="66">
        <f t="shared" si="4"/>
        <v>2</v>
      </c>
      <c r="AM14" s="28" t="str">
        <f t="shared" si="2"/>
        <v>OK</v>
      </c>
    </row>
    <row r="15" spans="1:39" customFormat="1" hidden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135">
        <v>240</v>
      </c>
      <c r="I15" s="21">
        <f t="shared" si="3"/>
        <v>0</v>
      </c>
      <c r="J15" s="21"/>
      <c r="K15" s="16"/>
      <c r="L15" s="21"/>
      <c r="M15" s="21"/>
      <c r="N15" s="21"/>
      <c r="O15" s="21"/>
      <c r="P15" s="21"/>
      <c r="Q15" s="21"/>
      <c r="R15" s="21"/>
      <c r="S15" s="21"/>
      <c r="T15" s="42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4"/>
      <c r="AJ15" s="57"/>
      <c r="AK15" s="54"/>
      <c r="AL15" s="65">
        <f t="shared" si="4"/>
        <v>0</v>
      </c>
      <c r="AM15" s="22" t="str">
        <f t="shared" si="2"/>
        <v>OK</v>
      </c>
    </row>
    <row r="16" spans="1:39" customFormat="1" hidden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36"/>
      <c r="I16" s="27">
        <f t="shared" si="3"/>
        <v>0</v>
      </c>
      <c r="J16" s="27"/>
      <c r="K16" s="16"/>
      <c r="L16" s="27"/>
      <c r="M16" s="27"/>
      <c r="N16" s="27"/>
      <c r="O16" s="27"/>
      <c r="P16" s="27"/>
      <c r="Q16" s="27"/>
      <c r="R16" s="27"/>
      <c r="S16" s="27"/>
      <c r="T16" s="43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8"/>
      <c r="AK16" s="55"/>
      <c r="AL16" s="66">
        <f t="shared" si="4"/>
        <v>0</v>
      </c>
      <c r="AM16" s="28" t="str">
        <f t="shared" si="2"/>
        <v>OK</v>
      </c>
    </row>
    <row r="17" spans="1:39" customFormat="1" hidden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135"/>
      <c r="I17" s="21">
        <f t="shared" si="3"/>
        <v>0</v>
      </c>
      <c r="J17" s="21"/>
      <c r="K17" s="16"/>
      <c r="L17" s="21"/>
      <c r="M17" s="21"/>
      <c r="N17" s="21"/>
      <c r="O17" s="21"/>
      <c r="P17" s="21"/>
      <c r="Q17" s="21"/>
      <c r="R17" s="21"/>
      <c r="S17" s="21"/>
      <c r="T17" s="42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4"/>
      <c r="AJ17" s="57"/>
      <c r="AK17" s="54"/>
      <c r="AL17" s="65">
        <f t="shared" si="4"/>
        <v>0</v>
      </c>
      <c r="AM17" s="22" t="str">
        <f t="shared" si="2"/>
        <v>OK</v>
      </c>
    </row>
    <row r="18" spans="1:39" customFormat="1" hidden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36"/>
      <c r="I18" s="27">
        <f t="shared" si="3"/>
        <v>0</v>
      </c>
      <c r="J18" s="27"/>
      <c r="K18" s="16"/>
      <c r="L18" s="27"/>
      <c r="M18" s="27"/>
      <c r="N18" s="27"/>
      <c r="O18" s="27"/>
      <c r="P18" s="27"/>
      <c r="Q18" s="27"/>
      <c r="R18" s="27"/>
      <c r="S18" s="27"/>
      <c r="T18" s="43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8"/>
      <c r="AK18" s="55"/>
      <c r="AL18" s="66">
        <f t="shared" si="4"/>
        <v>0</v>
      </c>
      <c r="AM18" s="28" t="str">
        <f t="shared" si="2"/>
        <v>OK</v>
      </c>
    </row>
    <row r="19" spans="1:39" customFormat="1" hidden="1">
      <c r="A19" s="17" t="s">
        <v>91</v>
      </c>
      <c r="B19" s="77">
        <v>14988</v>
      </c>
      <c r="C19" s="17" t="s">
        <v>64</v>
      </c>
      <c r="D19" s="69"/>
      <c r="E19" s="18"/>
      <c r="F19" s="18"/>
      <c r="G19" s="19"/>
      <c r="H19" s="135"/>
      <c r="I19" s="21">
        <f t="shared" si="3"/>
        <v>0</v>
      </c>
      <c r="J19" s="21"/>
      <c r="K19" s="16"/>
      <c r="L19" s="21"/>
      <c r="M19" s="21"/>
      <c r="N19" s="21"/>
      <c r="O19" s="21"/>
      <c r="P19" s="21"/>
      <c r="Q19" s="21"/>
      <c r="R19" s="21"/>
      <c r="S19" s="21"/>
      <c r="T19" s="42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4"/>
      <c r="AJ19" s="57"/>
      <c r="AK19" s="54"/>
      <c r="AL19" s="65">
        <f t="shared" si="4"/>
        <v>0</v>
      </c>
      <c r="AM19" s="22" t="str">
        <f t="shared" si="2"/>
        <v>OK</v>
      </c>
    </row>
    <row r="20" spans="1:39" customFormat="1" hidden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136"/>
      <c r="I20" s="27">
        <f t="shared" si="3"/>
        <v>0</v>
      </c>
      <c r="J20" s="27"/>
      <c r="K20" s="16"/>
      <c r="L20" s="27"/>
      <c r="M20" s="27"/>
      <c r="N20" s="27"/>
      <c r="O20" s="27"/>
      <c r="P20" s="27"/>
      <c r="Q20" s="27"/>
      <c r="R20" s="27"/>
      <c r="S20" s="27"/>
      <c r="T20" s="43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8"/>
      <c r="AK20" s="55"/>
      <c r="AL20" s="66">
        <f t="shared" si="4"/>
        <v>0</v>
      </c>
      <c r="AM20" s="28" t="str">
        <f t="shared" si="2"/>
        <v>OK</v>
      </c>
    </row>
    <row r="21" spans="1:39" customFormat="1" hidden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135"/>
      <c r="I21" s="21">
        <f t="shared" si="3"/>
        <v>0</v>
      </c>
      <c r="J21" s="21"/>
      <c r="K21" s="16"/>
      <c r="L21" s="21"/>
      <c r="M21" s="21"/>
      <c r="N21" s="21"/>
      <c r="O21" s="21"/>
      <c r="P21" s="21"/>
      <c r="Q21" s="21"/>
      <c r="R21" s="21"/>
      <c r="S21" s="21"/>
      <c r="T21" s="4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4"/>
      <c r="AJ21" s="57"/>
      <c r="AK21" s="54"/>
      <c r="AL21" s="65">
        <f t="shared" si="4"/>
        <v>0</v>
      </c>
      <c r="AM21" s="22" t="str">
        <f t="shared" si="2"/>
        <v>OK</v>
      </c>
    </row>
    <row r="22" spans="1:39" customFormat="1" hidden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36"/>
      <c r="I22" s="27">
        <f t="shared" si="3"/>
        <v>0</v>
      </c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43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5"/>
      <c r="AJ22" s="58"/>
      <c r="AK22" s="55"/>
      <c r="AL22" s="66">
        <f t="shared" si="4"/>
        <v>0</v>
      </c>
      <c r="AM22" s="28" t="str">
        <f t="shared" si="2"/>
        <v>OK</v>
      </c>
    </row>
    <row r="23" spans="1:39" customFormat="1" hidden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135"/>
      <c r="I23" s="21">
        <f t="shared" si="3"/>
        <v>0</v>
      </c>
      <c r="J23" s="21"/>
      <c r="K23" s="16"/>
      <c r="L23" s="21"/>
      <c r="M23" s="21"/>
      <c r="N23" s="21"/>
      <c r="O23" s="21"/>
      <c r="P23" s="21"/>
      <c r="Q23" s="21"/>
      <c r="R23" s="21"/>
      <c r="S23" s="21"/>
      <c r="T23" s="42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7"/>
      <c r="AK23" s="54"/>
      <c r="AL23" s="65">
        <f>SUM(L23:AK23)</f>
        <v>0</v>
      </c>
      <c r="AM23" s="22" t="str">
        <f t="shared" si="2"/>
        <v>OK</v>
      </c>
    </row>
    <row r="24" spans="1:39" customFormat="1">
      <c r="A24" s="68" t="s">
        <v>44</v>
      </c>
      <c r="B24" s="78">
        <v>10163</v>
      </c>
      <c r="C24" s="23" t="s">
        <v>45</v>
      </c>
      <c r="D24" s="24"/>
      <c r="E24" s="24"/>
      <c r="F24" s="24"/>
      <c r="G24" s="25"/>
      <c r="H24" s="136">
        <v>1344</v>
      </c>
      <c r="I24" s="27">
        <f t="shared" si="3"/>
        <v>4</v>
      </c>
      <c r="J24" s="27"/>
      <c r="K24" s="16"/>
      <c r="L24" s="27">
        <v>3</v>
      </c>
      <c r="M24" s="27"/>
      <c r="N24" s="27"/>
      <c r="O24" s="27"/>
      <c r="P24" s="27"/>
      <c r="Q24" s="27"/>
      <c r="R24" s="27"/>
      <c r="S24" s="27"/>
      <c r="T24" s="43"/>
      <c r="U24" s="52"/>
      <c r="V24" s="52"/>
      <c r="W24" s="52"/>
      <c r="X24" s="52"/>
      <c r="Y24" s="52"/>
      <c r="Z24" s="52"/>
      <c r="AA24" s="52"/>
      <c r="AB24" s="52"/>
      <c r="AC24" s="52">
        <v>1</v>
      </c>
      <c r="AD24" s="52"/>
      <c r="AE24" s="52"/>
      <c r="AF24" s="52"/>
      <c r="AG24" s="52"/>
      <c r="AH24" s="52"/>
      <c r="AI24" s="55"/>
      <c r="AJ24" s="58"/>
      <c r="AK24" s="55"/>
      <c r="AL24" s="66">
        <f t="shared" si="4"/>
        <v>4</v>
      </c>
      <c r="AM24" s="28" t="str">
        <f t="shared" si="2"/>
        <v>OK</v>
      </c>
    </row>
    <row r="25" spans="1:39" customFormat="1" hidden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135"/>
      <c r="I25" s="21">
        <f t="shared" si="3"/>
        <v>0</v>
      </c>
      <c r="J25" s="21"/>
      <c r="K25" s="16"/>
      <c r="L25" s="21"/>
      <c r="M25" s="21"/>
      <c r="N25" s="21"/>
      <c r="O25" s="21"/>
      <c r="P25" s="21"/>
      <c r="Q25" s="21"/>
      <c r="R25" s="21"/>
      <c r="S25" s="21"/>
      <c r="T25" s="42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4"/>
      <c r="AJ25" s="57"/>
      <c r="AK25" s="54"/>
      <c r="AL25" s="65">
        <f t="shared" si="4"/>
        <v>0</v>
      </c>
      <c r="AM25" s="22" t="str">
        <f t="shared" si="2"/>
        <v>OK</v>
      </c>
    </row>
    <row r="26" spans="1:39" customFormat="1" hidden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36"/>
      <c r="I26" s="27">
        <f t="shared" si="3"/>
        <v>0</v>
      </c>
      <c r="J26" s="27"/>
      <c r="K26" s="16"/>
      <c r="L26" s="27"/>
      <c r="M26" s="27"/>
      <c r="N26" s="27"/>
      <c r="O26" s="27"/>
      <c r="P26" s="27"/>
      <c r="Q26" s="27"/>
      <c r="R26" s="27"/>
      <c r="S26" s="27"/>
      <c r="T26" s="43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8"/>
      <c r="AK26" s="55"/>
      <c r="AL26" s="66">
        <f t="shared" si="4"/>
        <v>0</v>
      </c>
      <c r="AM26" s="28" t="str">
        <f t="shared" si="2"/>
        <v>OK</v>
      </c>
    </row>
    <row r="27" spans="1:39" customFormat="1" hidden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135"/>
      <c r="I27" s="21">
        <f t="shared" si="3"/>
        <v>0</v>
      </c>
      <c r="J27" s="21"/>
      <c r="K27" s="16"/>
      <c r="L27" s="21"/>
      <c r="M27" s="21"/>
      <c r="N27" s="21"/>
      <c r="O27" s="21"/>
      <c r="P27" s="21"/>
      <c r="Q27" s="21"/>
      <c r="R27" s="21"/>
      <c r="S27" s="21"/>
      <c r="T27" s="4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7"/>
      <c r="AK27" s="54"/>
      <c r="AL27" s="65">
        <f t="shared" si="4"/>
        <v>0</v>
      </c>
      <c r="AM27" s="22" t="str">
        <f t="shared" si="2"/>
        <v>OK</v>
      </c>
    </row>
    <row r="28" spans="1:39" customFormat="1" hidden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136">
        <v>624</v>
      </c>
      <c r="I28" s="27">
        <f t="shared" si="3"/>
        <v>0</v>
      </c>
      <c r="J28" s="27"/>
      <c r="K28" s="16"/>
      <c r="L28" s="27"/>
      <c r="M28" s="27"/>
      <c r="N28" s="27"/>
      <c r="O28" s="27"/>
      <c r="P28" s="27"/>
      <c r="Q28" s="27"/>
      <c r="R28" s="27"/>
      <c r="S28" s="27"/>
      <c r="T28" s="43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5"/>
      <c r="AJ28" s="58"/>
      <c r="AK28" s="55"/>
      <c r="AL28" s="66">
        <f t="shared" si="4"/>
        <v>0</v>
      </c>
      <c r="AM28" s="28" t="str">
        <f t="shared" si="2"/>
        <v>OK</v>
      </c>
    </row>
    <row r="29" spans="1:39" customFormat="1" hidden="1">
      <c r="A29" s="80" t="s">
        <v>71</v>
      </c>
      <c r="B29" s="77">
        <v>10151</v>
      </c>
      <c r="C29" s="17" t="s">
        <v>51</v>
      </c>
      <c r="D29" s="69"/>
      <c r="E29" s="18"/>
      <c r="F29" s="18"/>
      <c r="G29" s="19"/>
      <c r="H29" s="135">
        <f>264+440</f>
        <v>704</v>
      </c>
      <c r="I29" s="21">
        <f t="shared" si="3"/>
        <v>0</v>
      </c>
      <c r="J29" s="21"/>
      <c r="K29" s="16"/>
      <c r="L29" s="21"/>
      <c r="M29" s="21"/>
      <c r="N29" s="21"/>
      <c r="O29" s="21"/>
      <c r="P29" s="21"/>
      <c r="Q29" s="21"/>
      <c r="R29" s="21"/>
      <c r="S29" s="21"/>
      <c r="T29" s="42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4"/>
      <c r="AJ29" s="57"/>
      <c r="AK29" s="54"/>
      <c r="AL29" s="65">
        <f t="shared" si="4"/>
        <v>0</v>
      </c>
      <c r="AM29" s="22" t="str">
        <f t="shared" si="2"/>
        <v>OK</v>
      </c>
    </row>
    <row r="30" spans="1:39" customFormat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137">
        <v>1296</v>
      </c>
      <c r="I30" s="27">
        <f t="shared" si="3"/>
        <v>5</v>
      </c>
      <c r="J30" s="27"/>
      <c r="K30" s="16"/>
      <c r="L30" s="27"/>
      <c r="M30" s="27"/>
      <c r="N30" s="27"/>
      <c r="O30" s="27"/>
      <c r="P30" s="27"/>
      <c r="Q30" s="27"/>
      <c r="R30" s="27"/>
      <c r="S30" s="27"/>
      <c r="T30" s="43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5">
        <v>5</v>
      </c>
      <c r="AJ30" s="58"/>
      <c r="AK30" s="55"/>
      <c r="AL30" s="66">
        <f t="shared" si="4"/>
        <v>5</v>
      </c>
      <c r="AM30" s="28" t="str">
        <f t="shared" si="2"/>
        <v>OK</v>
      </c>
    </row>
    <row r="31" spans="1:39" customFormat="1" hidden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135"/>
      <c r="I31" s="21">
        <f t="shared" si="3"/>
        <v>0</v>
      </c>
      <c r="J31" s="21"/>
      <c r="K31" s="16"/>
      <c r="L31" s="21"/>
      <c r="M31" s="21"/>
      <c r="N31" s="21"/>
      <c r="O31" s="21"/>
      <c r="P31" s="21"/>
      <c r="Q31" s="21"/>
      <c r="R31" s="21"/>
      <c r="S31" s="21"/>
      <c r="T31" s="4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7"/>
      <c r="AK31" s="54"/>
      <c r="AL31" s="65">
        <f t="shared" si="4"/>
        <v>0</v>
      </c>
      <c r="AM31" s="22" t="str">
        <f t="shared" si="2"/>
        <v>OK</v>
      </c>
    </row>
    <row r="32" spans="1:39" customFormat="1" hidden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136"/>
      <c r="I32" s="27">
        <f t="shared" si="3"/>
        <v>0</v>
      </c>
      <c r="J32" s="27"/>
      <c r="K32" s="16"/>
      <c r="L32" s="27"/>
      <c r="M32" s="27"/>
      <c r="N32" s="27"/>
      <c r="O32" s="27"/>
      <c r="P32" s="27"/>
      <c r="Q32" s="27"/>
      <c r="R32" s="27"/>
      <c r="S32" s="27"/>
      <c r="T32" s="43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5"/>
      <c r="AJ32" s="58"/>
      <c r="AK32" s="55"/>
      <c r="AL32" s="66">
        <f t="shared" si="4"/>
        <v>0</v>
      </c>
      <c r="AM32" s="28" t="str">
        <f t="shared" si="2"/>
        <v>OK</v>
      </c>
    </row>
    <row r="33" spans="1:39" customFormat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135">
        <v>1416</v>
      </c>
      <c r="I33" s="21">
        <f t="shared" si="3"/>
        <v>1</v>
      </c>
      <c r="J33" s="21"/>
      <c r="K33" s="16"/>
      <c r="L33" s="21">
        <v>1</v>
      </c>
      <c r="M33" s="21"/>
      <c r="N33" s="21"/>
      <c r="O33" s="21"/>
      <c r="P33" s="21"/>
      <c r="Q33" s="21"/>
      <c r="R33" s="21"/>
      <c r="S33" s="21"/>
      <c r="T33" s="42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4"/>
      <c r="AJ33" s="57"/>
      <c r="AK33" s="54"/>
      <c r="AL33" s="65">
        <f t="shared" si="4"/>
        <v>1</v>
      </c>
      <c r="AM33" s="22" t="str">
        <f t="shared" si="2"/>
        <v>OK</v>
      </c>
    </row>
    <row r="34" spans="1:39" customFormat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136">
        <f>660+660+660</f>
        <v>1980</v>
      </c>
      <c r="I34" s="27">
        <f t="shared" si="3"/>
        <v>2</v>
      </c>
      <c r="J34" s="27"/>
      <c r="K34" s="16"/>
      <c r="L34" s="27"/>
      <c r="M34" s="27"/>
      <c r="N34" s="27"/>
      <c r="O34" s="27"/>
      <c r="P34" s="27"/>
      <c r="Q34" s="27"/>
      <c r="R34" s="27"/>
      <c r="S34" s="27"/>
      <c r="T34" s="43"/>
      <c r="U34" s="52"/>
      <c r="V34" s="52"/>
      <c r="W34" s="52"/>
      <c r="X34" s="52"/>
      <c r="Y34" s="52">
        <v>2</v>
      </c>
      <c r="Z34" s="52"/>
      <c r="AA34" s="52"/>
      <c r="AB34" s="52"/>
      <c r="AC34" s="52"/>
      <c r="AD34" s="52"/>
      <c r="AE34" s="52"/>
      <c r="AF34" s="52"/>
      <c r="AG34" s="52"/>
      <c r="AH34" s="52"/>
      <c r="AI34" s="55"/>
      <c r="AJ34" s="58"/>
      <c r="AK34" s="55"/>
      <c r="AL34" s="66">
        <f t="shared" si="4"/>
        <v>2</v>
      </c>
      <c r="AM34" s="28" t="str">
        <f t="shared" si="2"/>
        <v>OK</v>
      </c>
    </row>
    <row r="35" spans="1:39" customFormat="1" hidden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135"/>
      <c r="I35" s="21">
        <f t="shared" si="3"/>
        <v>0</v>
      </c>
      <c r="J35" s="21"/>
      <c r="K35" s="16"/>
      <c r="L35" s="21"/>
      <c r="M35" s="21"/>
      <c r="N35" s="21"/>
      <c r="O35" s="21"/>
      <c r="P35" s="21"/>
      <c r="Q35" s="21"/>
      <c r="R35" s="21"/>
      <c r="S35" s="21"/>
      <c r="T35" s="42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4"/>
      <c r="AJ35" s="57"/>
      <c r="AK35" s="54"/>
      <c r="AL35" s="65">
        <f t="shared" si="4"/>
        <v>0</v>
      </c>
      <c r="AM35" s="22" t="str">
        <f t="shared" si="2"/>
        <v>OK</v>
      </c>
    </row>
    <row r="36" spans="1:39" customFormat="1" hidden="1">
      <c r="A36" s="68" t="s">
        <v>76</v>
      </c>
      <c r="B36" s="78">
        <v>10135</v>
      </c>
      <c r="C36" s="23" t="s">
        <v>56</v>
      </c>
      <c r="D36" s="24"/>
      <c r="E36" s="24"/>
      <c r="F36" s="24"/>
      <c r="G36" s="25"/>
      <c r="H36" s="136"/>
      <c r="I36" s="27">
        <f t="shared" si="3"/>
        <v>0</v>
      </c>
      <c r="J36" s="27"/>
      <c r="K36" s="16"/>
      <c r="L36" s="27"/>
      <c r="M36" s="27"/>
      <c r="N36" s="27"/>
      <c r="O36" s="27"/>
      <c r="P36" s="27"/>
      <c r="Q36" s="27"/>
      <c r="R36" s="27"/>
      <c r="S36" s="27"/>
      <c r="T36" s="43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5"/>
      <c r="AJ36" s="58"/>
      <c r="AK36" s="55"/>
      <c r="AL36" s="66">
        <f t="shared" si="4"/>
        <v>0</v>
      </c>
      <c r="AM36" s="28" t="str">
        <f t="shared" si="2"/>
        <v>OK</v>
      </c>
    </row>
    <row r="37" spans="1:39" customFormat="1" hidden="1">
      <c r="A37" s="80" t="s">
        <v>77</v>
      </c>
      <c r="B37" s="77">
        <v>10133</v>
      </c>
      <c r="C37" s="17" t="s">
        <v>55</v>
      </c>
      <c r="D37" s="69"/>
      <c r="E37" s="18"/>
      <c r="F37" s="18"/>
      <c r="G37" s="19"/>
      <c r="H37" s="135"/>
      <c r="I37" s="21">
        <f t="shared" si="3"/>
        <v>0</v>
      </c>
      <c r="J37" s="21"/>
      <c r="K37" s="16"/>
      <c r="L37" s="21"/>
      <c r="M37" s="21"/>
      <c r="N37" s="21"/>
      <c r="O37" s="21"/>
      <c r="P37" s="21"/>
      <c r="Q37" s="21"/>
      <c r="R37" s="21"/>
      <c r="S37" s="21"/>
      <c r="T37" s="42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4"/>
      <c r="AJ37" s="57"/>
      <c r="AK37" s="54"/>
      <c r="AL37" s="65">
        <f t="shared" si="4"/>
        <v>0</v>
      </c>
      <c r="AM37" s="22" t="str">
        <f t="shared" si="2"/>
        <v>OK</v>
      </c>
    </row>
    <row r="38" spans="1:39" customFormat="1">
      <c r="A38" s="68" t="s">
        <v>78</v>
      </c>
      <c r="B38" s="78">
        <v>10131</v>
      </c>
      <c r="C38" s="23" t="s">
        <v>56</v>
      </c>
      <c r="D38" s="24"/>
      <c r="E38" s="24"/>
      <c r="F38" s="24"/>
      <c r="G38" s="25"/>
      <c r="H38" s="136">
        <f>400+600</f>
        <v>1000</v>
      </c>
      <c r="I38" s="27">
        <f t="shared" si="3"/>
        <v>2</v>
      </c>
      <c r="J38" s="27"/>
      <c r="K38" s="16"/>
      <c r="L38" s="27">
        <v>1</v>
      </c>
      <c r="M38" s="27"/>
      <c r="N38" s="27"/>
      <c r="O38" s="27"/>
      <c r="P38" s="27"/>
      <c r="Q38" s="27"/>
      <c r="R38" s="27"/>
      <c r="S38" s="27"/>
      <c r="T38" s="43"/>
      <c r="U38" s="52"/>
      <c r="V38" s="52"/>
      <c r="W38" s="52"/>
      <c r="X38" s="52"/>
      <c r="Y38" s="52"/>
      <c r="Z38" s="52"/>
      <c r="AA38" s="52"/>
      <c r="AB38" s="52"/>
      <c r="AC38" s="52">
        <v>1</v>
      </c>
      <c r="AD38" s="52"/>
      <c r="AE38" s="52"/>
      <c r="AF38" s="52"/>
      <c r="AG38" s="52"/>
      <c r="AH38" s="52"/>
      <c r="AI38" s="55"/>
      <c r="AJ38" s="58"/>
      <c r="AK38" s="55"/>
      <c r="AL38" s="66">
        <f t="shared" ref="AL38:AL50" si="5">SUM(L38:AK38)</f>
        <v>2</v>
      </c>
      <c r="AM38" s="28" t="str">
        <f t="shared" si="2"/>
        <v>OK</v>
      </c>
    </row>
    <row r="39" spans="1:39" customFormat="1" hidden="1">
      <c r="A39" s="17" t="s">
        <v>79</v>
      </c>
      <c r="B39" s="77">
        <v>10129</v>
      </c>
      <c r="C39" s="17" t="s">
        <v>57</v>
      </c>
      <c r="D39" s="69"/>
      <c r="E39" s="18"/>
      <c r="F39" s="18"/>
      <c r="G39" s="19"/>
      <c r="H39" s="135">
        <v>750</v>
      </c>
      <c r="I39" s="21">
        <f t="shared" si="3"/>
        <v>0</v>
      </c>
      <c r="J39" s="21"/>
      <c r="K39" s="16"/>
      <c r="L39" s="21"/>
      <c r="M39" s="21"/>
      <c r="N39" s="21"/>
      <c r="O39" s="21"/>
      <c r="P39" s="21"/>
      <c r="Q39" s="21"/>
      <c r="R39" s="21"/>
      <c r="S39" s="21"/>
      <c r="T39" s="42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4"/>
      <c r="AJ39" s="57"/>
      <c r="AK39" s="54"/>
      <c r="AL39" s="65">
        <f t="shared" si="5"/>
        <v>0</v>
      </c>
      <c r="AM39" s="22" t="str">
        <f t="shared" si="2"/>
        <v>OK</v>
      </c>
    </row>
    <row r="40" spans="1:39" customFormat="1">
      <c r="A40" s="68" t="s">
        <v>80</v>
      </c>
      <c r="B40" s="78">
        <v>10127</v>
      </c>
      <c r="C40" s="23" t="s">
        <v>58</v>
      </c>
      <c r="D40" s="24"/>
      <c r="E40" s="24"/>
      <c r="F40" s="24"/>
      <c r="G40" s="25"/>
      <c r="H40" s="136">
        <f>700+984+177+1400</f>
        <v>3261</v>
      </c>
      <c r="I40" s="27">
        <f t="shared" si="3"/>
        <v>1</v>
      </c>
      <c r="J40" s="27"/>
      <c r="K40" s="16"/>
      <c r="L40" s="27">
        <v>1</v>
      </c>
      <c r="M40" s="27"/>
      <c r="N40" s="27"/>
      <c r="O40" s="27"/>
      <c r="P40" s="27"/>
      <c r="Q40" s="27"/>
      <c r="R40" s="27"/>
      <c r="S40" s="27"/>
      <c r="T40" s="43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5"/>
      <c r="AJ40" s="58"/>
      <c r="AK40" s="55"/>
      <c r="AL40" s="66">
        <f t="shared" si="5"/>
        <v>1</v>
      </c>
      <c r="AM40" s="28" t="str">
        <f t="shared" si="2"/>
        <v>OK</v>
      </c>
    </row>
    <row r="41" spans="1:39" customFormat="1" hidden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135"/>
      <c r="I41" s="21">
        <f t="shared" si="3"/>
        <v>0</v>
      </c>
      <c r="J41" s="21"/>
      <c r="K41" s="16"/>
      <c r="L41" s="21"/>
      <c r="M41" s="21"/>
      <c r="N41" s="21"/>
      <c r="O41" s="21"/>
      <c r="P41" s="21"/>
      <c r="Q41" s="21"/>
      <c r="R41" s="21"/>
      <c r="S41" s="21"/>
      <c r="T41" s="4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4"/>
      <c r="AJ41" s="57"/>
      <c r="AK41" s="54"/>
      <c r="AL41" s="65">
        <f t="shared" si="5"/>
        <v>0</v>
      </c>
      <c r="AM41" s="22" t="str">
        <f t="shared" si="2"/>
        <v>OK</v>
      </c>
    </row>
    <row r="42" spans="1:39" customFormat="1" hidden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136"/>
      <c r="I42" s="27">
        <f t="shared" si="3"/>
        <v>0</v>
      </c>
      <c r="J42" s="27"/>
      <c r="K42" s="16"/>
      <c r="L42" s="27"/>
      <c r="M42" s="27"/>
      <c r="N42" s="27"/>
      <c r="O42" s="27"/>
      <c r="P42" s="27"/>
      <c r="Q42" s="27"/>
      <c r="R42" s="27"/>
      <c r="S42" s="27"/>
      <c r="T42" s="43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5"/>
      <c r="AJ42" s="58"/>
      <c r="AK42" s="55"/>
      <c r="AL42" s="66">
        <f t="shared" si="5"/>
        <v>0</v>
      </c>
      <c r="AM42" s="28" t="str">
        <f t="shared" si="2"/>
        <v>OK</v>
      </c>
    </row>
    <row r="43" spans="1:39" customFormat="1" hidden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135"/>
      <c r="I43" s="21">
        <f t="shared" si="3"/>
        <v>0</v>
      </c>
      <c r="J43" s="21"/>
      <c r="K43" s="16"/>
      <c r="L43" s="21"/>
      <c r="M43" s="21"/>
      <c r="N43" s="21"/>
      <c r="O43" s="21"/>
      <c r="P43" s="21"/>
      <c r="Q43" s="21"/>
      <c r="R43" s="21"/>
      <c r="S43" s="21"/>
      <c r="T43" s="42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4"/>
      <c r="AJ43" s="57"/>
      <c r="AK43" s="54"/>
      <c r="AL43" s="65">
        <f t="shared" si="5"/>
        <v>0</v>
      </c>
      <c r="AM43" s="22" t="str">
        <f t="shared" si="2"/>
        <v>OK</v>
      </c>
    </row>
    <row r="44" spans="1:39" customFormat="1" hidden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136"/>
      <c r="I44" s="27">
        <f t="shared" si="3"/>
        <v>0</v>
      </c>
      <c r="J44" s="27"/>
      <c r="K44" s="16"/>
      <c r="L44" s="27"/>
      <c r="M44" s="27"/>
      <c r="N44" s="27"/>
      <c r="O44" s="27"/>
      <c r="P44" s="27"/>
      <c r="Q44" s="27"/>
      <c r="R44" s="27"/>
      <c r="S44" s="27"/>
      <c r="T44" s="43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5"/>
      <c r="AJ44" s="58"/>
      <c r="AK44" s="55"/>
      <c r="AL44" s="66">
        <f t="shared" si="5"/>
        <v>0</v>
      </c>
      <c r="AM44" s="28" t="str">
        <f t="shared" si="2"/>
        <v>OK</v>
      </c>
    </row>
    <row r="45" spans="1:39" customFormat="1" hidden="1">
      <c r="A45" s="17" t="s">
        <v>107</v>
      </c>
      <c r="B45" s="77">
        <v>13467</v>
      </c>
      <c r="C45" s="17" t="s">
        <v>87</v>
      </c>
      <c r="D45" s="69"/>
      <c r="E45" s="18"/>
      <c r="F45" s="18"/>
      <c r="G45" s="19"/>
      <c r="H45" s="135"/>
      <c r="I45" s="21">
        <f t="shared" si="3"/>
        <v>0</v>
      </c>
      <c r="J45" s="21"/>
      <c r="K45" s="16"/>
      <c r="L45" s="21"/>
      <c r="M45" s="21"/>
      <c r="N45" s="21"/>
      <c r="O45" s="21"/>
      <c r="P45" s="21"/>
      <c r="Q45" s="21"/>
      <c r="R45" s="21"/>
      <c r="S45" s="21"/>
      <c r="T45" s="4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4"/>
      <c r="AJ45" s="57"/>
      <c r="AK45" s="54"/>
      <c r="AL45" s="65">
        <f t="shared" si="5"/>
        <v>0</v>
      </c>
      <c r="AM45" s="22" t="str">
        <f t="shared" si="2"/>
        <v>OK</v>
      </c>
    </row>
    <row r="46" spans="1:39" customFormat="1" hidden="1">
      <c r="A46" s="68" t="s">
        <v>111</v>
      </c>
      <c r="B46" s="78">
        <v>15948</v>
      </c>
      <c r="C46" s="23" t="s">
        <v>87</v>
      </c>
      <c r="D46" s="24"/>
      <c r="E46" s="24"/>
      <c r="F46" s="24"/>
      <c r="G46" s="25"/>
      <c r="H46" s="136"/>
      <c r="I46" s="27">
        <f t="shared" si="3"/>
        <v>0</v>
      </c>
      <c r="J46" s="27"/>
      <c r="K46" s="16"/>
      <c r="L46" s="27"/>
      <c r="M46" s="27"/>
      <c r="N46" s="27"/>
      <c r="O46" s="27"/>
      <c r="P46" s="27"/>
      <c r="Q46" s="27"/>
      <c r="R46" s="27"/>
      <c r="S46" s="27"/>
      <c r="T46" s="43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5"/>
      <c r="AJ46" s="58"/>
      <c r="AK46" s="55"/>
      <c r="AL46" s="66">
        <f t="shared" si="5"/>
        <v>0</v>
      </c>
      <c r="AM46" s="28" t="str">
        <f t="shared" si="2"/>
        <v>OK</v>
      </c>
    </row>
    <row r="47" spans="1:39" customFormat="1" hidden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135"/>
      <c r="I47" s="21">
        <f t="shared" si="3"/>
        <v>0</v>
      </c>
      <c r="J47" s="21"/>
      <c r="K47" s="16"/>
      <c r="L47" s="21"/>
      <c r="M47" s="21"/>
      <c r="N47" s="21"/>
      <c r="O47" s="21"/>
      <c r="P47" s="21"/>
      <c r="Q47" s="21"/>
      <c r="R47" s="21"/>
      <c r="S47" s="21"/>
      <c r="T47" s="42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4"/>
      <c r="AJ47" s="57"/>
      <c r="AK47" s="54"/>
      <c r="AL47" s="65">
        <f t="shared" si="5"/>
        <v>0</v>
      </c>
      <c r="AM47" s="22" t="str">
        <f t="shared" si="2"/>
        <v>OK</v>
      </c>
    </row>
    <row r="48" spans="1:39" customFormat="1" hidden="1">
      <c r="A48" s="68" t="s">
        <v>121</v>
      </c>
      <c r="B48" s="78">
        <v>16598</v>
      </c>
      <c r="C48" s="23" t="s">
        <v>87</v>
      </c>
      <c r="D48" s="24"/>
      <c r="E48" s="24"/>
      <c r="F48" s="24"/>
      <c r="G48" s="25"/>
      <c r="H48" s="136">
        <f>503+915</f>
        <v>1418</v>
      </c>
      <c r="I48" s="27">
        <f t="shared" si="3"/>
        <v>0</v>
      </c>
      <c r="J48" s="27"/>
      <c r="K48" s="16"/>
      <c r="L48" s="27"/>
      <c r="M48" s="27"/>
      <c r="N48" s="27"/>
      <c r="O48" s="27"/>
      <c r="P48" s="27"/>
      <c r="Q48" s="27"/>
      <c r="R48" s="27"/>
      <c r="S48" s="27"/>
      <c r="T48" s="43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5"/>
      <c r="AJ48" s="58"/>
      <c r="AK48" s="55"/>
      <c r="AL48" s="66">
        <f t="shared" si="5"/>
        <v>0</v>
      </c>
      <c r="AM48" s="28" t="str">
        <f t="shared" si="2"/>
        <v>OK</v>
      </c>
    </row>
    <row r="49" spans="1:39" customFormat="1" hidden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135"/>
      <c r="I49" s="21">
        <f t="shared" si="3"/>
        <v>0</v>
      </c>
      <c r="J49" s="21"/>
      <c r="K49" s="16"/>
      <c r="L49" s="21"/>
      <c r="M49" s="21"/>
      <c r="N49" s="21"/>
      <c r="O49" s="21"/>
      <c r="P49" s="21"/>
      <c r="Q49" s="21"/>
      <c r="R49" s="21"/>
      <c r="S49" s="21"/>
      <c r="T49" s="4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4"/>
      <c r="AJ49" s="57"/>
      <c r="AK49" s="54"/>
      <c r="AL49" s="65">
        <f t="shared" si="5"/>
        <v>0</v>
      </c>
      <c r="AM49" s="22" t="str">
        <f t="shared" si="2"/>
        <v>OK</v>
      </c>
    </row>
    <row r="50" spans="1:39" customFormat="1" hidden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136"/>
      <c r="I50" s="27">
        <f t="shared" si="3"/>
        <v>0</v>
      </c>
      <c r="J50" s="27"/>
      <c r="K50" s="16"/>
      <c r="L50" s="27"/>
      <c r="M50" s="27"/>
      <c r="N50" s="27"/>
      <c r="O50" s="27"/>
      <c r="P50" s="27"/>
      <c r="Q50" s="27"/>
      <c r="R50" s="27"/>
      <c r="S50" s="27"/>
      <c r="T50" s="43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8"/>
      <c r="AK50" s="55"/>
      <c r="AL50" s="66">
        <f t="shared" si="5"/>
        <v>0</v>
      </c>
      <c r="AM50" s="28" t="str">
        <f t="shared" si="2"/>
        <v>OK</v>
      </c>
    </row>
    <row r="51" spans="1:39" customFormat="1" hidden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135"/>
      <c r="I51" s="21">
        <f t="shared" si="3"/>
        <v>0</v>
      </c>
      <c r="J51" s="21"/>
      <c r="K51" s="16"/>
      <c r="L51" s="21"/>
      <c r="M51" s="21"/>
      <c r="N51" s="21"/>
      <c r="O51" s="21"/>
      <c r="P51" s="21"/>
      <c r="Q51" s="21"/>
      <c r="R51" s="21"/>
      <c r="S51" s="21"/>
      <c r="T51" s="4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4"/>
      <c r="AJ51" s="57"/>
      <c r="AK51" s="54"/>
      <c r="AL51" s="65">
        <f>SUM(L51:AK51)</f>
        <v>0</v>
      </c>
      <c r="AM51" s="22" t="str">
        <f t="shared" si="2"/>
        <v>OK</v>
      </c>
    </row>
    <row r="52" spans="1:39" customFormat="1" hidden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136"/>
      <c r="I52" s="27">
        <f t="shared" si="3"/>
        <v>0</v>
      </c>
      <c r="J52" s="27"/>
      <c r="K52" s="16"/>
      <c r="L52" s="27"/>
      <c r="M52" s="27"/>
      <c r="N52" s="27"/>
      <c r="O52" s="27"/>
      <c r="P52" s="27"/>
      <c r="Q52" s="27"/>
      <c r="R52" s="27"/>
      <c r="S52" s="27"/>
      <c r="T52" s="43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5"/>
      <c r="AJ52" s="58"/>
      <c r="AK52" s="55"/>
      <c r="AL52" s="66">
        <f t="shared" ref="AL52:AL64" si="6">SUM(L52:AK52)</f>
        <v>0</v>
      </c>
      <c r="AM52" s="28" t="str">
        <f t="shared" si="2"/>
        <v>OK</v>
      </c>
    </row>
    <row r="53" spans="1:39" customFormat="1" hidden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135"/>
      <c r="I53" s="21">
        <f t="shared" si="3"/>
        <v>0</v>
      </c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42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4"/>
      <c r="AJ53" s="57"/>
      <c r="AK53" s="54"/>
      <c r="AL53" s="65">
        <f t="shared" si="6"/>
        <v>0</v>
      </c>
      <c r="AM53" s="22" t="str">
        <f t="shared" si="2"/>
        <v>OK</v>
      </c>
    </row>
    <row r="54" spans="1:39" customFormat="1" hidden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136"/>
      <c r="I54" s="27">
        <f t="shared" si="3"/>
        <v>0</v>
      </c>
      <c r="J54" s="27"/>
      <c r="K54" s="16"/>
      <c r="L54" s="27"/>
      <c r="M54" s="27"/>
      <c r="N54" s="27"/>
      <c r="O54" s="27"/>
      <c r="P54" s="27"/>
      <c r="Q54" s="27"/>
      <c r="R54" s="27"/>
      <c r="S54" s="27"/>
      <c r="T54" s="43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5"/>
      <c r="AJ54" s="58"/>
      <c r="AK54" s="55"/>
      <c r="AL54" s="66">
        <f t="shared" si="6"/>
        <v>0</v>
      </c>
      <c r="AM54" s="28" t="str">
        <f t="shared" si="2"/>
        <v>OK</v>
      </c>
    </row>
    <row r="55" spans="1:39" customFormat="1" hidden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135"/>
      <c r="I55" s="21">
        <f t="shared" si="3"/>
        <v>0</v>
      </c>
      <c r="J55" s="21"/>
      <c r="K55" s="16"/>
      <c r="L55" s="21"/>
      <c r="M55" s="21"/>
      <c r="N55" s="21"/>
      <c r="O55" s="21"/>
      <c r="P55" s="21"/>
      <c r="Q55" s="21"/>
      <c r="R55" s="21"/>
      <c r="S55" s="21"/>
      <c r="T55" s="42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4"/>
      <c r="AJ55" s="57"/>
      <c r="AK55" s="54"/>
      <c r="AL55" s="65">
        <f t="shared" si="6"/>
        <v>0</v>
      </c>
      <c r="AM55" s="22" t="str">
        <f t="shared" si="2"/>
        <v>OK</v>
      </c>
    </row>
    <row r="56" spans="1:39" customFormat="1" hidden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136"/>
      <c r="I56" s="27">
        <f t="shared" si="3"/>
        <v>0</v>
      </c>
      <c r="J56" s="27"/>
      <c r="K56" s="16"/>
      <c r="L56" s="27"/>
      <c r="M56" s="27"/>
      <c r="N56" s="27"/>
      <c r="O56" s="27"/>
      <c r="P56" s="27"/>
      <c r="Q56" s="27"/>
      <c r="R56" s="27"/>
      <c r="S56" s="27"/>
      <c r="T56" s="43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5"/>
      <c r="AJ56" s="58"/>
      <c r="AK56" s="55"/>
      <c r="AL56" s="66">
        <f t="shared" si="6"/>
        <v>0</v>
      </c>
      <c r="AM56" s="28" t="str">
        <f t="shared" si="2"/>
        <v>OK</v>
      </c>
    </row>
    <row r="57" spans="1:39" customFormat="1" hidden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135"/>
      <c r="I57" s="21">
        <f t="shared" si="3"/>
        <v>0</v>
      </c>
      <c r="J57" s="21"/>
      <c r="K57" s="16"/>
      <c r="L57" s="21"/>
      <c r="M57" s="21"/>
      <c r="N57" s="21"/>
      <c r="O57" s="21"/>
      <c r="P57" s="21"/>
      <c r="Q57" s="21"/>
      <c r="R57" s="21"/>
      <c r="S57" s="21"/>
      <c r="T57" s="42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4"/>
      <c r="AJ57" s="57"/>
      <c r="AK57" s="54"/>
      <c r="AL57" s="65">
        <f t="shared" si="6"/>
        <v>0</v>
      </c>
      <c r="AM57" s="22" t="str">
        <f t="shared" si="2"/>
        <v>OK</v>
      </c>
    </row>
    <row r="58" spans="1:39" customFormat="1" hidden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136"/>
      <c r="I58" s="27">
        <f t="shared" si="3"/>
        <v>0</v>
      </c>
      <c r="J58" s="27"/>
      <c r="K58" s="16"/>
      <c r="L58" s="27"/>
      <c r="M58" s="27"/>
      <c r="N58" s="27"/>
      <c r="O58" s="27"/>
      <c r="P58" s="27"/>
      <c r="Q58" s="27"/>
      <c r="R58" s="27"/>
      <c r="S58" s="27"/>
      <c r="T58" s="43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5"/>
      <c r="AJ58" s="58"/>
      <c r="AK58" s="55"/>
      <c r="AL58" s="66">
        <f t="shared" si="6"/>
        <v>0</v>
      </c>
      <c r="AM58" s="28" t="str">
        <f t="shared" si="2"/>
        <v>OK</v>
      </c>
    </row>
    <row r="59" spans="1:39" customFormat="1" hidden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135"/>
      <c r="I59" s="21">
        <f t="shared" si="3"/>
        <v>0</v>
      </c>
      <c r="J59" s="21"/>
      <c r="K59" s="16"/>
      <c r="L59" s="21"/>
      <c r="M59" s="21"/>
      <c r="N59" s="21"/>
      <c r="O59" s="21"/>
      <c r="P59" s="21"/>
      <c r="Q59" s="21"/>
      <c r="R59" s="21"/>
      <c r="S59" s="21"/>
      <c r="T59" s="4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4"/>
      <c r="AJ59" s="57"/>
      <c r="AK59" s="54"/>
      <c r="AL59" s="65">
        <f t="shared" si="6"/>
        <v>0</v>
      </c>
      <c r="AM59" s="22" t="str">
        <f t="shared" si="2"/>
        <v>OK</v>
      </c>
    </row>
    <row r="60" spans="1:39" customFormat="1" hidden="1">
      <c r="A60" s="68" t="s">
        <v>84</v>
      </c>
      <c r="B60" s="78">
        <v>11380</v>
      </c>
      <c r="C60" s="23" t="s">
        <v>60</v>
      </c>
      <c r="D60" s="24"/>
      <c r="E60" s="24"/>
      <c r="F60" s="24"/>
      <c r="G60" s="25"/>
      <c r="H60" s="136">
        <f>1320+1120+1340</f>
        <v>3780</v>
      </c>
      <c r="I60" s="27">
        <f t="shared" si="3"/>
        <v>0</v>
      </c>
      <c r="J60" s="27"/>
      <c r="K60" s="16"/>
      <c r="L60" s="27"/>
      <c r="M60" s="27"/>
      <c r="N60" s="27"/>
      <c r="O60" s="27"/>
      <c r="P60" s="27"/>
      <c r="Q60" s="27"/>
      <c r="R60" s="27"/>
      <c r="S60" s="27"/>
      <c r="T60" s="43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5"/>
      <c r="AJ60" s="58"/>
      <c r="AK60" s="55"/>
      <c r="AL60" s="66">
        <f t="shared" si="6"/>
        <v>0</v>
      </c>
      <c r="AM60" s="28" t="str">
        <f t="shared" si="2"/>
        <v>OK</v>
      </c>
    </row>
    <row r="61" spans="1:39" customFormat="1">
      <c r="A61" s="80" t="s">
        <v>112</v>
      </c>
      <c r="B61" s="77">
        <v>18518</v>
      </c>
      <c r="C61" s="17" t="s">
        <v>87</v>
      </c>
      <c r="D61" s="69"/>
      <c r="E61" s="18"/>
      <c r="F61" s="18"/>
      <c r="G61" s="19"/>
      <c r="H61" s="135">
        <f>924+1008+1200</f>
        <v>3132</v>
      </c>
      <c r="I61" s="21">
        <f t="shared" si="3"/>
        <v>1</v>
      </c>
      <c r="J61" s="21"/>
      <c r="K61" s="16"/>
      <c r="L61" s="21"/>
      <c r="M61" s="21"/>
      <c r="N61" s="21"/>
      <c r="O61" s="21"/>
      <c r="P61" s="21"/>
      <c r="Q61" s="21"/>
      <c r="R61" s="21"/>
      <c r="S61" s="21"/>
      <c r="T61" s="4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4">
        <v>1</v>
      </c>
      <c r="AJ61" s="57"/>
      <c r="AK61" s="54"/>
      <c r="AL61" s="65">
        <f t="shared" si="6"/>
        <v>1</v>
      </c>
      <c r="AM61" s="22" t="str">
        <f t="shared" si="2"/>
        <v>OK</v>
      </c>
    </row>
    <row r="62" spans="1:39" customFormat="1" hidden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136">
        <f>503+70+1150</f>
        <v>1723</v>
      </c>
      <c r="I62" s="27">
        <f t="shared" si="3"/>
        <v>0</v>
      </c>
      <c r="J62" s="27"/>
      <c r="K62" s="16"/>
      <c r="L62" s="27"/>
      <c r="M62" s="27"/>
      <c r="N62" s="27"/>
      <c r="O62" s="27"/>
      <c r="P62" s="27"/>
      <c r="Q62" s="27"/>
      <c r="R62" s="27"/>
      <c r="S62" s="27"/>
      <c r="T62" s="43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5"/>
      <c r="AJ62" s="58"/>
      <c r="AK62" s="55"/>
      <c r="AL62" s="66">
        <f t="shared" si="6"/>
        <v>0</v>
      </c>
      <c r="AM62" s="28" t="str">
        <f t="shared" si="2"/>
        <v>OK</v>
      </c>
    </row>
    <row r="63" spans="1:39" customFormat="1" hidden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135"/>
      <c r="I63" s="21">
        <f t="shared" si="3"/>
        <v>0</v>
      </c>
      <c r="J63" s="21"/>
      <c r="K63" s="16"/>
      <c r="L63" s="21"/>
      <c r="M63" s="21"/>
      <c r="N63" s="21"/>
      <c r="O63" s="21"/>
      <c r="P63" s="21"/>
      <c r="Q63" s="21"/>
      <c r="R63" s="21"/>
      <c r="S63" s="21"/>
      <c r="T63" s="4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4"/>
      <c r="AJ63" s="57"/>
      <c r="AK63" s="54"/>
      <c r="AL63" s="65">
        <f t="shared" si="6"/>
        <v>0</v>
      </c>
      <c r="AM63" s="22" t="str">
        <f t="shared" si="2"/>
        <v>OK</v>
      </c>
    </row>
    <row r="64" spans="1:39" customFormat="1" hidden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136"/>
      <c r="I64" s="27">
        <f t="shared" si="3"/>
        <v>0</v>
      </c>
      <c r="J64" s="27"/>
      <c r="K64" s="16"/>
      <c r="L64" s="27"/>
      <c r="M64" s="27"/>
      <c r="N64" s="27"/>
      <c r="O64" s="27"/>
      <c r="P64" s="27"/>
      <c r="Q64" s="27"/>
      <c r="R64" s="27"/>
      <c r="S64" s="27"/>
      <c r="T64" s="43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5"/>
      <c r="AJ64" s="58"/>
      <c r="AK64" s="55"/>
      <c r="AL64" s="66">
        <f t="shared" si="6"/>
        <v>0</v>
      </c>
      <c r="AM64" s="28" t="str">
        <f t="shared" si="2"/>
        <v>OK</v>
      </c>
    </row>
    <row r="65" spans="1:39" customFormat="1" hidden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135"/>
      <c r="I65" s="21">
        <f t="shared" si="3"/>
        <v>0</v>
      </c>
      <c r="J65" s="21"/>
      <c r="K65" s="16"/>
      <c r="L65" s="21"/>
      <c r="M65" s="21"/>
      <c r="N65" s="21"/>
      <c r="O65" s="21"/>
      <c r="P65" s="21"/>
      <c r="Q65" s="21"/>
      <c r="R65" s="21"/>
      <c r="S65" s="21"/>
      <c r="T65" s="4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4"/>
      <c r="AJ65" s="57"/>
      <c r="AK65" s="54"/>
      <c r="AL65" s="65">
        <f t="shared" si="4"/>
        <v>0</v>
      </c>
      <c r="AM65" s="22" t="str">
        <f t="shared" si="2"/>
        <v>OK</v>
      </c>
    </row>
    <row r="66" spans="1:39" customFormat="1" ht="17.25" thickBot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136">
        <v>3240</v>
      </c>
      <c r="I66" s="27">
        <f t="shared" si="3"/>
        <v>2</v>
      </c>
      <c r="J66" s="27"/>
      <c r="K66" s="16"/>
      <c r="L66" s="27"/>
      <c r="M66" s="27"/>
      <c r="N66" s="27"/>
      <c r="O66" s="27"/>
      <c r="P66" s="27"/>
      <c r="Q66" s="27"/>
      <c r="R66" s="27"/>
      <c r="S66" s="27"/>
      <c r="T66" s="43"/>
      <c r="U66" s="52"/>
      <c r="V66" s="52"/>
      <c r="W66" s="52"/>
      <c r="X66" s="52"/>
      <c r="Y66" s="52">
        <v>1</v>
      </c>
      <c r="Z66" s="52"/>
      <c r="AA66" s="52"/>
      <c r="AB66" s="52"/>
      <c r="AC66" s="52">
        <v>1</v>
      </c>
      <c r="AD66" s="52"/>
      <c r="AE66" s="52"/>
      <c r="AF66" s="52"/>
      <c r="AG66" s="52"/>
      <c r="AH66" s="52"/>
      <c r="AI66" s="55"/>
      <c r="AJ66" s="58"/>
      <c r="AK66" s="55"/>
      <c r="AL66" s="66">
        <f t="shared" si="4"/>
        <v>2</v>
      </c>
      <c r="AM66" s="28" t="str">
        <f t="shared" si="2"/>
        <v>OK</v>
      </c>
    </row>
    <row r="67" spans="1:39" customFormat="1" ht="17.25" hidden="1" thickBot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135"/>
      <c r="I67" s="21">
        <f t="shared" si="3"/>
        <v>0</v>
      </c>
      <c r="J67" s="21"/>
      <c r="K67" s="16"/>
      <c r="L67" s="21"/>
      <c r="M67" s="21"/>
      <c r="N67" s="21"/>
      <c r="O67" s="21"/>
      <c r="P67" s="21"/>
      <c r="Q67" s="21"/>
      <c r="R67" s="21"/>
      <c r="S67" s="21"/>
      <c r="T67" s="4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4"/>
      <c r="AJ67" s="57"/>
      <c r="AK67" s="54"/>
      <c r="AL67" s="65">
        <f t="shared" si="4"/>
        <v>0</v>
      </c>
      <c r="AM67" s="22" t="str">
        <f t="shared" si="2"/>
        <v>OK</v>
      </c>
    </row>
    <row r="68" spans="1:39" customFormat="1" ht="17.25" hidden="1" thickBot="1">
      <c r="A68" s="81" t="s">
        <v>132</v>
      </c>
      <c r="B68" s="78">
        <v>20269</v>
      </c>
      <c r="C68" s="23" t="s">
        <v>131</v>
      </c>
      <c r="D68" s="24"/>
      <c r="E68" s="24"/>
      <c r="F68" s="24"/>
      <c r="G68" s="25"/>
      <c r="H68" s="136">
        <f>1250+1340+1480</f>
        <v>4070</v>
      </c>
      <c r="I68" s="27">
        <f t="shared" si="3"/>
        <v>0</v>
      </c>
      <c r="J68" s="27"/>
      <c r="K68" s="16"/>
      <c r="L68" s="27"/>
      <c r="M68" s="27"/>
      <c r="N68" s="27"/>
      <c r="O68" s="27"/>
      <c r="P68" s="27"/>
      <c r="Q68" s="27"/>
      <c r="R68" s="27"/>
      <c r="S68" s="27"/>
      <c r="T68" s="43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5"/>
      <c r="AJ68" s="58"/>
      <c r="AK68" s="55"/>
      <c r="AL68" s="66">
        <f t="shared" si="4"/>
        <v>0</v>
      </c>
      <c r="AM68" s="28" t="str">
        <f t="shared" si="2"/>
        <v>OK</v>
      </c>
    </row>
    <row r="69" spans="1:39" customFormat="1" ht="17.25" hidden="1" thickBot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135"/>
      <c r="I69" s="21">
        <f t="shared" si="3"/>
        <v>0</v>
      </c>
      <c r="J69" s="21"/>
      <c r="K69" s="16"/>
      <c r="L69" s="21"/>
      <c r="M69" s="21"/>
      <c r="N69" s="21"/>
      <c r="O69" s="21"/>
      <c r="P69" s="21"/>
      <c r="Q69" s="21"/>
      <c r="R69" s="21"/>
      <c r="S69" s="21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7"/>
      <c r="AK69" s="54"/>
      <c r="AL69" s="65">
        <f t="shared" si="4"/>
        <v>0</v>
      </c>
      <c r="AM69" s="22" t="str">
        <f t="shared" si="2"/>
        <v>OK</v>
      </c>
    </row>
    <row r="70" spans="1:39" customFormat="1" ht="17.25" hidden="1" thickBot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136">
        <v>1800</v>
      </c>
      <c r="I70" s="27">
        <f t="shared" si="3"/>
        <v>0</v>
      </c>
      <c r="J70" s="27"/>
      <c r="K70" s="16"/>
      <c r="L70" s="27"/>
      <c r="M70" s="27"/>
      <c r="N70" s="27"/>
      <c r="O70" s="27"/>
      <c r="P70" s="27"/>
      <c r="Q70" s="27"/>
      <c r="R70" s="27"/>
      <c r="S70" s="27"/>
      <c r="T70" s="43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5"/>
      <c r="AJ70" s="58"/>
      <c r="AK70" s="55"/>
      <c r="AL70" s="66">
        <f t="shared" si="4"/>
        <v>0</v>
      </c>
      <c r="AM70" s="28" t="str">
        <f t="shared" si="2"/>
        <v>OK</v>
      </c>
    </row>
    <row r="71" spans="1:39" customFormat="1" ht="17.25" hidden="1" thickBot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135"/>
      <c r="I71" s="21">
        <f t="shared" ref="I71:I96" si="7">SUM(L71:AK71)</f>
        <v>0</v>
      </c>
      <c r="J71" s="21"/>
      <c r="K71" s="16"/>
      <c r="L71" s="21"/>
      <c r="M71" s="21"/>
      <c r="N71" s="21"/>
      <c r="O71" s="21"/>
      <c r="P71" s="21"/>
      <c r="Q71" s="21"/>
      <c r="R71" s="21"/>
      <c r="S71" s="21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4"/>
      <c r="AJ71" s="57"/>
      <c r="AK71" s="54"/>
      <c r="AL71" s="65">
        <f t="shared" si="4"/>
        <v>0</v>
      </c>
      <c r="AM71" s="22" t="str">
        <f t="shared" si="2"/>
        <v>OK</v>
      </c>
    </row>
    <row r="72" spans="1:39" customFormat="1" ht="17.25" hidden="1" thickBot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136"/>
      <c r="I72" s="27">
        <f t="shared" si="7"/>
        <v>0</v>
      </c>
      <c r="J72" s="27"/>
      <c r="K72" s="16"/>
      <c r="L72" s="27"/>
      <c r="M72" s="27"/>
      <c r="N72" s="27"/>
      <c r="O72" s="27"/>
      <c r="P72" s="27"/>
      <c r="Q72" s="27"/>
      <c r="R72" s="27"/>
      <c r="S72" s="27"/>
      <c r="T72" s="43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5"/>
      <c r="AJ72" s="58"/>
      <c r="AK72" s="55"/>
      <c r="AL72" s="66">
        <f t="shared" si="4"/>
        <v>0</v>
      </c>
      <c r="AM72" s="28" t="str">
        <f t="shared" si="2"/>
        <v>OK</v>
      </c>
    </row>
    <row r="73" spans="1:39" customFormat="1" ht="17.25" hidden="1" thickBot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138"/>
      <c r="I73" s="101">
        <f t="shared" si="7"/>
        <v>0</v>
      </c>
      <c r="J73" s="21"/>
      <c r="K73" s="16"/>
      <c r="L73" s="21"/>
      <c r="M73" s="21"/>
      <c r="N73" s="21"/>
      <c r="O73" s="21"/>
      <c r="P73" s="21"/>
      <c r="Q73" s="21"/>
      <c r="R73" s="21"/>
      <c r="S73" s="21"/>
      <c r="T73" s="42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4"/>
      <c r="AJ73" s="57"/>
      <c r="AK73" s="54"/>
      <c r="AL73" s="65">
        <f t="shared" si="4"/>
        <v>0</v>
      </c>
      <c r="AM73" s="22" t="str">
        <f t="shared" si="2"/>
        <v>OK</v>
      </c>
    </row>
    <row r="74" spans="1:39" customFormat="1" ht="17.25" hidden="1" thickBot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139"/>
      <c r="I74" s="103">
        <f t="shared" si="7"/>
        <v>0</v>
      </c>
      <c r="J74" s="27"/>
      <c r="K74" s="16"/>
      <c r="L74" s="100"/>
      <c r="M74" s="100"/>
      <c r="N74" s="100"/>
      <c r="O74" s="100"/>
      <c r="P74" s="100"/>
      <c r="Q74" s="100"/>
      <c r="R74" s="100"/>
      <c r="S74" s="100"/>
      <c r="T74" s="109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1"/>
      <c r="AJ74" s="112"/>
      <c r="AK74" s="111"/>
      <c r="AL74" s="66">
        <f t="shared" si="4"/>
        <v>0</v>
      </c>
      <c r="AM74" s="28" t="str">
        <f t="shared" si="2"/>
        <v>OK</v>
      </c>
    </row>
    <row r="75" spans="1:39" ht="17.25" hidden="1" thickBot="1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40"/>
      <c r="I75" s="105">
        <f t="shared" si="7"/>
        <v>0</v>
      </c>
      <c r="J75" s="90"/>
      <c r="K75" s="91"/>
      <c r="L75" s="113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5"/>
      <c r="AL75" s="92">
        <f t="shared" ref="AL75:AL80" si="8">SUM(L75:AK75)</f>
        <v>0</v>
      </c>
      <c r="AM75" s="122" t="str">
        <f t="shared" ref="AM75:AM96" si="9">IF(AL75=I75,"OK","NG")</f>
        <v>OK</v>
      </c>
    </row>
    <row r="76" spans="1:39" ht="17.25" hidden="1" thickBot="1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139"/>
      <c r="I76" s="106">
        <f t="shared" si="7"/>
        <v>0</v>
      </c>
      <c r="J76" s="85"/>
      <c r="K76" s="16"/>
      <c r="L76" s="1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8"/>
      <c r="AL76" s="66">
        <f t="shared" si="8"/>
        <v>0</v>
      </c>
      <c r="AM76" s="28" t="str">
        <f t="shared" si="9"/>
        <v>OK</v>
      </c>
    </row>
    <row r="77" spans="1:39" ht="17.25" hidden="1" thickBot="1">
      <c r="A77" s="87" t="s">
        <v>165</v>
      </c>
      <c r="B77" s="93">
        <v>13007</v>
      </c>
      <c r="C77" s="94" t="s">
        <v>164</v>
      </c>
      <c r="D77" s="88"/>
      <c r="E77" s="88"/>
      <c r="F77" s="88"/>
      <c r="G77" s="89"/>
      <c r="H77" s="104"/>
      <c r="I77" s="105">
        <f t="shared" si="7"/>
        <v>0</v>
      </c>
      <c r="J77" s="90"/>
      <c r="K77" s="91"/>
      <c r="L77" s="113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5"/>
      <c r="AL77" s="92">
        <f t="shared" si="8"/>
        <v>0</v>
      </c>
      <c r="AM77" s="122" t="str">
        <f t="shared" si="9"/>
        <v>OK</v>
      </c>
    </row>
    <row r="78" spans="1:39" ht="17.25" hidden="1" thickBot="1">
      <c r="A78" s="68"/>
      <c r="B78" s="78"/>
      <c r="C78" s="95"/>
      <c r="D78" s="83"/>
      <c r="E78" s="83"/>
      <c r="F78" s="83"/>
      <c r="G78" s="84"/>
      <c r="H78" s="102"/>
      <c r="I78" s="106">
        <f t="shared" si="7"/>
        <v>0</v>
      </c>
      <c r="J78" s="85"/>
      <c r="K78" s="16"/>
      <c r="L78" s="1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66">
        <f t="shared" si="8"/>
        <v>0</v>
      </c>
      <c r="AM78" s="28" t="str">
        <f t="shared" si="9"/>
        <v>OK</v>
      </c>
    </row>
    <row r="79" spans="1:39" ht="17.25" hidden="1" thickBot="1">
      <c r="A79" s="87"/>
      <c r="B79" s="93"/>
      <c r="C79" s="94"/>
      <c r="D79" s="88"/>
      <c r="E79" s="88"/>
      <c r="F79" s="88"/>
      <c r="G79" s="89"/>
      <c r="H79" s="104"/>
      <c r="I79" s="105">
        <f t="shared" si="7"/>
        <v>0</v>
      </c>
      <c r="J79" s="90"/>
      <c r="K79" s="91"/>
      <c r="L79" s="113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5"/>
      <c r="AL79" s="92">
        <f t="shared" si="8"/>
        <v>0</v>
      </c>
      <c r="AM79" s="122" t="str">
        <f t="shared" si="9"/>
        <v>OK</v>
      </c>
    </row>
    <row r="80" spans="1:39" ht="17.25" hidden="1" thickBot="1">
      <c r="A80" s="68"/>
      <c r="B80" s="78"/>
      <c r="C80" s="95"/>
      <c r="D80" s="83"/>
      <c r="E80" s="83"/>
      <c r="F80" s="83"/>
      <c r="G80" s="84"/>
      <c r="H80" s="102"/>
      <c r="I80" s="106">
        <f t="shared" si="7"/>
        <v>0</v>
      </c>
      <c r="J80" s="85"/>
      <c r="K80" s="16"/>
      <c r="L80" s="116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66">
        <f t="shared" si="8"/>
        <v>0</v>
      </c>
      <c r="AM80" s="28" t="str">
        <f t="shared" si="9"/>
        <v>OK</v>
      </c>
    </row>
    <row r="81" spans="1:39" ht="17.25" hidden="1" thickBot="1">
      <c r="A81" s="87"/>
      <c r="B81" s="93"/>
      <c r="C81" s="94"/>
      <c r="D81" s="88"/>
      <c r="E81" s="88"/>
      <c r="F81" s="88"/>
      <c r="G81" s="89"/>
      <c r="H81" s="104"/>
      <c r="I81" s="105">
        <f t="shared" si="7"/>
        <v>0</v>
      </c>
      <c r="J81" s="90"/>
      <c r="K81" s="91"/>
      <c r="L81" s="113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5"/>
      <c r="AL81" s="92">
        <f t="shared" ref="AL81:AL96" si="10">SUM(L81:AK81)</f>
        <v>0</v>
      </c>
      <c r="AM81" s="122" t="str">
        <f t="shared" si="9"/>
        <v>OK</v>
      </c>
    </row>
    <row r="82" spans="1:39" ht="17.25" hidden="1" thickBot="1">
      <c r="A82" s="68"/>
      <c r="B82" s="78"/>
      <c r="C82" s="95"/>
      <c r="D82" s="83"/>
      <c r="E82" s="83"/>
      <c r="F82" s="83"/>
      <c r="G82" s="84"/>
      <c r="H82" s="102"/>
      <c r="I82" s="106">
        <f t="shared" si="7"/>
        <v>0</v>
      </c>
      <c r="J82" s="85"/>
      <c r="K82" s="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66">
        <f t="shared" si="10"/>
        <v>0</v>
      </c>
      <c r="AM82" s="28" t="str">
        <f t="shared" si="9"/>
        <v>OK</v>
      </c>
    </row>
    <row r="83" spans="1:39" ht="17.25" hidden="1" thickBot="1">
      <c r="A83" s="96"/>
      <c r="B83" s="93"/>
      <c r="C83" s="94"/>
      <c r="D83" s="88"/>
      <c r="E83" s="88"/>
      <c r="F83" s="88"/>
      <c r="G83" s="89"/>
      <c r="H83" s="104"/>
      <c r="I83" s="105">
        <f t="shared" si="7"/>
        <v>0</v>
      </c>
      <c r="J83" s="90"/>
      <c r="K83" s="91"/>
      <c r="L83" s="113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5"/>
      <c r="AL83" s="92">
        <f t="shared" si="10"/>
        <v>0</v>
      </c>
      <c r="AM83" s="122" t="str">
        <f t="shared" si="9"/>
        <v>OK</v>
      </c>
    </row>
    <row r="84" spans="1:39" ht="17.25" hidden="1" thickBot="1">
      <c r="A84" s="68"/>
      <c r="B84" s="78"/>
      <c r="C84" s="95"/>
      <c r="D84" s="83"/>
      <c r="E84" s="83"/>
      <c r="F84" s="83"/>
      <c r="G84" s="84"/>
      <c r="H84" s="102"/>
      <c r="I84" s="106">
        <f t="shared" si="7"/>
        <v>0</v>
      </c>
      <c r="J84" s="85"/>
      <c r="K84" s="16"/>
      <c r="L84" s="116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66">
        <f t="shared" si="10"/>
        <v>0</v>
      </c>
      <c r="AM84" s="28" t="str">
        <f t="shared" si="9"/>
        <v>OK</v>
      </c>
    </row>
    <row r="85" spans="1:39" ht="17.25" hidden="1" thickBot="1">
      <c r="A85" s="87"/>
      <c r="B85" s="93"/>
      <c r="C85" s="94"/>
      <c r="D85" s="88"/>
      <c r="E85" s="88"/>
      <c r="F85" s="88"/>
      <c r="G85" s="89"/>
      <c r="H85" s="104"/>
      <c r="I85" s="105">
        <f t="shared" si="7"/>
        <v>0</v>
      </c>
      <c r="J85" s="90"/>
      <c r="K85" s="91"/>
      <c r="L85" s="113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5"/>
      <c r="AL85" s="92">
        <f t="shared" si="10"/>
        <v>0</v>
      </c>
      <c r="AM85" s="122" t="str">
        <f t="shared" si="9"/>
        <v>OK</v>
      </c>
    </row>
    <row r="86" spans="1:39" ht="17.25" hidden="1" thickBot="1">
      <c r="A86" s="68"/>
      <c r="B86" s="78"/>
      <c r="C86" s="95"/>
      <c r="D86" s="83"/>
      <c r="E86" s="83"/>
      <c r="F86" s="83"/>
      <c r="G86" s="84"/>
      <c r="H86" s="102"/>
      <c r="I86" s="106">
        <f t="shared" si="7"/>
        <v>0</v>
      </c>
      <c r="J86" s="85"/>
      <c r="K86" s="16"/>
      <c r="L86" s="116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66">
        <f t="shared" si="10"/>
        <v>0</v>
      </c>
      <c r="AM86" s="28" t="str">
        <f t="shared" si="9"/>
        <v>OK</v>
      </c>
    </row>
    <row r="87" spans="1:39" ht="17.25" hidden="1" thickBot="1">
      <c r="A87" s="87"/>
      <c r="B87" s="93"/>
      <c r="C87" s="94"/>
      <c r="D87" s="88"/>
      <c r="E87" s="88"/>
      <c r="F87" s="88"/>
      <c r="G87" s="89"/>
      <c r="H87" s="104"/>
      <c r="I87" s="105">
        <f t="shared" si="7"/>
        <v>0</v>
      </c>
      <c r="J87" s="90"/>
      <c r="K87" s="91"/>
      <c r="L87" s="113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5"/>
      <c r="AL87" s="92">
        <f t="shared" si="10"/>
        <v>0</v>
      </c>
      <c r="AM87" s="122" t="str">
        <f t="shared" si="9"/>
        <v>OK</v>
      </c>
    </row>
    <row r="88" spans="1:39" ht="17.25" hidden="1" thickBot="1">
      <c r="A88" s="68"/>
      <c r="B88" s="78"/>
      <c r="C88" s="95"/>
      <c r="D88" s="83"/>
      <c r="E88" s="83"/>
      <c r="F88" s="83"/>
      <c r="G88" s="84"/>
      <c r="H88" s="102"/>
      <c r="I88" s="106">
        <f t="shared" si="7"/>
        <v>0</v>
      </c>
      <c r="J88" s="85"/>
      <c r="K88" s="16"/>
      <c r="L88" s="116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66">
        <f t="shared" si="10"/>
        <v>0</v>
      </c>
      <c r="AM88" s="28" t="str">
        <f t="shared" si="9"/>
        <v>OK</v>
      </c>
    </row>
    <row r="89" spans="1:39" ht="17.25" hidden="1" thickBot="1">
      <c r="A89" s="87"/>
      <c r="B89" s="93"/>
      <c r="C89" s="94"/>
      <c r="D89" s="88"/>
      <c r="E89" s="88"/>
      <c r="F89" s="88"/>
      <c r="G89" s="89"/>
      <c r="H89" s="104"/>
      <c r="I89" s="105">
        <f t="shared" si="7"/>
        <v>0</v>
      </c>
      <c r="J89" s="90"/>
      <c r="K89" s="91"/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5"/>
      <c r="AL89" s="92">
        <f t="shared" si="10"/>
        <v>0</v>
      </c>
      <c r="AM89" s="122" t="str">
        <f t="shared" si="9"/>
        <v>OK</v>
      </c>
    </row>
    <row r="90" spans="1:39" ht="17.25" hidden="1" thickBot="1">
      <c r="A90" s="68"/>
      <c r="B90" s="78"/>
      <c r="C90" s="95"/>
      <c r="D90" s="83"/>
      <c r="E90" s="83"/>
      <c r="F90" s="83"/>
      <c r="G90" s="84"/>
      <c r="H90" s="102"/>
      <c r="I90" s="106">
        <f t="shared" si="7"/>
        <v>0</v>
      </c>
      <c r="J90" s="85"/>
      <c r="K90" s="16"/>
      <c r="L90" s="116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66">
        <f t="shared" si="10"/>
        <v>0</v>
      </c>
      <c r="AM90" s="28" t="str">
        <f t="shared" si="9"/>
        <v>OK</v>
      </c>
    </row>
    <row r="91" spans="1:39" ht="17.25" hidden="1" thickBot="1">
      <c r="A91" s="87"/>
      <c r="B91" s="93"/>
      <c r="C91" s="94"/>
      <c r="D91" s="88"/>
      <c r="E91" s="88"/>
      <c r="F91" s="88"/>
      <c r="G91" s="89"/>
      <c r="H91" s="104"/>
      <c r="I91" s="105">
        <f t="shared" si="7"/>
        <v>0</v>
      </c>
      <c r="J91" s="90"/>
      <c r="K91" s="91"/>
      <c r="L91" s="113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5"/>
      <c r="AL91" s="92">
        <f t="shared" si="10"/>
        <v>0</v>
      </c>
      <c r="AM91" s="122" t="str">
        <f t="shared" si="9"/>
        <v>OK</v>
      </c>
    </row>
    <row r="92" spans="1:39" ht="17.25" hidden="1" thickBot="1">
      <c r="A92" s="68"/>
      <c r="B92" s="78"/>
      <c r="C92" s="95"/>
      <c r="D92" s="83"/>
      <c r="E92" s="83"/>
      <c r="F92" s="83"/>
      <c r="G92" s="84"/>
      <c r="H92" s="102"/>
      <c r="I92" s="106">
        <f t="shared" si="7"/>
        <v>0</v>
      </c>
      <c r="J92" s="85"/>
      <c r="K92" s="16"/>
      <c r="L92" s="116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66">
        <f t="shared" si="10"/>
        <v>0</v>
      </c>
      <c r="AM92" s="28" t="str">
        <f t="shared" si="9"/>
        <v>OK</v>
      </c>
    </row>
    <row r="93" spans="1:39" ht="17.25" hidden="1" thickBot="1">
      <c r="A93" s="87"/>
      <c r="B93" s="93"/>
      <c r="C93" s="94"/>
      <c r="D93" s="88"/>
      <c r="E93" s="88"/>
      <c r="F93" s="88"/>
      <c r="G93" s="89"/>
      <c r="H93" s="104"/>
      <c r="I93" s="105">
        <f t="shared" si="7"/>
        <v>0</v>
      </c>
      <c r="J93" s="90"/>
      <c r="K93" s="91"/>
      <c r="L93" s="113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5"/>
      <c r="AL93" s="92">
        <f t="shared" si="10"/>
        <v>0</v>
      </c>
      <c r="AM93" s="122" t="str">
        <f t="shared" si="9"/>
        <v>OK</v>
      </c>
    </row>
    <row r="94" spans="1:39" ht="17.25" hidden="1" thickBot="1">
      <c r="A94" s="68"/>
      <c r="B94" s="78"/>
      <c r="C94" s="95"/>
      <c r="D94" s="83"/>
      <c r="E94" s="83"/>
      <c r="F94" s="83"/>
      <c r="G94" s="84"/>
      <c r="H94" s="102"/>
      <c r="I94" s="106">
        <f t="shared" si="7"/>
        <v>0</v>
      </c>
      <c r="J94" s="85"/>
      <c r="K94" s="16"/>
      <c r="L94" s="116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66">
        <f t="shared" si="10"/>
        <v>0</v>
      </c>
      <c r="AM94" s="28" t="str">
        <f t="shared" si="9"/>
        <v>OK</v>
      </c>
    </row>
    <row r="95" spans="1:39" ht="17.25" hidden="1" thickBot="1">
      <c r="A95" s="87"/>
      <c r="B95" s="93"/>
      <c r="C95" s="94"/>
      <c r="D95" s="88"/>
      <c r="E95" s="88"/>
      <c r="F95" s="88"/>
      <c r="G95" s="89"/>
      <c r="H95" s="104"/>
      <c r="I95" s="105">
        <f t="shared" si="7"/>
        <v>0</v>
      </c>
      <c r="J95" s="90"/>
      <c r="K95" s="91"/>
      <c r="L95" s="113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5"/>
      <c r="AL95" s="92">
        <f t="shared" si="10"/>
        <v>0</v>
      </c>
      <c r="AM95" s="122" t="str">
        <f t="shared" si="9"/>
        <v>OK</v>
      </c>
    </row>
    <row r="96" spans="1:39" ht="16.5" hidden="1" customHeight="1" thickBot="1">
      <c r="A96" s="97"/>
      <c r="B96" s="98"/>
      <c r="C96" s="99"/>
      <c r="D96" s="83"/>
      <c r="E96" s="83"/>
      <c r="F96" s="83"/>
      <c r="G96" s="84"/>
      <c r="H96" s="107"/>
      <c r="I96" s="108">
        <f t="shared" si="7"/>
        <v>0</v>
      </c>
      <c r="J96" s="85"/>
      <c r="K96" s="16"/>
      <c r="L96" s="119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1"/>
      <c r="AL96" s="66">
        <f t="shared" si="10"/>
        <v>0</v>
      </c>
      <c r="AM96" s="28" t="str">
        <f t="shared" si="9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38138</v>
      </c>
      <c r="I97" s="46">
        <f>SUM(I6:I96)</f>
        <v>20</v>
      </c>
      <c r="J97" s="47">
        <f>SUM(J6:J74)</f>
        <v>0</v>
      </c>
      <c r="K97" s="9"/>
      <c r="L97" s="45">
        <f>SUM(L6:L96)</f>
        <v>7</v>
      </c>
      <c r="M97" s="45">
        <f t="shared" ref="M97:AI97" si="11">SUM(M6:M96)</f>
        <v>0</v>
      </c>
      <c r="N97" s="45">
        <f t="shared" si="11"/>
        <v>0</v>
      </c>
      <c r="O97" s="45">
        <f t="shared" si="11"/>
        <v>0</v>
      </c>
      <c r="P97" s="45">
        <f t="shared" si="11"/>
        <v>0</v>
      </c>
      <c r="Q97" s="45">
        <f t="shared" si="11"/>
        <v>0</v>
      </c>
      <c r="R97" s="45">
        <f t="shared" si="11"/>
        <v>0</v>
      </c>
      <c r="S97" s="45">
        <f t="shared" si="11"/>
        <v>0</v>
      </c>
      <c r="T97" s="45">
        <f t="shared" si="11"/>
        <v>0</v>
      </c>
      <c r="U97" s="45">
        <f t="shared" si="11"/>
        <v>0</v>
      </c>
      <c r="V97" s="45">
        <f t="shared" si="11"/>
        <v>0</v>
      </c>
      <c r="W97" s="45">
        <f t="shared" si="11"/>
        <v>0</v>
      </c>
      <c r="X97" s="45">
        <f t="shared" si="11"/>
        <v>0</v>
      </c>
      <c r="Y97" s="45">
        <f t="shared" si="11"/>
        <v>4</v>
      </c>
      <c r="Z97" s="45">
        <f t="shared" si="11"/>
        <v>0</v>
      </c>
      <c r="AA97" s="45">
        <f t="shared" si="11"/>
        <v>0</v>
      </c>
      <c r="AB97" s="45">
        <f t="shared" si="11"/>
        <v>0</v>
      </c>
      <c r="AC97" s="45">
        <f t="shared" si="11"/>
        <v>3</v>
      </c>
      <c r="AD97" s="45">
        <f t="shared" si="11"/>
        <v>0</v>
      </c>
      <c r="AE97" s="45">
        <f t="shared" si="11"/>
        <v>0</v>
      </c>
      <c r="AF97" s="45">
        <f t="shared" si="11"/>
        <v>0</v>
      </c>
      <c r="AG97" s="45">
        <f t="shared" si="11"/>
        <v>0</v>
      </c>
      <c r="AH97" s="45">
        <f t="shared" si="11"/>
        <v>0</v>
      </c>
      <c r="AI97" s="45">
        <f t="shared" si="11"/>
        <v>6</v>
      </c>
      <c r="AJ97" s="49">
        <f>SUM(AJ6:AJ96)</f>
        <v>0</v>
      </c>
      <c r="AK97" s="61">
        <f>SUM(AK6:AK96)</f>
        <v>0</v>
      </c>
      <c r="AL97" s="67">
        <f>SUM(AL6:AL96)</f>
        <v>20</v>
      </c>
      <c r="AM97" s="48" t="str">
        <f>IF(AL97=SUM(I97),"OK","NG")</f>
        <v>OK</v>
      </c>
    </row>
    <row r="100" spans="1:39">
      <c r="H100" s="86"/>
      <c r="I100" s="86"/>
    </row>
    <row r="103" spans="1:39">
      <c r="I103" s="86"/>
    </row>
  </sheetData>
  <autoFilter ref="A5:AM97" xr:uid="{00000000-0001-0000-0300-000000000000}">
    <filterColumn colId="8">
      <filters>
        <filter val="1"/>
        <filter val="19"/>
        <filter val="2"/>
        <filter val="4"/>
        <filter val="5"/>
      </filters>
    </filterColumn>
  </autoFilter>
  <mergeCells count="37">
    <mergeCell ref="AM4:AM5"/>
    <mergeCell ref="AG4:AG5"/>
    <mergeCell ref="AH4:AH5"/>
    <mergeCell ref="AI4:AI5"/>
    <mergeCell ref="AJ4:AJ5"/>
    <mergeCell ref="AK4:AK5"/>
    <mergeCell ref="AL4:AL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B1:C1"/>
    <mergeCell ref="F1:G1"/>
    <mergeCell ref="H1:J3"/>
    <mergeCell ref="B2:C2"/>
    <mergeCell ref="AM2:AM3"/>
    <mergeCell ref="B3:C3"/>
  </mergeCells>
  <phoneticPr fontId="3" type="noConversion"/>
  <conditionalFormatting sqref="A4 AM6:AM97">
    <cfRule type="containsText" dxfId="67" priority="7" operator="containsText" text="NG">
      <formula>NOT(ISERROR(SEARCH("NG",A4)))</formula>
    </cfRule>
    <cfRule type="containsText" dxfId="66" priority="8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43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 filterMode="1">
    <pageSetUpPr fitToPage="1"/>
  </sheetPr>
  <dimension ref="A1:AM105"/>
  <sheetViews>
    <sheetView showGridLines="0" topLeftCell="P1" zoomScale="85" zoomScaleNormal="85" workbookViewId="0">
      <pane ySplit="5" topLeftCell="A6" activePane="bottomLeft" state="frozen"/>
      <selection activeCell="P19" sqref="P19"/>
      <selection pane="bottomLeft" activeCell="L6" sqref="L6:AK60"/>
    </sheetView>
  </sheetViews>
  <sheetFormatPr defaultColWidth="9" defaultRowHeight="16.5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16" width="8.75"/>
    <col min="17" max="20" width="9" customWidth="1"/>
    <col min="21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5" customHeight="1" thickBot="1">
      <c r="A1" s="37" t="s">
        <v>13</v>
      </c>
      <c r="B1" s="168">
        <f>H97</f>
        <v>28185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5" customHeight="1" thickBot="1">
      <c r="A2" s="37" t="s">
        <v>14</v>
      </c>
      <c r="B2" s="173">
        <f>I97</f>
        <v>24</v>
      </c>
      <c r="C2" s="174"/>
      <c r="D2" s="75"/>
      <c r="E2" s="71"/>
      <c r="F2" s="2"/>
      <c r="G2" s="2"/>
      <c r="H2" s="171"/>
      <c r="I2" s="171"/>
      <c r="J2" s="171"/>
      <c r="K2" s="3"/>
      <c r="L2" s="4">
        <f t="shared" ref="L2:AK2" si="0">SUBTOTAL(9,L6:L96)</f>
        <v>0</v>
      </c>
      <c r="M2" s="4">
        <f t="shared" si="0"/>
        <v>9</v>
      </c>
      <c r="N2" s="4">
        <f t="shared" si="0"/>
        <v>0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39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3</v>
      </c>
      <c r="Z2" s="5">
        <f t="shared" si="0"/>
        <v>3</v>
      </c>
      <c r="AA2" s="5">
        <f t="shared" si="0"/>
        <v>0</v>
      </c>
      <c r="AB2" s="5">
        <f t="shared" si="0"/>
        <v>0</v>
      </c>
      <c r="AC2" s="5">
        <f t="shared" si="0"/>
        <v>8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0</v>
      </c>
      <c r="AH2" s="5">
        <f t="shared" si="0"/>
        <v>0</v>
      </c>
      <c r="AI2" s="5">
        <f t="shared" si="0"/>
        <v>1</v>
      </c>
      <c r="AJ2" s="5">
        <f t="shared" si="0"/>
        <v>0</v>
      </c>
      <c r="AK2" s="59">
        <f t="shared" si="0"/>
        <v>0</v>
      </c>
      <c r="AL2" s="62">
        <f>SUBTOTAL(9,AL6:AL96)</f>
        <v>24</v>
      </c>
      <c r="AM2" s="175"/>
    </row>
    <row r="3" spans="1:39" customFormat="1" ht="22.5" customHeight="1" thickBot="1">
      <c r="A3" s="38" t="s">
        <v>15</v>
      </c>
      <c r="B3" s="177">
        <f>IF(ISERROR(B2/(B2+B1)*1000000),"",(B2/(B2+B1)*1000000))</f>
        <v>850.79230032968201</v>
      </c>
      <c r="C3" s="178"/>
      <c r="D3" s="73"/>
      <c r="E3" s="72"/>
      <c r="F3" s="32"/>
      <c r="G3" s="32"/>
      <c r="H3" s="172"/>
      <c r="I3" s="172"/>
      <c r="J3" s="172"/>
      <c r="K3" s="6"/>
      <c r="L3" s="7">
        <f t="shared" ref="L3:AK3" si="1">SUM(L6:L96)</f>
        <v>0</v>
      </c>
      <c r="M3" s="7">
        <f t="shared" si="1"/>
        <v>9</v>
      </c>
      <c r="N3" s="7">
        <f t="shared" si="1"/>
        <v>0</v>
      </c>
      <c r="O3" s="7">
        <f t="shared" si="1"/>
        <v>0</v>
      </c>
      <c r="P3" s="7">
        <f t="shared" si="1"/>
        <v>0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40">
        <f t="shared" si="1"/>
        <v>0</v>
      </c>
      <c r="U3" s="8">
        <f t="shared" si="1"/>
        <v>0</v>
      </c>
      <c r="V3" s="8">
        <f t="shared" si="1"/>
        <v>0</v>
      </c>
      <c r="W3" s="8">
        <f t="shared" si="1"/>
        <v>0</v>
      </c>
      <c r="X3" s="8">
        <f t="shared" si="1"/>
        <v>0</v>
      </c>
      <c r="Y3" s="8">
        <f t="shared" si="1"/>
        <v>3</v>
      </c>
      <c r="Z3" s="8">
        <f t="shared" si="1"/>
        <v>3</v>
      </c>
      <c r="AA3" s="8">
        <f t="shared" si="1"/>
        <v>0</v>
      </c>
      <c r="AB3" s="8">
        <f t="shared" si="1"/>
        <v>0</v>
      </c>
      <c r="AC3" s="8">
        <f t="shared" si="1"/>
        <v>8</v>
      </c>
      <c r="AD3" s="8">
        <f t="shared" si="1"/>
        <v>0</v>
      </c>
      <c r="AE3" s="8">
        <f t="shared" si="1"/>
        <v>0</v>
      </c>
      <c r="AF3" s="8">
        <f t="shared" si="1"/>
        <v>0</v>
      </c>
      <c r="AG3" s="8">
        <f t="shared" si="1"/>
        <v>0</v>
      </c>
      <c r="AH3" s="8">
        <f t="shared" si="1"/>
        <v>0</v>
      </c>
      <c r="AI3" s="8">
        <f t="shared" si="1"/>
        <v>1</v>
      </c>
      <c r="AJ3" s="8">
        <f t="shared" si="1"/>
        <v>0</v>
      </c>
      <c r="AK3" s="60">
        <f t="shared" si="1"/>
        <v>0</v>
      </c>
      <c r="AL3" s="63">
        <f>SUM(AL6:AL96)</f>
        <v>24</v>
      </c>
      <c r="AM3" s="176"/>
    </row>
    <row r="4" spans="1:39" customFormat="1" ht="43.5" customHeight="1">
      <c r="A4" s="163" t="str">
        <f>AM97</f>
        <v>OK</v>
      </c>
      <c r="B4" s="163"/>
      <c r="C4" s="163"/>
      <c r="D4" s="164"/>
      <c r="E4" s="165" t="s">
        <v>16</v>
      </c>
      <c r="F4" s="165"/>
      <c r="G4" s="165"/>
      <c r="H4" s="165" t="s">
        <v>17</v>
      </c>
      <c r="I4" s="165"/>
      <c r="J4" s="165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1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56" t="s">
        <v>12</v>
      </c>
      <c r="AL4" s="158" t="s">
        <v>36</v>
      </c>
      <c r="AM4" s="149" t="s">
        <v>37</v>
      </c>
    </row>
    <row r="5" spans="1:39" customFormat="1" ht="33.75" thickBot="1">
      <c r="A5" s="34" t="s">
        <v>3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137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6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3"/>
      <c r="AJ5" s="155"/>
      <c r="AK5" s="157"/>
      <c r="AL5" s="159"/>
      <c r="AM5" s="150"/>
    </row>
    <row r="6" spans="1:39" customFormat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34">
        <f>900+800+422+200+2190</f>
        <v>4512</v>
      </c>
      <c r="I6" s="15">
        <f>SUM(L6:AK6)</f>
        <v>13</v>
      </c>
      <c r="J6" s="15"/>
      <c r="K6" s="16"/>
      <c r="L6" s="15"/>
      <c r="M6" s="15">
        <v>8</v>
      </c>
      <c r="N6" s="15"/>
      <c r="O6" s="15"/>
      <c r="P6" s="15"/>
      <c r="Q6" s="15"/>
      <c r="R6" s="15"/>
      <c r="S6" s="15"/>
      <c r="T6" s="41"/>
      <c r="U6" s="50"/>
      <c r="V6" s="50"/>
      <c r="W6" s="50"/>
      <c r="X6" s="50"/>
      <c r="Y6" s="50">
        <v>3</v>
      </c>
      <c r="Z6" s="50"/>
      <c r="AA6" s="50"/>
      <c r="AB6" s="50"/>
      <c r="AC6" s="50">
        <v>2</v>
      </c>
      <c r="AD6" s="50"/>
      <c r="AE6" s="50"/>
      <c r="AF6" s="50"/>
      <c r="AG6" s="50"/>
      <c r="AH6" s="50"/>
      <c r="AI6" s="53"/>
      <c r="AJ6" s="56"/>
      <c r="AK6" s="53"/>
      <c r="AL6" s="64">
        <f>SUM(L6:AK6)</f>
        <v>13</v>
      </c>
      <c r="AM6" s="31" t="str">
        <f t="shared" ref="AM6:AM74" si="2">IF(AL6=I6,"OK","NG")</f>
        <v>OK</v>
      </c>
    </row>
    <row r="7" spans="1:39" customFormat="1" hidden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135"/>
      <c r="I7" s="21">
        <f t="shared" ref="I7:I70" si="3">SUM(L7:AK7)</f>
        <v>0</v>
      </c>
      <c r="J7" s="21"/>
      <c r="K7" s="16"/>
      <c r="L7" s="21"/>
      <c r="M7" s="21"/>
      <c r="N7" s="21"/>
      <c r="O7" s="21"/>
      <c r="P7" s="21"/>
      <c r="Q7" s="21"/>
      <c r="R7" s="21"/>
      <c r="S7" s="21"/>
      <c r="T7" s="42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4"/>
      <c r="AJ7" s="57"/>
      <c r="AK7" s="54"/>
      <c r="AL7" s="65">
        <f t="shared" ref="AL7:AL74" si="4">SUM(L7:AK7)</f>
        <v>0</v>
      </c>
      <c r="AM7" s="22" t="str">
        <f t="shared" si="2"/>
        <v>OK</v>
      </c>
    </row>
    <row r="8" spans="1:39" customFormat="1" hidden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36"/>
      <c r="I8" s="27">
        <f t="shared" si="3"/>
        <v>0</v>
      </c>
      <c r="J8" s="27"/>
      <c r="K8" s="16"/>
      <c r="L8" s="27"/>
      <c r="M8" s="27"/>
      <c r="N8" s="27"/>
      <c r="O8" s="27"/>
      <c r="P8" s="27"/>
      <c r="Q8" s="27"/>
      <c r="R8" s="27"/>
      <c r="S8" s="27"/>
      <c r="T8" s="4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5"/>
      <c r="AJ8" s="58"/>
      <c r="AK8" s="55"/>
      <c r="AL8" s="66">
        <f t="shared" si="4"/>
        <v>0</v>
      </c>
      <c r="AM8" s="28" t="str">
        <f t="shared" si="2"/>
        <v>OK</v>
      </c>
    </row>
    <row r="9" spans="1:39" customFormat="1" hidden="1">
      <c r="A9" s="17" t="s">
        <v>68</v>
      </c>
      <c r="B9" s="77">
        <v>10897</v>
      </c>
      <c r="C9" s="17" t="s">
        <v>62</v>
      </c>
      <c r="D9" s="69"/>
      <c r="E9" s="18"/>
      <c r="F9" s="18"/>
      <c r="G9" s="19"/>
      <c r="H9" s="135">
        <v>100</v>
      </c>
      <c r="I9" s="21">
        <f t="shared" si="3"/>
        <v>0</v>
      </c>
      <c r="J9" s="21"/>
      <c r="K9" s="16"/>
      <c r="L9" s="21"/>
      <c r="M9" s="21"/>
      <c r="N9" s="21"/>
      <c r="O9" s="21"/>
      <c r="P9" s="21"/>
      <c r="Q9" s="21"/>
      <c r="R9" s="21"/>
      <c r="S9" s="21"/>
      <c r="T9" s="42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4"/>
      <c r="AJ9" s="57"/>
      <c r="AK9" s="54"/>
      <c r="AL9" s="65">
        <f t="shared" si="4"/>
        <v>0</v>
      </c>
      <c r="AM9" s="22" t="str">
        <f t="shared" si="2"/>
        <v>OK</v>
      </c>
    </row>
    <row r="10" spans="1:39" customFormat="1" hidden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36"/>
      <c r="I10" s="27">
        <f t="shared" si="3"/>
        <v>0</v>
      </c>
      <c r="J10" s="27"/>
      <c r="K10" s="16"/>
      <c r="L10" s="27"/>
      <c r="M10" s="27"/>
      <c r="N10" s="27"/>
      <c r="O10" s="27"/>
      <c r="P10" s="27"/>
      <c r="Q10" s="27"/>
      <c r="R10" s="27"/>
      <c r="S10" s="27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5"/>
      <c r="AJ10" s="58"/>
      <c r="AK10" s="55"/>
      <c r="AL10" s="66">
        <f t="shared" si="4"/>
        <v>0</v>
      </c>
      <c r="AM10" s="28" t="str">
        <f t="shared" si="2"/>
        <v>OK</v>
      </c>
    </row>
    <row r="11" spans="1:39" customFormat="1" hidden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135"/>
      <c r="I11" s="21">
        <f t="shared" si="3"/>
        <v>0</v>
      </c>
      <c r="J11" s="21"/>
      <c r="K11" s="16"/>
      <c r="L11" s="21"/>
      <c r="M11" s="21"/>
      <c r="N11" s="21"/>
      <c r="O11" s="21"/>
      <c r="P11" s="21"/>
      <c r="Q11" s="21"/>
      <c r="R11" s="21"/>
      <c r="S11" s="21"/>
      <c r="T11" s="42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4"/>
      <c r="AJ11" s="57"/>
      <c r="AK11" s="54"/>
      <c r="AL11" s="65">
        <f t="shared" si="4"/>
        <v>0</v>
      </c>
      <c r="AM11" s="22" t="str">
        <f t="shared" si="2"/>
        <v>OK</v>
      </c>
    </row>
    <row r="12" spans="1:39" customFormat="1" hidden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36"/>
      <c r="I12" s="27">
        <f t="shared" si="3"/>
        <v>0</v>
      </c>
      <c r="J12" s="27"/>
      <c r="K12" s="16"/>
      <c r="L12" s="27"/>
      <c r="M12" s="27"/>
      <c r="N12" s="27"/>
      <c r="O12" s="27"/>
      <c r="P12" s="27"/>
      <c r="Q12" s="27"/>
      <c r="R12" s="27"/>
      <c r="S12" s="27"/>
      <c r="T12" s="43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8"/>
      <c r="AK12" s="55"/>
      <c r="AL12" s="66">
        <f t="shared" si="4"/>
        <v>0</v>
      </c>
      <c r="AM12" s="28" t="str">
        <f t="shared" si="2"/>
        <v>OK</v>
      </c>
    </row>
    <row r="13" spans="1:39" customFormat="1" hidden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135"/>
      <c r="I13" s="21">
        <f t="shared" si="3"/>
        <v>0</v>
      </c>
      <c r="J13" s="21"/>
      <c r="K13" s="16"/>
      <c r="L13" s="21"/>
      <c r="M13" s="21"/>
      <c r="N13" s="21"/>
      <c r="O13" s="21"/>
      <c r="P13" s="21"/>
      <c r="Q13" s="21"/>
      <c r="R13" s="21"/>
      <c r="S13" s="21"/>
      <c r="T13" s="4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4"/>
      <c r="AJ13" s="57"/>
      <c r="AK13" s="54"/>
      <c r="AL13" s="65">
        <f t="shared" si="4"/>
        <v>0</v>
      </c>
      <c r="AM13" s="22" t="str">
        <f t="shared" si="2"/>
        <v>OK</v>
      </c>
    </row>
    <row r="14" spans="1:39" customFormat="1" hidden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36">
        <v>320</v>
      </c>
      <c r="I14" s="27">
        <f t="shared" si="3"/>
        <v>0</v>
      </c>
      <c r="J14" s="27"/>
      <c r="K14" s="16"/>
      <c r="L14" s="27"/>
      <c r="M14" s="27"/>
      <c r="N14" s="27"/>
      <c r="O14" s="27"/>
      <c r="P14" s="27"/>
      <c r="Q14" s="27"/>
      <c r="R14" s="27"/>
      <c r="S14" s="27"/>
      <c r="T14" s="43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5"/>
      <c r="AJ14" s="58"/>
      <c r="AK14" s="55"/>
      <c r="AL14" s="66">
        <f t="shared" si="4"/>
        <v>0</v>
      </c>
      <c r="AM14" s="28" t="str">
        <f t="shared" si="2"/>
        <v>OK</v>
      </c>
    </row>
    <row r="15" spans="1:39" customFormat="1" hidden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135">
        <v>720</v>
      </c>
      <c r="I15" s="21">
        <f t="shared" si="3"/>
        <v>0</v>
      </c>
      <c r="J15" s="21"/>
      <c r="K15" s="16"/>
      <c r="L15" s="21"/>
      <c r="M15" s="21"/>
      <c r="N15" s="21"/>
      <c r="O15" s="21"/>
      <c r="P15" s="21"/>
      <c r="Q15" s="21"/>
      <c r="R15" s="21"/>
      <c r="S15" s="21"/>
      <c r="T15" s="42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4"/>
      <c r="AJ15" s="57"/>
      <c r="AK15" s="54"/>
      <c r="AL15" s="65">
        <f t="shared" si="4"/>
        <v>0</v>
      </c>
      <c r="AM15" s="22" t="str">
        <f t="shared" si="2"/>
        <v>OK</v>
      </c>
    </row>
    <row r="16" spans="1:39" customFormat="1" hidden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36"/>
      <c r="I16" s="27">
        <f t="shared" si="3"/>
        <v>0</v>
      </c>
      <c r="J16" s="27"/>
      <c r="K16" s="16"/>
      <c r="L16" s="27"/>
      <c r="M16" s="27"/>
      <c r="N16" s="27"/>
      <c r="O16" s="27"/>
      <c r="P16" s="27"/>
      <c r="Q16" s="27"/>
      <c r="R16" s="27"/>
      <c r="S16" s="27"/>
      <c r="T16" s="43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8"/>
      <c r="AK16" s="55"/>
      <c r="AL16" s="66">
        <f t="shared" si="4"/>
        <v>0</v>
      </c>
      <c r="AM16" s="28" t="str">
        <f t="shared" si="2"/>
        <v>OK</v>
      </c>
    </row>
    <row r="17" spans="1:39" customFormat="1" hidden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135"/>
      <c r="I17" s="21">
        <f t="shared" si="3"/>
        <v>0</v>
      </c>
      <c r="J17" s="21"/>
      <c r="K17" s="16"/>
      <c r="L17" s="21"/>
      <c r="M17" s="21"/>
      <c r="N17" s="21"/>
      <c r="O17" s="21"/>
      <c r="P17" s="21"/>
      <c r="Q17" s="21"/>
      <c r="R17" s="21"/>
      <c r="S17" s="21"/>
      <c r="T17" s="42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4"/>
      <c r="AJ17" s="57"/>
      <c r="AK17" s="54"/>
      <c r="AL17" s="65">
        <f t="shared" si="4"/>
        <v>0</v>
      </c>
      <c r="AM17" s="22" t="str">
        <f t="shared" si="2"/>
        <v>OK</v>
      </c>
    </row>
    <row r="18" spans="1:39" customFormat="1" hidden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36"/>
      <c r="I18" s="27">
        <f t="shared" si="3"/>
        <v>0</v>
      </c>
      <c r="J18" s="27"/>
      <c r="K18" s="16"/>
      <c r="L18" s="27"/>
      <c r="M18" s="27"/>
      <c r="N18" s="27"/>
      <c r="O18" s="27"/>
      <c r="P18" s="27"/>
      <c r="Q18" s="27"/>
      <c r="R18" s="27"/>
      <c r="S18" s="27"/>
      <c r="T18" s="43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8"/>
      <c r="AK18" s="55"/>
      <c r="AL18" s="66">
        <f t="shared" si="4"/>
        <v>0</v>
      </c>
      <c r="AM18" s="28" t="str">
        <f t="shared" si="2"/>
        <v>OK</v>
      </c>
    </row>
    <row r="19" spans="1:39" customFormat="1" hidden="1">
      <c r="A19" s="17" t="s">
        <v>91</v>
      </c>
      <c r="B19" s="77">
        <v>14988</v>
      </c>
      <c r="C19" s="17" t="s">
        <v>64</v>
      </c>
      <c r="D19" s="69"/>
      <c r="E19" s="18"/>
      <c r="F19" s="18"/>
      <c r="G19" s="19"/>
      <c r="H19" s="135">
        <f>1560+1680+1560</f>
        <v>4800</v>
      </c>
      <c r="I19" s="21">
        <f t="shared" si="3"/>
        <v>0</v>
      </c>
      <c r="J19" s="21"/>
      <c r="K19" s="16"/>
      <c r="L19" s="21"/>
      <c r="M19" s="21"/>
      <c r="N19" s="21"/>
      <c r="O19" s="21"/>
      <c r="P19" s="21"/>
      <c r="Q19" s="21"/>
      <c r="R19" s="21"/>
      <c r="S19" s="21"/>
      <c r="T19" s="42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4"/>
      <c r="AJ19" s="57"/>
      <c r="AK19" s="54"/>
      <c r="AL19" s="65">
        <f t="shared" si="4"/>
        <v>0</v>
      </c>
      <c r="AM19" s="22" t="str">
        <f t="shared" si="2"/>
        <v>OK</v>
      </c>
    </row>
    <row r="20" spans="1:39" customFormat="1" hidden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136"/>
      <c r="I20" s="27">
        <f t="shared" si="3"/>
        <v>0</v>
      </c>
      <c r="J20" s="27"/>
      <c r="K20" s="16"/>
      <c r="L20" s="27"/>
      <c r="M20" s="27"/>
      <c r="N20" s="27"/>
      <c r="O20" s="27"/>
      <c r="P20" s="27"/>
      <c r="Q20" s="27"/>
      <c r="R20" s="27"/>
      <c r="S20" s="27"/>
      <c r="T20" s="43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8"/>
      <c r="AK20" s="55"/>
      <c r="AL20" s="66">
        <f t="shared" si="4"/>
        <v>0</v>
      </c>
      <c r="AM20" s="28" t="str">
        <f t="shared" si="2"/>
        <v>OK</v>
      </c>
    </row>
    <row r="21" spans="1:39" customFormat="1" hidden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135"/>
      <c r="I21" s="21">
        <f t="shared" si="3"/>
        <v>0</v>
      </c>
      <c r="J21" s="21"/>
      <c r="K21" s="16"/>
      <c r="L21" s="21"/>
      <c r="M21" s="21"/>
      <c r="N21" s="21"/>
      <c r="O21" s="21"/>
      <c r="P21" s="21"/>
      <c r="Q21" s="21"/>
      <c r="R21" s="21"/>
      <c r="S21" s="21"/>
      <c r="T21" s="4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4"/>
      <c r="AJ21" s="57"/>
      <c r="AK21" s="54"/>
      <c r="AL21" s="65">
        <f t="shared" si="4"/>
        <v>0</v>
      </c>
      <c r="AM21" s="22" t="str">
        <f t="shared" si="2"/>
        <v>OK</v>
      </c>
    </row>
    <row r="22" spans="1:39" customFormat="1" hidden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36"/>
      <c r="I22" s="27">
        <f t="shared" si="3"/>
        <v>0</v>
      </c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43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5"/>
      <c r="AJ22" s="58"/>
      <c r="AK22" s="55"/>
      <c r="AL22" s="66">
        <f t="shared" si="4"/>
        <v>0</v>
      </c>
      <c r="AM22" s="28" t="str">
        <f t="shared" si="2"/>
        <v>OK</v>
      </c>
    </row>
    <row r="23" spans="1:39" customFormat="1" hidden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135"/>
      <c r="I23" s="21">
        <f t="shared" si="3"/>
        <v>0</v>
      </c>
      <c r="J23" s="21"/>
      <c r="K23" s="16"/>
      <c r="L23" s="21"/>
      <c r="M23" s="21"/>
      <c r="N23" s="21"/>
      <c r="O23" s="21"/>
      <c r="P23" s="21"/>
      <c r="Q23" s="21"/>
      <c r="R23" s="21"/>
      <c r="S23" s="21"/>
      <c r="T23" s="42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7"/>
      <c r="AK23" s="54"/>
      <c r="AL23" s="65">
        <f>SUM(L23:AK23)</f>
        <v>0</v>
      </c>
      <c r="AM23" s="22" t="str">
        <f t="shared" si="2"/>
        <v>OK</v>
      </c>
    </row>
    <row r="24" spans="1:39" customFormat="1" hidden="1">
      <c r="A24" s="68" t="s">
        <v>44</v>
      </c>
      <c r="B24" s="78">
        <v>10163</v>
      </c>
      <c r="C24" s="23" t="s">
        <v>45</v>
      </c>
      <c r="D24" s="24"/>
      <c r="E24" s="24"/>
      <c r="F24" s="24"/>
      <c r="G24" s="25"/>
      <c r="H24" s="136">
        <v>1344</v>
      </c>
      <c r="I24" s="27">
        <f t="shared" si="3"/>
        <v>0</v>
      </c>
      <c r="J24" s="27"/>
      <c r="K24" s="16"/>
      <c r="L24" s="27"/>
      <c r="M24" s="27"/>
      <c r="N24" s="27"/>
      <c r="O24" s="27"/>
      <c r="P24" s="27"/>
      <c r="Q24" s="27"/>
      <c r="R24" s="27"/>
      <c r="S24" s="27"/>
      <c r="T24" s="43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5"/>
      <c r="AJ24" s="58"/>
      <c r="AK24" s="55"/>
      <c r="AL24" s="66">
        <f t="shared" si="4"/>
        <v>0</v>
      </c>
      <c r="AM24" s="28" t="str">
        <f t="shared" si="2"/>
        <v>OK</v>
      </c>
    </row>
    <row r="25" spans="1:39" customFormat="1" hidden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135"/>
      <c r="I25" s="21">
        <f t="shared" si="3"/>
        <v>0</v>
      </c>
      <c r="J25" s="21"/>
      <c r="K25" s="16"/>
      <c r="L25" s="21"/>
      <c r="M25" s="21"/>
      <c r="N25" s="21"/>
      <c r="O25" s="21"/>
      <c r="P25" s="21"/>
      <c r="Q25" s="21"/>
      <c r="R25" s="21"/>
      <c r="S25" s="21"/>
      <c r="T25" s="42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4"/>
      <c r="AJ25" s="57"/>
      <c r="AK25" s="54"/>
      <c r="AL25" s="65">
        <f t="shared" si="4"/>
        <v>0</v>
      </c>
      <c r="AM25" s="22" t="str">
        <f t="shared" si="2"/>
        <v>OK</v>
      </c>
    </row>
    <row r="26" spans="1:39" customFormat="1" hidden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36"/>
      <c r="I26" s="27">
        <f t="shared" si="3"/>
        <v>0</v>
      </c>
      <c r="J26" s="27"/>
      <c r="K26" s="16"/>
      <c r="L26" s="27"/>
      <c r="M26" s="27"/>
      <c r="N26" s="27"/>
      <c r="O26" s="27"/>
      <c r="P26" s="27"/>
      <c r="Q26" s="27"/>
      <c r="R26" s="27"/>
      <c r="S26" s="27"/>
      <c r="T26" s="43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8"/>
      <c r="AK26" s="55"/>
      <c r="AL26" s="66">
        <f t="shared" si="4"/>
        <v>0</v>
      </c>
      <c r="AM26" s="28" t="str">
        <f t="shared" si="2"/>
        <v>OK</v>
      </c>
    </row>
    <row r="27" spans="1:39" customFormat="1" hidden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135"/>
      <c r="I27" s="21">
        <f t="shared" si="3"/>
        <v>0</v>
      </c>
      <c r="J27" s="21"/>
      <c r="K27" s="16"/>
      <c r="L27" s="21"/>
      <c r="M27" s="21"/>
      <c r="N27" s="21"/>
      <c r="O27" s="21"/>
      <c r="P27" s="21"/>
      <c r="Q27" s="21"/>
      <c r="R27" s="21"/>
      <c r="S27" s="21"/>
      <c r="T27" s="4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7"/>
      <c r="AK27" s="54"/>
      <c r="AL27" s="65">
        <f t="shared" si="4"/>
        <v>0</v>
      </c>
      <c r="AM27" s="22" t="str">
        <f t="shared" si="2"/>
        <v>OK</v>
      </c>
    </row>
    <row r="28" spans="1:39" customFormat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136">
        <f>624+624+312</f>
        <v>1560</v>
      </c>
      <c r="I28" s="27">
        <f t="shared" si="3"/>
        <v>4</v>
      </c>
      <c r="J28" s="27"/>
      <c r="K28" s="16"/>
      <c r="L28" s="27"/>
      <c r="M28" s="27">
        <v>1</v>
      </c>
      <c r="N28" s="27"/>
      <c r="O28" s="27"/>
      <c r="P28" s="27"/>
      <c r="Q28" s="27"/>
      <c r="R28" s="27"/>
      <c r="S28" s="27"/>
      <c r="T28" s="43"/>
      <c r="U28" s="52"/>
      <c r="V28" s="52"/>
      <c r="W28" s="52"/>
      <c r="X28" s="52"/>
      <c r="Y28" s="52"/>
      <c r="Z28" s="52">
        <v>3</v>
      </c>
      <c r="AA28" s="52"/>
      <c r="AB28" s="52"/>
      <c r="AC28" s="52"/>
      <c r="AD28" s="52"/>
      <c r="AE28" s="52"/>
      <c r="AF28" s="52"/>
      <c r="AG28" s="52"/>
      <c r="AH28" s="52"/>
      <c r="AI28" s="55"/>
      <c r="AJ28" s="58"/>
      <c r="AK28" s="55"/>
      <c r="AL28" s="66">
        <f t="shared" si="4"/>
        <v>4</v>
      </c>
      <c r="AM28" s="28" t="str">
        <f t="shared" si="2"/>
        <v>OK</v>
      </c>
    </row>
    <row r="29" spans="1:39" customFormat="1">
      <c r="A29" s="80" t="s">
        <v>71</v>
      </c>
      <c r="B29" s="77">
        <v>10151</v>
      </c>
      <c r="C29" s="17" t="s">
        <v>51</v>
      </c>
      <c r="D29" s="69"/>
      <c r="E29" s="18"/>
      <c r="F29" s="18"/>
      <c r="G29" s="19"/>
      <c r="H29" s="135">
        <f>924+418</f>
        <v>1342</v>
      </c>
      <c r="I29" s="21">
        <f t="shared" si="3"/>
        <v>6</v>
      </c>
      <c r="J29" s="21"/>
      <c r="K29" s="16"/>
      <c r="L29" s="21"/>
      <c r="M29" s="21"/>
      <c r="N29" s="21"/>
      <c r="O29" s="21"/>
      <c r="P29" s="21"/>
      <c r="Q29" s="21"/>
      <c r="R29" s="21"/>
      <c r="S29" s="21"/>
      <c r="T29" s="42"/>
      <c r="U29" s="51"/>
      <c r="V29" s="51"/>
      <c r="W29" s="51"/>
      <c r="X29" s="51"/>
      <c r="Y29" s="51"/>
      <c r="Z29" s="51"/>
      <c r="AA29" s="51"/>
      <c r="AB29" s="51"/>
      <c r="AC29" s="51">
        <v>6</v>
      </c>
      <c r="AD29" s="51"/>
      <c r="AE29" s="51"/>
      <c r="AF29" s="51"/>
      <c r="AG29" s="51"/>
      <c r="AH29" s="51"/>
      <c r="AI29" s="54"/>
      <c r="AJ29" s="57"/>
      <c r="AK29" s="54"/>
      <c r="AL29" s="65">
        <f t="shared" si="4"/>
        <v>6</v>
      </c>
      <c r="AM29" s="22" t="str">
        <f t="shared" si="2"/>
        <v>OK</v>
      </c>
    </row>
    <row r="30" spans="1:39" customFormat="1" hidden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137">
        <v>1296</v>
      </c>
      <c r="I30" s="27">
        <f t="shared" si="3"/>
        <v>0</v>
      </c>
      <c r="J30" s="27"/>
      <c r="K30" s="16"/>
      <c r="L30" s="27"/>
      <c r="M30" s="27"/>
      <c r="N30" s="27"/>
      <c r="O30" s="27"/>
      <c r="P30" s="27"/>
      <c r="Q30" s="27"/>
      <c r="R30" s="27"/>
      <c r="S30" s="27"/>
      <c r="T30" s="43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5"/>
      <c r="AJ30" s="58"/>
      <c r="AK30" s="55"/>
      <c r="AL30" s="66">
        <f t="shared" si="4"/>
        <v>0</v>
      </c>
      <c r="AM30" s="28" t="str">
        <f t="shared" si="2"/>
        <v>OK</v>
      </c>
    </row>
    <row r="31" spans="1:39" customFormat="1" hidden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135"/>
      <c r="I31" s="21">
        <f t="shared" si="3"/>
        <v>0</v>
      </c>
      <c r="J31" s="21"/>
      <c r="K31" s="16"/>
      <c r="L31" s="21"/>
      <c r="M31" s="21"/>
      <c r="N31" s="21"/>
      <c r="O31" s="21"/>
      <c r="P31" s="21"/>
      <c r="Q31" s="21"/>
      <c r="R31" s="21"/>
      <c r="S31" s="21"/>
      <c r="T31" s="4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7"/>
      <c r="AK31" s="54"/>
      <c r="AL31" s="65">
        <f t="shared" si="4"/>
        <v>0</v>
      </c>
      <c r="AM31" s="22" t="str">
        <f t="shared" si="2"/>
        <v>OK</v>
      </c>
    </row>
    <row r="32" spans="1:39" customFormat="1" hidden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136"/>
      <c r="I32" s="27">
        <f t="shared" si="3"/>
        <v>0</v>
      </c>
      <c r="J32" s="27"/>
      <c r="K32" s="16"/>
      <c r="L32" s="27"/>
      <c r="M32" s="27"/>
      <c r="N32" s="27"/>
      <c r="O32" s="27"/>
      <c r="P32" s="27"/>
      <c r="Q32" s="27"/>
      <c r="R32" s="27"/>
      <c r="S32" s="27"/>
      <c r="T32" s="43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5"/>
      <c r="AJ32" s="58"/>
      <c r="AK32" s="55"/>
      <c r="AL32" s="66">
        <f t="shared" si="4"/>
        <v>0</v>
      </c>
      <c r="AM32" s="28" t="str">
        <f t="shared" si="2"/>
        <v>OK</v>
      </c>
    </row>
    <row r="33" spans="1:39" customFormat="1" hidden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135"/>
      <c r="I33" s="21">
        <f t="shared" si="3"/>
        <v>0</v>
      </c>
      <c r="J33" s="21"/>
      <c r="K33" s="16"/>
      <c r="L33" s="21"/>
      <c r="M33" s="21"/>
      <c r="N33" s="21"/>
      <c r="O33" s="21"/>
      <c r="P33" s="21"/>
      <c r="Q33" s="21"/>
      <c r="R33" s="21"/>
      <c r="S33" s="21"/>
      <c r="T33" s="42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4"/>
      <c r="AJ33" s="57"/>
      <c r="AK33" s="54"/>
      <c r="AL33" s="65">
        <f t="shared" si="4"/>
        <v>0</v>
      </c>
      <c r="AM33" s="22" t="str">
        <f t="shared" si="2"/>
        <v>OK</v>
      </c>
    </row>
    <row r="34" spans="1:39" customFormat="1" hidden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136">
        <v>1320</v>
      </c>
      <c r="I34" s="27">
        <f t="shared" si="3"/>
        <v>0</v>
      </c>
      <c r="J34" s="27"/>
      <c r="K34" s="16"/>
      <c r="L34" s="27"/>
      <c r="M34" s="27"/>
      <c r="N34" s="27"/>
      <c r="O34" s="27"/>
      <c r="P34" s="27"/>
      <c r="Q34" s="27"/>
      <c r="R34" s="27"/>
      <c r="S34" s="27"/>
      <c r="T34" s="43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5"/>
      <c r="AJ34" s="58"/>
      <c r="AK34" s="55"/>
      <c r="AL34" s="66">
        <f t="shared" si="4"/>
        <v>0</v>
      </c>
      <c r="AM34" s="28" t="str">
        <f t="shared" si="2"/>
        <v>OK</v>
      </c>
    </row>
    <row r="35" spans="1:39" customFormat="1" hidden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135"/>
      <c r="I35" s="21">
        <f t="shared" si="3"/>
        <v>0</v>
      </c>
      <c r="J35" s="21"/>
      <c r="K35" s="16"/>
      <c r="L35" s="21"/>
      <c r="M35" s="21"/>
      <c r="N35" s="21"/>
      <c r="O35" s="21"/>
      <c r="P35" s="21"/>
      <c r="Q35" s="21"/>
      <c r="R35" s="21"/>
      <c r="S35" s="21"/>
      <c r="T35" s="42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4"/>
      <c r="AJ35" s="57"/>
      <c r="AK35" s="54"/>
      <c r="AL35" s="65">
        <f t="shared" si="4"/>
        <v>0</v>
      </c>
      <c r="AM35" s="22" t="str">
        <f t="shared" si="2"/>
        <v>OK</v>
      </c>
    </row>
    <row r="36" spans="1:39" customFormat="1" hidden="1">
      <c r="A36" s="68" t="s">
        <v>76</v>
      </c>
      <c r="B36" s="78">
        <v>10135</v>
      </c>
      <c r="C36" s="23" t="s">
        <v>56</v>
      </c>
      <c r="D36" s="24"/>
      <c r="E36" s="24"/>
      <c r="F36" s="24"/>
      <c r="G36" s="25"/>
      <c r="H36" s="136"/>
      <c r="I36" s="27">
        <f t="shared" si="3"/>
        <v>0</v>
      </c>
      <c r="J36" s="27"/>
      <c r="K36" s="16"/>
      <c r="L36" s="27"/>
      <c r="M36" s="27"/>
      <c r="N36" s="27"/>
      <c r="O36" s="27"/>
      <c r="P36" s="27"/>
      <c r="Q36" s="27"/>
      <c r="R36" s="27"/>
      <c r="S36" s="27"/>
      <c r="T36" s="43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5"/>
      <c r="AJ36" s="58"/>
      <c r="AK36" s="55"/>
      <c r="AL36" s="66">
        <f t="shared" si="4"/>
        <v>0</v>
      </c>
      <c r="AM36" s="28" t="str">
        <f t="shared" si="2"/>
        <v>OK</v>
      </c>
    </row>
    <row r="37" spans="1:39" customFormat="1" hidden="1">
      <c r="A37" s="80" t="s">
        <v>77</v>
      </c>
      <c r="B37" s="77">
        <v>10133</v>
      </c>
      <c r="C37" s="17" t="s">
        <v>55</v>
      </c>
      <c r="D37" s="69"/>
      <c r="E37" s="18"/>
      <c r="F37" s="18"/>
      <c r="G37" s="19"/>
      <c r="H37" s="135"/>
      <c r="I37" s="21">
        <f t="shared" si="3"/>
        <v>0</v>
      </c>
      <c r="J37" s="21"/>
      <c r="K37" s="16"/>
      <c r="L37" s="21"/>
      <c r="M37" s="21"/>
      <c r="N37" s="21"/>
      <c r="O37" s="21"/>
      <c r="P37" s="21"/>
      <c r="Q37" s="21"/>
      <c r="R37" s="21"/>
      <c r="S37" s="21"/>
      <c r="T37" s="42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4"/>
      <c r="AJ37" s="57"/>
      <c r="AK37" s="54"/>
      <c r="AL37" s="65">
        <f t="shared" si="4"/>
        <v>0</v>
      </c>
      <c r="AM37" s="22" t="str">
        <f t="shared" si="2"/>
        <v>OK</v>
      </c>
    </row>
    <row r="38" spans="1:39" customFormat="1" hidden="1">
      <c r="A38" s="68" t="s">
        <v>78</v>
      </c>
      <c r="B38" s="78">
        <v>10131</v>
      </c>
      <c r="C38" s="23" t="s">
        <v>56</v>
      </c>
      <c r="D38" s="24"/>
      <c r="E38" s="24"/>
      <c r="F38" s="24"/>
      <c r="G38" s="25"/>
      <c r="H38" s="136"/>
      <c r="I38" s="27">
        <f t="shared" si="3"/>
        <v>0</v>
      </c>
      <c r="J38" s="27"/>
      <c r="K38" s="16"/>
      <c r="L38" s="27"/>
      <c r="M38" s="27"/>
      <c r="N38" s="27"/>
      <c r="O38" s="27"/>
      <c r="P38" s="27"/>
      <c r="Q38" s="27"/>
      <c r="R38" s="27"/>
      <c r="S38" s="27"/>
      <c r="T38" s="43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5"/>
      <c r="AJ38" s="58"/>
      <c r="AK38" s="55"/>
      <c r="AL38" s="66">
        <f t="shared" ref="AL38:AL50" si="5">SUM(L38:AK38)</f>
        <v>0</v>
      </c>
      <c r="AM38" s="28" t="str">
        <f t="shared" si="2"/>
        <v>OK</v>
      </c>
    </row>
    <row r="39" spans="1:39" customFormat="1" hidden="1">
      <c r="A39" s="17" t="s">
        <v>79</v>
      </c>
      <c r="B39" s="77">
        <v>10129</v>
      </c>
      <c r="C39" s="17" t="s">
        <v>57</v>
      </c>
      <c r="D39" s="69"/>
      <c r="E39" s="18"/>
      <c r="F39" s="18"/>
      <c r="G39" s="19"/>
      <c r="H39" s="135"/>
      <c r="I39" s="21">
        <f t="shared" si="3"/>
        <v>0</v>
      </c>
      <c r="J39" s="21"/>
      <c r="K39" s="16"/>
      <c r="L39" s="21"/>
      <c r="M39" s="21"/>
      <c r="N39" s="21"/>
      <c r="O39" s="21"/>
      <c r="P39" s="21"/>
      <c r="Q39" s="21"/>
      <c r="R39" s="21"/>
      <c r="S39" s="21"/>
      <c r="T39" s="42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4"/>
      <c r="AJ39" s="57"/>
      <c r="AK39" s="54"/>
      <c r="AL39" s="65">
        <f t="shared" si="5"/>
        <v>0</v>
      </c>
      <c r="AM39" s="22" t="str">
        <f t="shared" si="2"/>
        <v>OK</v>
      </c>
    </row>
    <row r="40" spans="1:39" customFormat="1" hidden="1">
      <c r="A40" s="68" t="s">
        <v>80</v>
      </c>
      <c r="B40" s="78">
        <v>10127</v>
      </c>
      <c r="C40" s="23" t="s">
        <v>58</v>
      </c>
      <c r="D40" s="24"/>
      <c r="E40" s="24"/>
      <c r="F40" s="24"/>
      <c r="G40" s="25"/>
      <c r="H40" s="136">
        <v>1350</v>
      </c>
      <c r="I40" s="27">
        <f t="shared" si="3"/>
        <v>0</v>
      </c>
      <c r="J40" s="27"/>
      <c r="K40" s="16"/>
      <c r="L40" s="27"/>
      <c r="M40" s="27"/>
      <c r="N40" s="27"/>
      <c r="O40" s="27"/>
      <c r="P40" s="27"/>
      <c r="Q40" s="27"/>
      <c r="R40" s="27"/>
      <c r="S40" s="27"/>
      <c r="T40" s="43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5"/>
      <c r="AJ40" s="58"/>
      <c r="AK40" s="55"/>
      <c r="AL40" s="66">
        <f t="shared" si="5"/>
        <v>0</v>
      </c>
      <c r="AM40" s="28" t="str">
        <f t="shared" si="2"/>
        <v>OK</v>
      </c>
    </row>
    <row r="41" spans="1:39" customFormat="1" hidden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135"/>
      <c r="I41" s="21">
        <f t="shared" si="3"/>
        <v>0</v>
      </c>
      <c r="J41" s="21"/>
      <c r="K41" s="16"/>
      <c r="L41" s="21"/>
      <c r="M41" s="21"/>
      <c r="N41" s="21"/>
      <c r="O41" s="21"/>
      <c r="P41" s="21"/>
      <c r="Q41" s="21"/>
      <c r="R41" s="21"/>
      <c r="S41" s="21"/>
      <c r="T41" s="4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4"/>
      <c r="AJ41" s="57"/>
      <c r="AK41" s="54"/>
      <c r="AL41" s="65">
        <f t="shared" si="5"/>
        <v>0</v>
      </c>
      <c r="AM41" s="22" t="str">
        <f t="shared" si="2"/>
        <v>OK</v>
      </c>
    </row>
    <row r="42" spans="1:39" customFormat="1" hidden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136"/>
      <c r="I42" s="27">
        <f t="shared" si="3"/>
        <v>0</v>
      </c>
      <c r="J42" s="27"/>
      <c r="K42" s="16"/>
      <c r="L42" s="27"/>
      <c r="M42" s="27"/>
      <c r="N42" s="27"/>
      <c r="O42" s="27"/>
      <c r="P42" s="27"/>
      <c r="Q42" s="27"/>
      <c r="R42" s="27"/>
      <c r="S42" s="27"/>
      <c r="T42" s="43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5"/>
      <c r="AJ42" s="58"/>
      <c r="AK42" s="55"/>
      <c r="AL42" s="66">
        <f t="shared" si="5"/>
        <v>0</v>
      </c>
      <c r="AM42" s="28" t="str">
        <f t="shared" si="2"/>
        <v>OK</v>
      </c>
    </row>
    <row r="43" spans="1:39" customFormat="1" hidden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135"/>
      <c r="I43" s="21">
        <f t="shared" si="3"/>
        <v>0</v>
      </c>
      <c r="J43" s="21"/>
      <c r="K43" s="16"/>
      <c r="L43" s="21"/>
      <c r="M43" s="21"/>
      <c r="N43" s="21"/>
      <c r="O43" s="21"/>
      <c r="P43" s="21"/>
      <c r="Q43" s="21"/>
      <c r="R43" s="21"/>
      <c r="S43" s="21"/>
      <c r="T43" s="42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4"/>
      <c r="AJ43" s="57"/>
      <c r="AK43" s="54"/>
      <c r="AL43" s="65">
        <f t="shared" si="5"/>
        <v>0</v>
      </c>
      <c r="AM43" s="22" t="str">
        <f t="shared" si="2"/>
        <v>OK</v>
      </c>
    </row>
    <row r="44" spans="1:39" customFormat="1" hidden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136"/>
      <c r="I44" s="27">
        <f t="shared" si="3"/>
        <v>0</v>
      </c>
      <c r="J44" s="27"/>
      <c r="K44" s="16"/>
      <c r="L44" s="27"/>
      <c r="M44" s="27"/>
      <c r="N44" s="27"/>
      <c r="O44" s="27"/>
      <c r="P44" s="27"/>
      <c r="Q44" s="27"/>
      <c r="R44" s="27"/>
      <c r="S44" s="27"/>
      <c r="T44" s="43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5"/>
      <c r="AJ44" s="58"/>
      <c r="AK44" s="55"/>
      <c r="AL44" s="66">
        <f t="shared" si="5"/>
        <v>0</v>
      </c>
      <c r="AM44" s="28" t="str">
        <f t="shared" si="2"/>
        <v>OK</v>
      </c>
    </row>
    <row r="45" spans="1:39" customFormat="1" hidden="1">
      <c r="A45" s="17" t="s">
        <v>107</v>
      </c>
      <c r="B45" s="77">
        <v>13467</v>
      </c>
      <c r="C45" s="17" t="s">
        <v>87</v>
      </c>
      <c r="D45" s="69"/>
      <c r="E45" s="18"/>
      <c r="F45" s="18"/>
      <c r="G45" s="19"/>
      <c r="H45" s="135">
        <v>512</v>
      </c>
      <c r="I45" s="21">
        <f t="shared" si="3"/>
        <v>0</v>
      </c>
      <c r="J45" s="21"/>
      <c r="K45" s="16"/>
      <c r="L45" s="21"/>
      <c r="M45" s="21"/>
      <c r="N45" s="21"/>
      <c r="O45" s="21"/>
      <c r="P45" s="21"/>
      <c r="Q45" s="21"/>
      <c r="R45" s="21"/>
      <c r="S45" s="21"/>
      <c r="T45" s="4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4"/>
      <c r="AJ45" s="57"/>
      <c r="AK45" s="54"/>
      <c r="AL45" s="65">
        <f t="shared" si="5"/>
        <v>0</v>
      </c>
      <c r="AM45" s="22" t="str">
        <f t="shared" si="2"/>
        <v>OK</v>
      </c>
    </row>
    <row r="46" spans="1:39" customFormat="1" hidden="1">
      <c r="A46" s="68" t="s">
        <v>111</v>
      </c>
      <c r="B46" s="78">
        <v>15948</v>
      </c>
      <c r="C46" s="23" t="s">
        <v>87</v>
      </c>
      <c r="D46" s="24"/>
      <c r="E46" s="24"/>
      <c r="F46" s="24"/>
      <c r="G46" s="25"/>
      <c r="H46" s="136"/>
      <c r="I46" s="27">
        <f t="shared" si="3"/>
        <v>0</v>
      </c>
      <c r="J46" s="27"/>
      <c r="K46" s="16"/>
      <c r="L46" s="27"/>
      <c r="M46" s="27"/>
      <c r="N46" s="27"/>
      <c r="O46" s="27"/>
      <c r="P46" s="27"/>
      <c r="Q46" s="27"/>
      <c r="R46" s="27"/>
      <c r="S46" s="27"/>
      <c r="T46" s="43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5"/>
      <c r="AJ46" s="58"/>
      <c r="AK46" s="55"/>
      <c r="AL46" s="66">
        <f t="shared" si="5"/>
        <v>0</v>
      </c>
      <c r="AM46" s="28" t="str">
        <f t="shared" si="2"/>
        <v>OK</v>
      </c>
    </row>
    <row r="47" spans="1:39" customFormat="1" hidden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135"/>
      <c r="I47" s="21">
        <f t="shared" si="3"/>
        <v>0</v>
      </c>
      <c r="J47" s="21"/>
      <c r="K47" s="16"/>
      <c r="L47" s="21"/>
      <c r="M47" s="21"/>
      <c r="N47" s="21"/>
      <c r="O47" s="21"/>
      <c r="P47" s="21"/>
      <c r="Q47" s="21"/>
      <c r="R47" s="21"/>
      <c r="S47" s="21"/>
      <c r="T47" s="42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4"/>
      <c r="AJ47" s="57"/>
      <c r="AK47" s="54"/>
      <c r="AL47" s="65">
        <f t="shared" si="5"/>
        <v>0</v>
      </c>
      <c r="AM47" s="22" t="str">
        <f t="shared" si="2"/>
        <v>OK</v>
      </c>
    </row>
    <row r="48" spans="1:39" customFormat="1" hidden="1">
      <c r="A48" s="68" t="s">
        <v>121</v>
      </c>
      <c r="B48" s="78">
        <v>16598</v>
      </c>
      <c r="C48" s="23" t="s">
        <v>87</v>
      </c>
      <c r="D48" s="24"/>
      <c r="E48" s="24"/>
      <c r="F48" s="24"/>
      <c r="G48" s="25"/>
      <c r="H48" s="136">
        <f>1006+690</f>
        <v>1696</v>
      </c>
      <c r="I48" s="27">
        <f t="shared" si="3"/>
        <v>0</v>
      </c>
      <c r="J48" s="27"/>
      <c r="K48" s="16"/>
      <c r="L48" s="27"/>
      <c r="M48" s="27"/>
      <c r="N48" s="27"/>
      <c r="O48" s="27"/>
      <c r="P48" s="27"/>
      <c r="Q48" s="27"/>
      <c r="R48" s="27"/>
      <c r="S48" s="27"/>
      <c r="T48" s="43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5"/>
      <c r="AJ48" s="58"/>
      <c r="AK48" s="55"/>
      <c r="AL48" s="66">
        <f t="shared" si="5"/>
        <v>0</v>
      </c>
      <c r="AM48" s="28" t="str">
        <f t="shared" si="2"/>
        <v>OK</v>
      </c>
    </row>
    <row r="49" spans="1:39" customFormat="1" hidden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135"/>
      <c r="I49" s="21">
        <f t="shared" si="3"/>
        <v>0</v>
      </c>
      <c r="J49" s="21"/>
      <c r="K49" s="16"/>
      <c r="L49" s="21"/>
      <c r="M49" s="21"/>
      <c r="N49" s="21"/>
      <c r="O49" s="21"/>
      <c r="P49" s="21"/>
      <c r="Q49" s="21"/>
      <c r="R49" s="21"/>
      <c r="S49" s="21"/>
      <c r="T49" s="4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4"/>
      <c r="AJ49" s="57"/>
      <c r="AK49" s="54"/>
      <c r="AL49" s="65">
        <f t="shared" si="5"/>
        <v>0</v>
      </c>
      <c r="AM49" s="22" t="str">
        <f t="shared" si="2"/>
        <v>OK</v>
      </c>
    </row>
    <row r="50" spans="1:39" customFormat="1" hidden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136"/>
      <c r="I50" s="27">
        <f t="shared" si="3"/>
        <v>0</v>
      </c>
      <c r="J50" s="27"/>
      <c r="K50" s="16"/>
      <c r="L50" s="27"/>
      <c r="M50" s="27"/>
      <c r="N50" s="27"/>
      <c r="O50" s="27"/>
      <c r="P50" s="27"/>
      <c r="Q50" s="27"/>
      <c r="R50" s="27"/>
      <c r="S50" s="27"/>
      <c r="T50" s="43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8"/>
      <c r="AK50" s="55"/>
      <c r="AL50" s="66">
        <f t="shared" si="5"/>
        <v>0</v>
      </c>
      <c r="AM50" s="28" t="str">
        <f t="shared" si="2"/>
        <v>OK</v>
      </c>
    </row>
    <row r="51" spans="1:39" customFormat="1" hidden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135"/>
      <c r="I51" s="21">
        <f t="shared" si="3"/>
        <v>0</v>
      </c>
      <c r="J51" s="21"/>
      <c r="K51" s="16"/>
      <c r="L51" s="21"/>
      <c r="M51" s="21"/>
      <c r="N51" s="21"/>
      <c r="O51" s="21"/>
      <c r="P51" s="21"/>
      <c r="Q51" s="21"/>
      <c r="R51" s="21"/>
      <c r="S51" s="21"/>
      <c r="T51" s="4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4"/>
      <c r="AJ51" s="57"/>
      <c r="AK51" s="54"/>
      <c r="AL51" s="65">
        <f>SUM(L51:AK51)</f>
        <v>0</v>
      </c>
      <c r="AM51" s="22" t="str">
        <f t="shared" si="2"/>
        <v>OK</v>
      </c>
    </row>
    <row r="52" spans="1:39" customFormat="1" hidden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136"/>
      <c r="I52" s="27">
        <f t="shared" si="3"/>
        <v>0</v>
      </c>
      <c r="J52" s="27"/>
      <c r="K52" s="16"/>
      <c r="L52" s="27"/>
      <c r="M52" s="27"/>
      <c r="N52" s="27"/>
      <c r="O52" s="27"/>
      <c r="P52" s="27"/>
      <c r="Q52" s="27"/>
      <c r="R52" s="27"/>
      <c r="S52" s="27"/>
      <c r="T52" s="43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5"/>
      <c r="AJ52" s="58"/>
      <c r="AK52" s="55"/>
      <c r="AL52" s="66">
        <f t="shared" ref="AL52:AL64" si="6">SUM(L52:AK52)</f>
        <v>0</v>
      </c>
      <c r="AM52" s="28" t="str">
        <f t="shared" si="2"/>
        <v>OK</v>
      </c>
    </row>
    <row r="53" spans="1:39" customFormat="1" hidden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135"/>
      <c r="I53" s="21">
        <f t="shared" si="3"/>
        <v>0</v>
      </c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42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4"/>
      <c r="AJ53" s="57"/>
      <c r="AK53" s="54"/>
      <c r="AL53" s="65">
        <f t="shared" si="6"/>
        <v>0</v>
      </c>
      <c r="AM53" s="22" t="str">
        <f t="shared" si="2"/>
        <v>OK</v>
      </c>
    </row>
    <row r="54" spans="1:39" customFormat="1" hidden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136"/>
      <c r="I54" s="27">
        <f t="shared" si="3"/>
        <v>0</v>
      </c>
      <c r="J54" s="27"/>
      <c r="K54" s="16"/>
      <c r="L54" s="27"/>
      <c r="M54" s="27"/>
      <c r="N54" s="27"/>
      <c r="O54" s="27"/>
      <c r="P54" s="27"/>
      <c r="Q54" s="27"/>
      <c r="R54" s="27"/>
      <c r="S54" s="27"/>
      <c r="T54" s="43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5"/>
      <c r="AJ54" s="58"/>
      <c r="AK54" s="55"/>
      <c r="AL54" s="66">
        <f t="shared" si="6"/>
        <v>0</v>
      </c>
      <c r="AM54" s="28" t="str">
        <f t="shared" si="2"/>
        <v>OK</v>
      </c>
    </row>
    <row r="55" spans="1:39" customFormat="1" hidden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135"/>
      <c r="I55" s="21">
        <f t="shared" si="3"/>
        <v>0</v>
      </c>
      <c r="J55" s="21"/>
      <c r="K55" s="16"/>
      <c r="L55" s="21"/>
      <c r="M55" s="21"/>
      <c r="N55" s="21"/>
      <c r="O55" s="21"/>
      <c r="P55" s="21"/>
      <c r="Q55" s="21"/>
      <c r="R55" s="21"/>
      <c r="S55" s="21"/>
      <c r="T55" s="42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4"/>
      <c r="AJ55" s="57"/>
      <c r="AK55" s="54"/>
      <c r="AL55" s="65">
        <f t="shared" si="6"/>
        <v>0</v>
      </c>
      <c r="AM55" s="22" t="str">
        <f t="shared" si="2"/>
        <v>OK</v>
      </c>
    </row>
    <row r="56" spans="1:39" customFormat="1" hidden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136"/>
      <c r="I56" s="27">
        <f t="shared" si="3"/>
        <v>0</v>
      </c>
      <c r="J56" s="27"/>
      <c r="K56" s="16"/>
      <c r="L56" s="27"/>
      <c r="M56" s="27"/>
      <c r="N56" s="27"/>
      <c r="O56" s="27"/>
      <c r="P56" s="27"/>
      <c r="Q56" s="27"/>
      <c r="R56" s="27"/>
      <c r="S56" s="27"/>
      <c r="T56" s="43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5"/>
      <c r="AJ56" s="58"/>
      <c r="AK56" s="55"/>
      <c r="AL56" s="66">
        <f t="shared" si="6"/>
        <v>0</v>
      </c>
      <c r="AM56" s="28" t="str">
        <f t="shared" si="2"/>
        <v>OK</v>
      </c>
    </row>
    <row r="57" spans="1:39" customFormat="1" hidden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135"/>
      <c r="I57" s="21">
        <f t="shared" si="3"/>
        <v>0</v>
      </c>
      <c r="J57" s="21"/>
      <c r="K57" s="16"/>
      <c r="L57" s="21"/>
      <c r="M57" s="21"/>
      <c r="N57" s="21"/>
      <c r="O57" s="21"/>
      <c r="P57" s="21"/>
      <c r="Q57" s="21"/>
      <c r="R57" s="21"/>
      <c r="S57" s="21"/>
      <c r="T57" s="42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4"/>
      <c r="AJ57" s="57"/>
      <c r="AK57" s="54"/>
      <c r="AL57" s="65">
        <f t="shared" si="6"/>
        <v>0</v>
      </c>
      <c r="AM57" s="22" t="str">
        <f t="shared" si="2"/>
        <v>OK</v>
      </c>
    </row>
    <row r="58" spans="1:39" customFormat="1" hidden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136"/>
      <c r="I58" s="27">
        <f t="shared" si="3"/>
        <v>0</v>
      </c>
      <c r="J58" s="27"/>
      <c r="K58" s="16"/>
      <c r="L58" s="27"/>
      <c r="M58" s="27"/>
      <c r="N58" s="27"/>
      <c r="O58" s="27"/>
      <c r="P58" s="27"/>
      <c r="Q58" s="27"/>
      <c r="R58" s="27"/>
      <c r="S58" s="27"/>
      <c r="T58" s="43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5"/>
      <c r="AJ58" s="58"/>
      <c r="AK58" s="55"/>
      <c r="AL58" s="66">
        <f t="shared" si="6"/>
        <v>0</v>
      </c>
      <c r="AM58" s="28" t="str">
        <f t="shared" si="2"/>
        <v>OK</v>
      </c>
    </row>
    <row r="59" spans="1:39" customFormat="1" hidden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135"/>
      <c r="I59" s="21">
        <f t="shared" si="3"/>
        <v>0</v>
      </c>
      <c r="J59" s="21"/>
      <c r="K59" s="16"/>
      <c r="L59" s="21"/>
      <c r="M59" s="21"/>
      <c r="N59" s="21"/>
      <c r="O59" s="21"/>
      <c r="P59" s="21"/>
      <c r="Q59" s="21"/>
      <c r="R59" s="21"/>
      <c r="S59" s="21"/>
      <c r="T59" s="4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4"/>
      <c r="AJ59" s="57"/>
      <c r="AK59" s="54"/>
      <c r="AL59" s="65">
        <f t="shared" si="6"/>
        <v>0</v>
      </c>
      <c r="AM59" s="22" t="str">
        <f t="shared" si="2"/>
        <v>OK</v>
      </c>
    </row>
    <row r="60" spans="1:39" customFormat="1" ht="17.25" thickBot="1">
      <c r="A60" s="68" t="s">
        <v>84</v>
      </c>
      <c r="B60" s="78">
        <v>11380</v>
      </c>
      <c r="C60" s="23" t="s">
        <v>60</v>
      </c>
      <c r="D60" s="24"/>
      <c r="E60" s="24"/>
      <c r="F60" s="24"/>
      <c r="G60" s="25"/>
      <c r="H60" s="136">
        <f>1250+900+1000</f>
        <v>3150</v>
      </c>
      <c r="I60" s="27">
        <f t="shared" si="3"/>
        <v>1</v>
      </c>
      <c r="J60" s="27"/>
      <c r="K60" s="16"/>
      <c r="L60" s="27"/>
      <c r="M60" s="27"/>
      <c r="N60" s="27"/>
      <c r="O60" s="27"/>
      <c r="P60" s="27"/>
      <c r="Q60" s="27"/>
      <c r="R60" s="27"/>
      <c r="S60" s="27"/>
      <c r="T60" s="43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5">
        <v>1</v>
      </c>
      <c r="AJ60" s="58"/>
      <c r="AK60" s="55"/>
      <c r="AL60" s="66">
        <f t="shared" si="6"/>
        <v>1</v>
      </c>
      <c r="AM60" s="28" t="str">
        <f t="shared" si="2"/>
        <v>OK</v>
      </c>
    </row>
    <row r="61" spans="1:39" customFormat="1" ht="17.25" hidden="1" thickBot="1">
      <c r="A61" s="80" t="s">
        <v>112</v>
      </c>
      <c r="B61" s="77">
        <v>18518</v>
      </c>
      <c r="C61" s="17" t="s">
        <v>87</v>
      </c>
      <c r="D61" s="69"/>
      <c r="E61" s="18"/>
      <c r="F61" s="18"/>
      <c r="G61" s="19"/>
      <c r="H61" s="135">
        <f>144+280+265+200+261+830</f>
        <v>1980</v>
      </c>
      <c r="I61" s="21">
        <f t="shared" si="3"/>
        <v>0</v>
      </c>
      <c r="J61" s="21"/>
      <c r="K61" s="16"/>
      <c r="L61" s="21"/>
      <c r="M61" s="21"/>
      <c r="N61" s="21"/>
      <c r="O61" s="21"/>
      <c r="P61" s="21"/>
      <c r="Q61" s="21"/>
      <c r="R61" s="21"/>
      <c r="S61" s="21"/>
      <c r="T61" s="4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4"/>
      <c r="AJ61" s="57"/>
      <c r="AK61" s="54"/>
      <c r="AL61" s="65">
        <f t="shared" si="6"/>
        <v>0</v>
      </c>
      <c r="AM61" s="22" t="str">
        <f t="shared" si="2"/>
        <v>OK</v>
      </c>
    </row>
    <row r="62" spans="1:39" customFormat="1" ht="17.25" hidden="1" thickBot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136">
        <v>300</v>
      </c>
      <c r="I62" s="27">
        <f t="shared" si="3"/>
        <v>0</v>
      </c>
      <c r="J62" s="27"/>
      <c r="K62" s="16"/>
      <c r="L62" s="27"/>
      <c r="M62" s="27"/>
      <c r="N62" s="27"/>
      <c r="O62" s="27"/>
      <c r="P62" s="27"/>
      <c r="Q62" s="27"/>
      <c r="R62" s="27"/>
      <c r="S62" s="27"/>
      <c r="T62" s="43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5"/>
      <c r="AJ62" s="58"/>
      <c r="AK62" s="55"/>
      <c r="AL62" s="66">
        <f t="shared" si="6"/>
        <v>0</v>
      </c>
      <c r="AM62" s="28" t="str">
        <f t="shared" si="2"/>
        <v>OK</v>
      </c>
    </row>
    <row r="63" spans="1:39" customFormat="1" ht="17.25" hidden="1" thickBot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135"/>
      <c r="I63" s="21">
        <f t="shared" si="3"/>
        <v>0</v>
      </c>
      <c r="J63" s="21"/>
      <c r="K63" s="16"/>
      <c r="L63" s="21"/>
      <c r="M63" s="21"/>
      <c r="N63" s="21"/>
      <c r="O63" s="21"/>
      <c r="P63" s="21"/>
      <c r="Q63" s="21"/>
      <c r="R63" s="21"/>
      <c r="S63" s="21"/>
      <c r="T63" s="4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4"/>
      <c r="AJ63" s="57"/>
      <c r="AK63" s="54"/>
      <c r="AL63" s="65">
        <f t="shared" si="6"/>
        <v>0</v>
      </c>
      <c r="AM63" s="22" t="str">
        <f t="shared" si="2"/>
        <v>OK</v>
      </c>
    </row>
    <row r="64" spans="1:39" customFormat="1" ht="17.25" hidden="1" thickBot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136"/>
      <c r="I64" s="27">
        <f t="shared" si="3"/>
        <v>0</v>
      </c>
      <c r="J64" s="27"/>
      <c r="K64" s="16"/>
      <c r="L64" s="27"/>
      <c r="M64" s="27"/>
      <c r="N64" s="27"/>
      <c r="O64" s="27"/>
      <c r="P64" s="27"/>
      <c r="Q64" s="27"/>
      <c r="R64" s="27"/>
      <c r="S64" s="27"/>
      <c r="T64" s="43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5"/>
      <c r="AJ64" s="58"/>
      <c r="AK64" s="55"/>
      <c r="AL64" s="66">
        <f t="shared" si="6"/>
        <v>0</v>
      </c>
      <c r="AM64" s="28" t="str">
        <f t="shared" si="2"/>
        <v>OK</v>
      </c>
    </row>
    <row r="65" spans="1:39" customFormat="1" ht="17.25" hidden="1" thickBot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135"/>
      <c r="I65" s="21">
        <f t="shared" si="3"/>
        <v>0</v>
      </c>
      <c r="J65" s="21"/>
      <c r="K65" s="16"/>
      <c r="L65" s="21"/>
      <c r="M65" s="21"/>
      <c r="N65" s="21"/>
      <c r="O65" s="21"/>
      <c r="P65" s="21"/>
      <c r="Q65" s="21"/>
      <c r="R65" s="21"/>
      <c r="S65" s="21"/>
      <c r="T65" s="4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4"/>
      <c r="AJ65" s="57"/>
      <c r="AK65" s="54"/>
      <c r="AL65" s="65">
        <f t="shared" si="4"/>
        <v>0</v>
      </c>
      <c r="AM65" s="22" t="str">
        <f t="shared" si="2"/>
        <v>OK</v>
      </c>
    </row>
    <row r="66" spans="1:39" customFormat="1" ht="17.25" hidden="1" thickBot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136"/>
      <c r="I66" s="27">
        <f t="shared" si="3"/>
        <v>0</v>
      </c>
      <c r="J66" s="27"/>
      <c r="K66" s="16"/>
      <c r="L66" s="27"/>
      <c r="M66" s="27"/>
      <c r="N66" s="27"/>
      <c r="O66" s="27"/>
      <c r="P66" s="27"/>
      <c r="Q66" s="27"/>
      <c r="R66" s="27"/>
      <c r="S66" s="27"/>
      <c r="T66" s="43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5"/>
      <c r="AJ66" s="58"/>
      <c r="AK66" s="55"/>
      <c r="AL66" s="66">
        <f t="shared" si="4"/>
        <v>0</v>
      </c>
      <c r="AM66" s="28" t="str">
        <f t="shared" si="2"/>
        <v>OK</v>
      </c>
    </row>
    <row r="67" spans="1:39" customFormat="1" ht="17.25" hidden="1" thickBot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135">
        <v>400</v>
      </c>
      <c r="I67" s="21">
        <f t="shared" si="3"/>
        <v>0</v>
      </c>
      <c r="J67" s="21"/>
      <c r="K67" s="16"/>
      <c r="L67" s="21"/>
      <c r="M67" s="21"/>
      <c r="N67" s="21"/>
      <c r="O67" s="21"/>
      <c r="P67" s="21"/>
      <c r="Q67" s="21"/>
      <c r="R67" s="21"/>
      <c r="S67" s="21"/>
      <c r="T67" s="4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4"/>
      <c r="AJ67" s="57"/>
      <c r="AK67" s="54"/>
      <c r="AL67" s="65">
        <f t="shared" si="4"/>
        <v>0</v>
      </c>
      <c r="AM67" s="22" t="str">
        <f t="shared" si="2"/>
        <v>OK</v>
      </c>
    </row>
    <row r="68" spans="1:39" customFormat="1" ht="17.25" hidden="1" thickBot="1">
      <c r="A68" s="81" t="s">
        <v>132</v>
      </c>
      <c r="B68" s="78">
        <v>20269</v>
      </c>
      <c r="C68" s="23" t="s">
        <v>131</v>
      </c>
      <c r="D68" s="24"/>
      <c r="E68" s="24"/>
      <c r="F68" s="24"/>
      <c r="G68" s="25"/>
      <c r="H68" s="136">
        <v>281</v>
      </c>
      <c r="I68" s="27">
        <f t="shared" si="3"/>
        <v>0</v>
      </c>
      <c r="J68" s="27"/>
      <c r="K68" s="16"/>
      <c r="L68" s="27"/>
      <c r="M68" s="27"/>
      <c r="N68" s="27"/>
      <c r="O68" s="27"/>
      <c r="P68" s="27"/>
      <c r="Q68" s="27"/>
      <c r="R68" s="27"/>
      <c r="S68" s="27"/>
      <c r="T68" s="43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5"/>
      <c r="AJ68" s="58"/>
      <c r="AK68" s="55"/>
      <c r="AL68" s="66">
        <f t="shared" si="4"/>
        <v>0</v>
      </c>
      <c r="AM68" s="28" t="str">
        <f t="shared" si="2"/>
        <v>OK</v>
      </c>
    </row>
    <row r="69" spans="1:39" customFormat="1" ht="17.25" hidden="1" thickBot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135"/>
      <c r="I69" s="21">
        <f t="shared" si="3"/>
        <v>0</v>
      </c>
      <c r="J69" s="21"/>
      <c r="K69" s="16"/>
      <c r="L69" s="21"/>
      <c r="M69" s="21"/>
      <c r="N69" s="21"/>
      <c r="O69" s="21"/>
      <c r="P69" s="21"/>
      <c r="Q69" s="21"/>
      <c r="R69" s="21"/>
      <c r="S69" s="21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7"/>
      <c r="AK69" s="54"/>
      <c r="AL69" s="65">
        <f t="shared" si="4"/>
        <v>0</v>
      </c>
      <c r="AM69" s="22" t="str">
        <f t="shared" si="2"/>
        <v>OK</v>
      </c>
    </row>
    <row r="70" spans="1:39" customFormat="1" ht="17.25" hidden="1" thickBot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136"/>
      <c r="I70" s="27">
        <f t="shared" si="3"/>
        <v>0</v>
      </c>
      <c r="J70" s="27"/>
      <c r="K70" s="16"/>
      <c r="L70" s="27"/>
      <c r="M70" s="27"/>
      <c r="N70" s="27"/>
      <c r="O70" s="27"/>
      <c r="P70" s="27"/>
      <c r="Q70" s="27"/>
      <c r="R70" s="27"/>
      <c r="S70" s="27"/>
      <c r="T70" s="43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5"/>
      <c r="AJ70" s="58"/>
      <c r="AK70" s="55"/>
      <c r="AL70" s="66">
        <f t="shared" si="4"/>
        <v>0</v>
      </c>
      <c r="AM70" s="28" t="str">
        <f t="shared" si="2"/>
        <v>OK</v>
      </c>
    </row>
    <row r="71" spans="1:39" customFormat="1" ht="17.25" hidden="1" thickBot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135"/>
      <c r="I71" s="21">
        <f t="shared" ref="I71:I96" si="7">SUM(L71:AK71)</f>
        <v>0</v>
      </c>
      <c r="J71" s="21"/>
      <c r="K71" s="16"/>
      <c r="L71" s="21"/>
      <c r="M71" s="21"/>
      <c r="N71" s="21"/>
      <c r="O71" s="21"/>
      <c r="P71" s="21"/>
      <c r="Q71" s="21"/>
      <c r="R71" s="21"/>
      <c r="S71" s="21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4"/>
      <c r="AJ71" s="57"/>
      <c r="AK71" s="54"/>
      <c r="AL71" s="65">
        <f t="shared" si="4"/>
        <v>0</v>
      </c>
      <c r="AM71" s="22" t="str">
        <f t="shared" si="2"/>
        <v>OK</v>
      </c>
    </row>
    <row r="72" spans="1:39" customFormat="1" ht="17.25" hidden="1" thickBot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136"/>
      <c r="I72" s="27">
        <f t="shared" si="7"/>
        <v>0</v>
      </c>
      <c r="J72" s="27"/>
      <c r="K72" s="16"/>
      <c r="L72" s="27"/>
      <c r="M72" s="27"/>
      <c r="N72" s="27"/>
      <c r="O72" s="27"/>
      <c r="P72" s="27"/>
      <c r="Q72" s="27"/>
      <c r="R72" s="27"/>
      <c r="S72" s="27"/>
      <c r="T72" s="43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5"/>
      <c r="AJ72" s="58"/>
      <c r="AK72" s="55"/>
      <c r="AL72" s="66">
        <f t="shared" si="4"/>
        <v>0</v>
      </c>
      <c r="AM72" s="28" t="str">
        <f t="shared" si="2"/>
        <v>OK</v>
      </c>
    </row>
    <row r="73" spans="1:39" customFormat="1" ht="17.25" hidden="1" thickBot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138"/>
      <c r="I73" s="101">
        <f t="shared" si="7"/>
        <v>0</v>
      </c>
      <c r="J73" s="21"/>
      <c r="K73" s="16"/>
      <c r="L73" s="21"/>
      <c r="M73" s="21"/>
      <c r="N73" s="21"/>
      <c r="O73" s="21"/>
      <c r="P73" s="21"/>
      <c r="Q73" s="21"/>
      <c r="R73" s="21"/>
      <c r="S73" s="21"/>
      <c r="T73" s="42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4"/>
      <c r="AJ73" s="57"/>
      <c r="AK73" s="54"/>
      <c r="AL73" s="65">
        <f t="shared" si="4"/>
        <v>0</v>
      </c>
      <c r="AM73" s="22" t="str">
        <f t="shared" si="2"/>
        <v>OK</v>
      </c>
    </row>
    <row r="74" spans="1:39" customFormat="1" ht="17.25" hidden="1" thickBot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139">
        <f>800+402</f>
        <v>1202</v>
      </c>
      <c r="I74" s="103">
        <f t="shared" si="7"/>
        <v>0</v>
      </c>
      <c r="J74" s="27"/>
      <c r="K74" s="16"/>
      <c r="L74" s="100"/>
      <c r="M74" s="100"/>
      <c r="N74" s="100"/>
      <c r="O74" s="100"/>
      <c r="P74" s="100"/>
      <c r="Q74" s="100"/>
      <c r="R74" s="100"/>
      <c r="S74" s="100"/>
      <c r="T74" s="109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55"/>
      <c r="AJ74" s="112"/>
      <c r="AK74" s="111"/>
      <c r="AL74" s="66">
        <f t="shared" si="4"/>
        <v>0</v>
      </c>
      <c r="AM74" s="28" t="str">
        <f t="shared" si="2"/>
        <v>OK</v>
      </c>
    </row>
    <row r="75" spans="1:39" ht="17.25" hidden="1" thickBot="1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40"/>
      <c r="I75" s="105">
        <f t="shared" si="7"/>
        <v>0</v>
      </c>
      <c r="J75" s="90"/>
      <c r="K75" s="91"/>
      <c r="L75" s="113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5"/>
      <c r="AL75" s="92">
        <f t="shared" ref="AL75:AL80" si="8">SUM(L75:AK75)</f>
        <v>0</v>
      </c>
      <c r="AM75" s="122" t="str">
        <f t="shared" ref="AM75:AM96" si="9">IF(AL75=I75,"OK","NG")</f>
        <v>OK</v>
      </c>
    </row>
    <row r="76" spans="1:39" ht="17.25" hidden="1" thickBot="1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139"/>
      <c r="I76" s="106">
        <f t="shared" si="7"/>
        <v>0</v>
      </c>
      <c r="J76" s="85"/>
      <c r="K76" s="16"/>
      <c r="L76" s="1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8"/>
      <c r="AL76" s="66">
        <f t="shared" si="8"/>
        <v>0</v>
      </c>
      <c r="AM76" s="28" t="str">
        <f t="shared" si="9"/>
        <v>OK</v>
      </c>
    </row>
    <row r="77" spans="1:39" ht="17.25" hidden="1" thickBot="1">
      <c r="A77" s="87" t="s">
        <v>165</v>
      </c>
      <c r="B77" s="93">
        <v>13007</v>
      </c>
      <c r="C77" s="94" t="s">
        <v>164</v>
      </c>
      <c r="D77" s="88"/>
      <c r="E77" s="88"/>
      <c r="F77" s="88"/>
      <c r="G77" s="89"/>
      <c r="H77" s="104"/>
      <c r="I77" s="105">
        <f t="shared" si="7"/>
        <v>0</v>
      </c>
      <c r="J77" s="90"/>
      <c r="K77" s="91"/>
      <c r="L77" s="113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5"/>
      <c r="AL77" s="92">
        <f t="shared" si="8"/>
        <v>0</v>
      </c>
      <c r="AM77" s="122" t="str">
        <f t="shared" si="9"/>
        <v>OK</v>
      </c>
    </row>
    <row r="78" spans="1:39" ht="17.25" hidden="1" thickBot="1">
      <c r="A78" s="68"/>
      <c r="B78" s="78"/>
      <c r="C78" s="95"/>
      <c r="D78" s="83"/>
      <c r="E78" s="83"/>
      <c r="F78" s="83"/>
      <c r="G78" s="84"/>
      <c r="H78" s="102"/>
      <c r="I78" s="106">
        <f t="shared" si="7"/>
        <v>0</v>
      </c>
      <c r="J78" s="85"/>
      <c r="K78" s="16"/>
      <c r="L78" s="1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66">
        <f t="shared" si="8"/>
        <v>0</v>
      </c>
      <c r="AM78" s="28" t="str">
        <f t="shared" si="9"/>
        <v>OK</v>
      </c>
    </row>
    <row r="79" spans="1:39" ht="17.25" hidden="1" thickBot="1">
      <c r="A79" s="87"/>
      <c r="B79" s="93"/>
      <c r="C79" s="94"/>
      <c r="D79" s="88"/>
      <c r="E79" s="88"/>
      <c r="F79" s="88"/>
      <c r="G79" s="89"/>
      <c r="H79" s="104"/>
      <c r="I79" s="105">
        <f t="shared" si="7"/>
        <v>0</v>
      </c>
      <c r="J79" s="90"/>
      <c r="K79" s="91"/>
      <c r="L79" s="113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5"/>
      <c r="AL79" s="92">
        <f t="shared" si="8"/>
        <v>0</v>
      </c>
      <c r="AM79" s="122" t="str">
        <f t="shared" si="9"/>
        <v>OK</v>
      </c>
    </row>
    <row r="80" spans="1:39" ht="17.25" hidden="1" thickBot="1">
      <c r="A80" s="68"/>
      <c r="B80" s="78"/>
      <c r="C80" s="95"/>
      <c r="D80" s="83"/>
      <c r="E80" s="83"/>
      <c r="F80" s="83"/>
      <c r="G80" s="84"/>
      <c r="H80" s="102"/>
      <c r="I80" s="106">
        <f t="shared" si="7"/>
        <v>0</v>
      </c>
      <c r="J80" s="85"/>
      <c r="K80" s="16"/>
      <c r="L80" s="116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66">
        <f t="shared" si="8"/>
        <v>0</v>
      </c>
      <c r="AM80" s="28" t="str">
        <f t="shared" si="9"/>
        <v>OK</v>
      </c>
    </row>
    <row r="81" spans="1:39" ht="17.25" hidden="1" thickBot="1">
      <c r="A81" s="87"/>
      <c r="B81" s="93"/>
      <c r="C81" s="94"/>
      <c r="D81" s="88"/>
      <c r="E81" s="88"/>
      <c r="F81" s="88"/>
      <c r="G81" s="89"/>
      <c r="H81" s="104"/>
      <c r="I81" s="105">
        <f t="shared" si="7"/>
        <v>0</v>
      </c>
      <c r="J81" s="90"/>
      <c r="K81" s="91"/>
      <c r="L81" s="113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5"/>
      <c r="AL81" s="92">
        <f t="shared" ref="AL81:AL96" si="10">SUM(L81:AK81)</f>
        <v>0</v>
      </c>
      <c r="AM81" s="122" t="str">
        <f t="shared" si="9"/>
        <v>OK</v>
      </c>
    </row>
    <row r="82" spans="1:39" ht="17.25" hidden="1" thickBot="1">
      <c r="A82" s="68"/>
      <c r="B82" s="78"/>
      <c r="C82" s="95"/>
      <c r="D82" s="83"/>
      <c r="E82" s="83"/>
      <c r="F82" s="83"/>
      <c r="G82" s="84"/>
      <c r="H82" s="102"/>
      <c r="I82" s="106">
        <f t="shared" si="7"/>
        <v>0</v>
      </c>
      <c r="J82" s="85"/>
      <c r="K82" s="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66">
        <f t="shared" si="10"/>
        <v>0</v>
      </c>
      <c r="AM82" s="28" t="str">
        <f t="shared" si="9"/>
        <v>OK</v>
      </c>
    </row>
    <row r="83" spans="1:39" ht="17.25" hidden="1" thickBot="1">
      <c r="A83" s="96"/>
      <c r="B83" s="93"/>
      <c r="C83" s="94"/>
      <c r="D83" s="88"/>
      <c r="E83" s="88"/>
      <c r="F83" s="88"/>
      <c r="G83" s="89"/>
      <c r="H83" s="104"/>
      <c r="I83" s="105">
        <f t="shared" si="7"/>
        <v>0</v>
      </c>
      <c r="J83" s="90"/>
      <c r="K83" s="91"/>
      <c r="L83" s="113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5"/>
      <c r="AL83" s="92">
        <f t="shared" si="10"/>
        <v>0</v>
      </c>
      <c r="AM83" s="122" t="str">
        <f t="shared" si="9"/>
        <v>OK</v>
      </c>
    </row>
    <row r="84" spans="1:39" ht="17.25" hidden="1" thickBot="1">
      <c r="A84" s="68"/>
      <c r="B84" s="78"/>
      <c r="C84" s="95"/>
      <c r="D84" s="83"/>
      <c r="E84" s="83"/>
      <c r="F84" s="83"/>
      <c r="G84" s="84"/>
      <c r="H84" s="102"/>
      <c r="I84" s="106">
        <f t="shared" si="7"/>
        <v>0</v>
      </c>
      <c r="J84" s="85"/>
      <c r="K84" s="16"/>
      <c r="L84" s="116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66">
        <f t="shared" si="10"/>
        <v>0</v>
      </c>
      <c r="AM84" s="28" t="str">
        <f t="shared" si="9"/>
        <v>OK</v>
      </c>
    </row>
    <row r="85" spans="1:39" ht="17.25" hidden="1" thickBot="1">
      <c r="A85" s="87"/>
      <c r="B85" s="93"/>
      <c r="C85" s="94"/>
      <c r="D85" s="88"/>
      <c r="E85" s="88"/>
      <c r="F85" s="88"/>
      <c r="G85" s="89"/>
      <c r="H85" s="104"/>
      <c r="I85" s="105">
        <f t="shared" si="7"/>
        <v>0</v>
      </c>
      <c r="J85" s="90"/>
      <c r="K85" s="91"/>
      <c r="L85" s="113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5"/>
      <c r="AL85" s="92">
        <f t="shared" si="10"/>
        <v>0</v>
      </c>
      <c r="AM85" s="122" t="str">
        <f t="shared" si="9"/>
        <v>OK</v>
      </c>
    </row>
    <row r="86" spans="1:39" ht="17.25" hidden="1" thickBot="1">
      <c r="A86" s="68"/>
      <c r="B86" s="78"/>
      <c r="C86" s="95"/>
      <c r="D86" s="83"/>
      <c r="E86" s="83"/>
      <c r="F86" s="83"/>
      <c r="G86" s="84"/>
      <c r="H86" s="102"/>
      <c r="I86" s="106">
        <f t="shared" si="7"/>
        <v>0</v>
      </c>
      <c r="J86" s="85"/>
      <c r="K86" s="16"/>
      <c r="L86" s="116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66">
        <f t="shared" si="10"/>
        <v>0</v>
      </c>
      <c r="AM86" s="28" t="str">
        <f t="shared" si="9"/>
        <v>OK</v>
      </c>
    </row>
    <row r="87" spans="1:39" ht="17.25" hidden="1" thickBot="1">
      <c r="A87" s="87"/>
      <c r="B87" s="93"/>
      <c r="C87" s="94"/>
      <c r="D87" s="88"/>
      <c r="E87" s="88"/>
      <c r="F87" s="88"/>
      <c r="G87" s="89"/>
      <c r="H87" s="104"/>
      <c r="I87" s="105">
        <f t="shared" si="7"/>
        <v>0</v>
      </c>
      <c r="J87" s="90"/>
      <c r="K87" s="91"/>
      <c r="L87" s="113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5"/>
      <c r="AL87" s="92">
        <f t="shared" si="10"/>
        <v>0</v>
      </c>
      <c r="AM87" s="122" t="str">
        <f t="shared" si="9"/>
        <v>OK</v>
      </c>
    </row>
    <row r="88" spans="1:39" ht="17.25" hidden="1" thickBot="1">
      <c r="A88" s="68"/>
      <c r="B88" s="78"/>
      <c r="C88" s="95"/>
      <c r="D88" s="83"/>
      <c r="E88" s="83"/>
      <c r="F88" s="83"/>
      <c r="G88" s="84"/>
      <c r="H88" s="102"/>
      <c r="I88" s="106">
        <f t="shared" si="7"/>
        <v>0</v>
      </c>
      <c r="J88" s="85"/>
      <c r="K88" s="16"/>
      <c r="L88" s="116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66">
        <f t="shared" si="10"/>
        <v>0</v>
      </c>
      <c r="AM88" s="28" t="str">
        <f t="shared" si="9"/>
        <v>OK</v>
      </c>
    </row>
    <row r="89" spans="1:39" ht="17.25" hidden="1" thickBot="1">
      <c r="A89" s="87"/>
      <c r="B89" s="93"/>
      <c r="C89" s="94"/>
      <c r="D89" s="88"/>
      <c r="E89" s="88"/>
      <c r="F89" s="88"/>
      <c r="G89" s="89"/>
      <c r="H89" s="104"/>
      <c r="I89" s="105">
        <f t="shared" si="7"/>
        <v>0</v>
      </c>
      <c r="J89" s="90"/>
      <c r="K89" s="91"/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5"/>
      <c r="AL89" s="92">
        <f t="shared" si="10"/>
        <v>0</v>
      </c>
      <c r="AM89" s="122" t="str">
        <f t="shared" si="9"/>
        <v>OK</v>
      </c>
    </row>
    <row r="90" spans="1:39" ht="17.25" hidden="1" thickBot="1">
      <c r="A90" s="68"/>
      <c r="B90" s="78"/>
      <c r="C90" s="95"/>
      <c r="D90" s="83"/>
      <c r="E90" s="83"/>
      <c r="F90" s="83"/>
      <c r="G90" s="84"/>
      <c r="H90" s="102"/>
      <c r="I90" s="106">
        <f t="shared" si="7"/>
        <v>0</v>
      </c>
      <c r="J90" s="85"/>
      <c r="K90" s="16"/>
      <c r="L90" s="116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66">
        <f t="shared" si="10"/>
        <v>0</v>
      </c>
      <c r="AM90" s="28" t="str">
        <f t="shared" si="9"/>
        <v>OK</v>
      </c>
    </row>
    <row r="91" spans="1:39" ht="17.25" hidden="1" thickBot="1">
      <c r="A91" s="87"/>
      <c r="B91" s="93"/>
      <c r="C91" s="94"/>
      <c r="D91" s="88"/>
      <c r="E91" s="88"/>
      <c r="F91" s="88"/>
      <c r="G91" s="89"/>
      <c r="H91" s="104"/>
      <c r="I91" s="105">
        <f t="shared" si="7"/>
        <v>0</v>
      </c>
      <c r="J91" s="90"/>
      <c r="K91" s="91"/>
      <c r="L91" s="113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5"/>
      <c r="AL91" s="92">
        <f t="shared" si="10"/>
        <v>0</v>
      </c>
      <c r="AM91" s="122" t="str">
        <f t="shared" si="9"/>
        <v>OK</v>
      </c>
    </row>
    <row r="92" spans="1:39" ht="17.25" hidden="1" thickBot="1">
      <c r="A92" s="68"/>
      <c r="B92" s="78"/>
      <c r="C92" s="95"/>
      <c r="D92" s="83"/>
      <c r="E92" s="83"/>
      <c r="F92" s="83"/>
      <c r="G92" s="84"/>
      <c r="H92" s="102"/>
      <c r="I92" s="106">
        <f t="shared" si="7"/>
        <v>0</v>
      </c>
      <c r="J92" s="85"/>
      <c r="K92" s="16"/>
      <c r="L92" s="116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66">
        <f t="shared" si="10"/>
        <v>0</v>
      </c>
      <c r="AM92" s="28" t="str">
        <f t="shared" si="9"/>
        <v>OK</v>
      </c>
    </row>
    <row r="93" spans="1:39" ht="17.25" hidden="1" thickBot="1">
      <c r="A93" s="87"/>
      <c r="B93" s="93"/>
      <c r="C93" s="94"/>
      <c r="D93" s="88"/>
      <c r="E93" s="88"/>
      <c r="F93" s="88"/>
      <c r="G93" s="89"/>
      <c r="H93" s="104"/>
      <c r="I93" s="105">
        <f t="shared" si="7"/>
        <v>0</v>
      </c>
      <c r="J93" s="90"/>
      <c r="K93" s="91"/>
      <c r="L93" s="113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5"/>
      <c r="AL93" s="92">
        <f t="shared" si="10"/>
        <v>0</v>
      </c>
      <c r="AM93" s="122" t="str">
        <f t="shared" si="9"/>
        <v>OK</v>
      </c>
    </row>
    <row r="94" spans="1:39" ht="17.25" hidden="1" thickBot="1">
      <c r="A94" s="68"/>
      <c r="B94" s="78"/>
      <c r="C94" s="95"/>
      <c r="D94" s="83"/>
      <c r="E94" s="83"/>
      <c r="F94" s="83"/>
      <c r="G94" s="84"/>
      <c r="H94" s="102"/>
      <c r="I94" s="106">
        <f t="shared" si="7"/>
        <v>0</v>
      </c>
      <c r="J94" s="85"/>
      <c r="K94" s="16"/>
      <c r="L94" s="116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66">
        <f t="shared" si="10"/>
        <v>0</v>
      </c>
      <c r="AM94" s="28" t="str">
        <f t="shared" si="9"/>
        <v>OK</v>
      </c>
    </row>
    <row r="95" spans="1:39" ht="17.25" hidden="1" thickBot="1">
      <c r="A95" s="87"/>
      <c r="B95" s="93"/>
      <c r="C95" s="94"/>
      <c r="D95" s="88"/>
      <c r="E95" s="88"/>
      <c r="F95" s="88"/>
      <c r="G95" s="89"/>
      <c r="H95" s="104"/>
      <c r="I95" s="105">
        <f t="shared" si="7"/>
        <v>0</v>
      </c>
      <c r="J95" s="90"/>
      <c r="K95" s="91"/>
      <c r="L95" s="113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5"/>
      <c r="AL95" s="92">
        <f t="shared" si="10"/>
        <v>0</v>
      </c>
      <c r="AM95" s="122" t="str">
        <f t="shared" si="9"/>
        <v>OK</v>
      </c>
    </row>
    <row r="96" spans="1:39" ht="17.25" hidden="1" thickBot="1">
      <c r="A96" s="97"/>
      <c r="B96" s="98"/>
      <c r="C96" s="99"/>
      <c r="D96" s="83"/>
      <c r="E96" s="83"/>
      <c r="F96" s="83"/>
      <c r="G96" s="84"/>
      <c r="H96" s="107"/>
      <c r="I96" s="108">
        <f t="shared" si="7"/>
        <v>0</v>
      </c>
      <c r="J96" s="85"/>
      <c r="K96" s="16"/>
      <c r="L96" s="119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1"/>
      <c r="AL96" s="66">
        <f t="shared" si="10"/>
        <v>0</v>
      </c>
      <c r="AM96" s="28" t="str">
        <f t="shared" si="9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28185</v>
      </c>
      <c r="I97" s="46">
        <f>SUM(I6:I96)</f>
        <v>24</v>
      </c>
      <c r="J97" s="47">
        <f>SUM(J6:J74)</f>
        <v>0</v>
      </c>
      <c r="K97" s="9"/>
      <c r="L97" s="45">
        <f>SUM(L6:L96)</f>
        <v>0</v>
      </c>
      <c r="M97" s="45">
        <f t="shared" ref="M97:AI97" si="11">SUM(M6:M96)</f>
        <v>9</v>
      </c>
      <c r="N97" s="45">
        <f t="shared" si="11"/>
        <v>0</v>
      </c>
      <c r="O97" s="45">
        <f t="shared" si="11"/>
        <v>0</v>
      </c>
      <c r="P97" s="45">
        <f t="shared" si="11"/>
        <v>0</v>
      </c>
      <c r="Q97" s="45">
        <f t="shared" si="11"/>
        <v>0</v>
      </c>
      <c r="R97" s="45">
        <f t="shared" si="11"/>
        <v>0</v>
      </c>
      <c r="S97" s="45">
        <f t="shared" si="11"/>
        <v>0</v>
      </c>
      <c r="T97" s="45">
        <f t="shared" si="11"/>
        <v>0</v>
      </c>
      <c r="U97" s="45">
        <f t="shared" si="11"/>
        <v>0</v>
      </c>
      <c r="V97" s="45">
        <f t="shared" si="11"/>
        <v>0</v>
      </c>
      <c r="W97" s="45">
        <f t="shared" si="11"/>
        <v>0</v>
      </c>
      <c r="X97" s="45">
        <f t="shared" si="11"/>
        <v>0</v>
      </c>
      <c r="Y97" s="45">
        <f t="shared" si="11"/>
        <v>3</v>
      </c>
      <c r="Z97" s="45">
        <f t="shared" si="11"/>
        <v>3</v>
      </c>
      <c r="AA97" s="45">
        <f t="shared" si="11"/>
        <v>0</v>
      </c>
      <c r="AB97" s="45">
        <f t="shared" si="11"/>
        <v>0</v>
      </c>
      <c r="AC97" s="45">
        <f t="shared" si="11"/>
        <v>8</v>
      </c>
      <c r="AD97" s="45">
        <f t="shared" si="11"/>
        <v>0</v>
      </c>
      <c r="AE97" s="45">
        <f t="shared" si="11"/>
        <v>0</v>
      </c>
      <c r="AF97" s="45">
        <f t="shared" si="11"/>
        <v>0</v>
      </c>
      <c r="AG97" s="45">
        <f t="shared" si="11"/>
        <v>0</v>
      </c>
      <c r="AH97" s="45">
        <f t="shared" si="11"/>
        <v>0</v>
      </c>
      <c r="AI97" s="45">
        <f t="shared" si="11"/>
        <v>1</v>
      </c>
      <c r="AJ97" s="49">
        <f>SUM(AJ6:AJ96)</f>
        <v>0</v>
      </c>
      <c r="AK97" s="61">
        <f>SUM(AK6:AK96)</f>
        <v>0</v>
      </c>
      <c r="AL97" s="67">
        <f>SUM(AL6:AL96)</f>
        <v>24</v>
      </c>
      <c r="AM97" s="48" t="str">
        <f>IF(AL97=SUM(I97),"OK","NG")</f>
        <v>OK</v>
      </c>
    </row>
    <row r="100" spans="1:39">
      <c r="I100" s="86"/>
    </row>
    <row r="102" spans="1:39">
      <c r="H102" s="86"/>
    </row>
    <row r="105" spans="1:39">
      <c r="B105" t="s">
        <v>140</v>
      </c>
    </row>
  </sheetData>
  <autoFilter ref="A5:AM97" xr:uid="{00000000-0001-0000-0500-000000000000}">
    <filterColumn colId="8">
      <filters>
        <filter val="1"/>
        <filter val="13"/>
        <filter val="24"/>
        <filter val="4"/>
        <filter val="6"/>
      </filters>
    </filterColumn>
  </autoFilter>
  <mergeCells count="37">
    <mergeCell ref="AM4:AM5"/>
    <mergeCell ref="AG4:AG5"/>
    <mergeCell ref="AH4:AH5"/>
    <mergeCell ref="AI4:AI5"/>
    <mergeCell ref="AJ4:AJ5"/>
    <mergeCell ref="AK4:AK5"/>
    <mergeCell ref="AL4:AL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B1:C1"/>
    <mergeCell ref="F1:G1"/>
    <mergeCell ref="H1:J3"/>
    <mergeCell ref="B2:C2"/>
    <mergeCell ref="AM2:AM3"/>
    <mergeCell ref="B3:C3"/>
  </mergeCells>
  <phoneticPr fontId="3" type="noConversion"/>
  <conditionalFormatting sqref="A4 AM6:AM97">
    <cfRule type="containsText" dxfId="65" priority="7" operator="containsText" text="NG">
      <formula>NOT(ISERROR(SEARCH("NG",A4)))</formula>
    </cfRule>
    <cfRule type="containsText" dxfId="64" priority="8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51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 filterMode="1">
    <pageSetUpPr fitToPage="1"/>
  </sheetPr>
  <dimension ref="A1:AM110"/>
  <sheetViews>
    <sheetView showGridLines="0" zoomScale="85" zoomScaleNormal="85" workbookViewId="0">
      <pane ySplit="5" topLeftCell="A6" activePane="bottomLeft" state="frozen"/>
      <selection activeCell="P19" sqref="P19"/>
      <selection pane="bottomLeft"/>
    </sheetView>
  </sheetViews>
  <sheetFormatPr defaultColWidth="9" defaultRowHeight="16.5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16" width="8.75"/>
    <col min="17" max="20" width="9" customWidth="1"/>
    <col min="21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5" customHeight="1" thickBot="1">
      <c r="A1" s="37" t="s">
        <v>13</v>
      </c>
      <c r="B1" s="168">
        <f>H97</f>
        <v>34294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5" customHeight="1" thickBot="1">
      <c r="A2" s="37" t="s">
        <v>14</v>
      </c>
      <c r="B2" s="173">
        <f>I97</f>
        <v>33</v>
      </c>
      <c r="C2" s="174"/>
      <c r="D2" s="75"/>
      <c r="E2" s="71"/>
      <c r="F2" s="2"/>
      <c r="G2" s="2"/>
      <c r="H2" s="171"/>
      <c r="I2" s="171"/>
      <c r="J2" s="171"/>
      <c r="K2" s="3"/>
      <c r="L2" s="4">
        <f t="shared" ref="L2:AK2" si="0">SUBTOTAL(9,L6:L96)</f>
        <v>7</v>
      </c>
      <c r="M2" s="4">
        <f t="shared" si="0"/>
        <v>5</v>
      </c>
      <c r="N2" s="4">
        <f t="shared" si="0"/>
        <v>0</v>
      </c>
      <c r="O2" s="4">
        <f t="shared" si="0"/>
        <v>0</v>
      </c>
      <c r="P2" s="4">
        <f t="shared" si="0"/>
        <v>1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4">
        <f t="shared" si="0"/>
        <v>0</v>
      </c>
      <c r="U2" s="4">
        <f t="shared" si="0"/>
        <v>0</v>
      </c>
      <c r="V2" s="4">
        <f t="shared" si="0"/>
        <v>0</v>
      </c>
      <c r="W2" s="4">
        <f t="shared" si="0"/>
        <v>0</v>
      </c>
      <c r="X2" s="4">
        <f t="shared" si="0"/>
        <v>0</v>
      </c>
      <c r="Y2" s="4">
        <f t="shared" si="0"/>
        <v>3</v>
      </c>
      <c r="Z2" s="4">
        <f t="shared" si="0"/>
        <v>0</v>
      </c>
      <c r="AA2" s="4">
        <f t="shared" si="0"/>
        <v>0</v>
      </c>
      <c r="AB2" s="4">
        <f t="shared" si="0"/>
        <v>0</v>
      </c>
      <c r="AC2" s="4">
        <f t="shared" si="0"/>
        <v>16</v>
      </c>
      <c r="AD2" s="4">
        <f t="shared" si="0"/>
        <v>0</v>
      </c>
      <c r="AE2" s="4">
        <f t="shared" si="0"/>
        <v>0</v>
      </c>
      <c r="AF2" s="4">
        <f t="shared" si="0"/>
        <v>0</v>
      </c>
      <c r="AG2" s="4">
        <f t="shared" si="0"/>
        <v>0</v>
      </c>
      <c r="AH2" s="4">
        <f t="shared" si="0"/>
        <v>0</v>
      </c>
      <c r="AI2" s="4">
        <f t="shared" si="0"/>
        <v>1</v>
      </c>
      <c r="AJ2" s="4">
        <f t="shared" si="0"/>
        <v>0</v>
      </c>
      <c r="AK2" s="59">
        <f t="shared" si="0"/>
        <v>0</v>
      </c>
      <c r="AL2" s="62">
        <f>SUBTOTAL(9,AL6:AL96)</f>
        <v>33</v>
      </c>
      <c r="AM2" s="175"/>
    </row>
    <row r="3" spans="1:39" customFormat="1" ht="22.5" customHeight="1" thickBot="1">
      <c r="A3" s="38" t="s">
        <v>15</v>
      </c>
      <c r="B3" s="177">
        <f>IF(ISERROR(B2/(B2+B1)*1000000),"",(B2/(B2+B1)*1000000))</f>
        <v>961.34238354647937</v>
      </c>
      <c r="C3" s="178"/>
      <c r="D3" s="73"/>
      <c r="E3" s="72"/>
      <c r="F3" s="32"/>
      <c r="G3" s="32"/>
      <c r="H3" s="172"/>
      <c r="I3" s="172"/>
      <c r="J3" s="172"/>
      <c r="K3" s="6"/>
      <c r="L3" s="7">
        <f t="shared" ref="L3:AK3" si="1">SUM(L6:L96)</f>
        <v>7</v>
      </c>
      <c r="M3" s="7">
        <f t="shared" si="1"/>
        <v>5</v>
      </c>
      <c r="N3" s="7">
        <f t="shared" si="1"/>
        <v>0</v>
      </c>
      <c r="O3" s="7">
        <f t="shared" si="1"/>
        <v>0</v>
      </c>
      <c r="P3" s="7">
        <f t="shared" si="1"/>
        <v>1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7">
        <f t="shared" si="1"/>
        <v>0</v>
      </c>
      <c r="U3" s="7">
        <f t="shared" si="1"/>
        <v>0</v>
      </c>
      <c r="V3" s="7">
        <f t="shared" si="1"/>
        <v>0</v>
      </c>
      <c r="W3" s="7">
        <f t="shared" si="1"/>
        <v>0</v>
      </c>
      <c r="X3" s="7">
        <f t="shared" si="1"/>
        <v>0</v>
      </c>
      <c r="Y3" s="7">
        <f t="shared" si="1"/>
        <v>3</v>
      </c>
      <c r="Z3" s="7">
        <f t="shared" si="1"/>
        <v>0</v>
      </c>
      <c r="AA3" s="7">
        <f t="shared" si="1"/>
        <v>0</v>
      </c>
      <c r="AB3" s="7">
        <f t="shared" si="1"/>
        <v>0</v>
      </c>
      <c r="AC3" s="7">
        <f t="shared" si="1"/>
        <v>16</v>
      </c>
      <c r="AD3" s="7">
        <f t="shared" si="1"/>
        <v>0</v>
      </c>
      <c r="AE3" s="7">
        <f t="shared" si="1"/>
        <v>0</v>
      </c>
      <c r="AF3" s="7">
        <f t="shared" si="1"/>
        <v>0</v>
      </c>
      <c r="AG3" s="7">
        <f t="shared" si="1"/>
        <v>0</v>
      </c>
      <c r="AH3" s="7">
        <f t="shared" si="1"/>
        <v>0</v>
      </c>
      <c r="AI3" s="7">
        <f t="shared" si="1"/>
        <v>1</v>
      </c>
      <c r="AJ3" s="7">
        <f t="shared" si="1"/>
        <v>0</v>
      </c>
      <c r="AK3" s="60">
        <f t="shared" si="1"/>
        <v>0</v>
      </c>
      <c r="AL3" s="63">
        <f>SUM(AL6:AL96)</f>
        <v>33</v>
      </c>
      <c r="AM3" s="176"/>
    </row>
    <row r="4" spans="1:39" customFormat="1" ht="43.5" customHeight="1">
      <c r="A4" s="163" t="str">
        <f>AM97</f>
        <v>OK</v>
      </c>
      <c r="B4" s="163"/>
      <c r="C4" s="163"/>
      <c r="D4" s="164"/>
      <c r="E4" s="165" t="s">
        <v>16</v>
      </c>
      <c r="F4" s="165"/>
      <c r="G4" s="165"/>
      <c r="H4" s="165" t="s">
        <v>17</v>
      </c>
      <c r="I4" s="165"/>
      <c r="J4" s="165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1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56" t="s">
        <v>12</v>
      </c>
      <c r="AL4" s="158" t="s">
        <v>36</v>
      </c>
      <c r="AM4" s="149" t="s">
        <v>37</v>
      </c>
    </row>
    <row r="5" spans="1:39" customFormat="1" ht="33.75" thickBot="1">
      <c r="A5" s="34" t="s">
        <v>3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137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6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3"/>
      <c r="AJ5" s="155"/>
      <c r="AK5" s="157"/>
      <c r="AL5" s="159"/>
      <c r="AM5" s="150"/>
    </row>
    <row r="6" spans="1:39" customFormat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34">
        <v>1440</v>
      </c>
      <c r="I6" s="15">
        <f>SUM(L6:AK6)</f>
        <v>7</v>
      </c>
      <c r="J6" s="15"/>
      <c r="K6" s="16"/>
      <c r="L6" s="15">
        <v>1</v>
      </c>
      <c r="M6" s="15">
        <v>1</v>
      </c>
      <c r="N6" s="15"/>
      <c r="O6" s="15"/>
      <c r="P6" s="15"/>
      <c r="Q6" s="15"/>
      <c r="R6" s="15"/>
      <c r="S6" s="15"/>
      <c r="T6" s="41"/>
      <c r="U6" s="50"/>
      <c r="V6" s="50"/>
      <c r="W6" s="50"/>
      <c r="X6" s="50"/>
      <c r="Y6" s="50"/>
      <c r="Z6" s="50"/>
      <c r="AA6" s="50"/>
      <c r="AB6" s="50"/>
      <c r="AC6" s="50">
        <v>5</v>
      </c>
      <c r="AD6" s="50"/>
      <c r="AE6" s="50"/>
      <c r="AF6" s="50"/>
      <c r="AG6" s="50"/>
      <c r="AH6" s="50"/>
      <c r="AI6" s="53"/>
      <c r="AJ6" s="56"/>
      <c r="AK6" s="53"/>
      <c r="AL6" s="64">
        <f>SUM(L6:AK6)</f>
        <v>7</v>
      </c>
      <c r="AM6" s="31" t="str">
        <f t="shared" ref="AM6:AM74" si="2">IF(AL6=I6,"OK","NG")</f>
        <v>OK</v>
      </c>
    </row>
    <row r="7" spans="1:39" customFormat="1" hidden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135"/>
      <c r="I7" s="21">
        <f t="shared" ref="I7:I70" si="3">SUM(L7:AK7)</f>
        <v>0</v>
      </c>
      <c r="J7" s="21"/>
      <c r="K7" s="16"/>
      <c r="L7" s="21"/>
      <c r="M7" s="21"/>
      <c r="N7" s="21"/>
      <c r="O7" s="21"/>
      <c r="P7" s="21"/>
      <c r="Q7" s="21"/>
      <c r="R7" s="21"/>
      <c r="S7" s="21"/>
      <c r="T7" s="42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4"/>
      <c r="AJ7" s="57"/>
      <c r="AK7" s="54"/>
      <c r="AL7" s="65">
        <f t="shared" ref="AL7:AL74" si="4">SUM(L7:AK7)</f>
        <v>0</v>
      </c>
      <c r="AM7" s="22" t="str">
        <f t="shared" si="2"/>
        <v>OK</v>
      </c>
    </row>
    <row r="8" spans="1:39" customFormat="1" hidden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36"/>
      <c r="I8" s="27">
        <f t="shared" si="3"/>
        <v>0</v>
      </c>
      <c r="J8" s="27"/>
      <c r="K8" s="16"/>
      <c r="L8" s="27"/>
      <c r="M8" s="27"/>
      <c r="N8" s="27"/>
      <c r="O8" s="27"/>
      <c r="P8" s="27"/>
      <c r="Q8" s="27"/>
      <c r="R8" s="27"/>
      <c r="S8" s="27"/>
      <c r="T8" s="4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5"/>
      <c r="AJ8" s="58"/>
      <c r="AK8" s="55"/>
      <c r="AL8" s="66">
        <f t="shared" si="4"/>
        <v>0</v>
      </c>
      <c r="AM8" s="28" t="str">
        <f t="shared" si="2"/>
        <v>OK</v>
      </c>
    </row>
    <row r="9" spans="1:39" customFormat="1" hidden="1">
      <c r="A9" s="17" t="s">
        <v>68</v>
      </c>
      <c r="B9" s="77">
        <v>10897</v>
      </c>
      <c r="C9" s="17" t="s">
        <v>62</v>
      </c>
      <c r="D9" s="69"/>
      <c r="E9" s="18"/>
      <c r="F9" s="18"/>
      <c r="G9" s="19"/>
      <c r="H9" s="135">
        <v>900</v>
      </c>
      <c r="I9" s="21">
        <f t="shared" si="3"/>
        <v>0</v>
      </c>
      <c r="J9" s="21"/>
      <c r="K9" s="16"/>
      <c r="L9" s="21"/>
      <c r="M9" s="21"/>
      <c r="N9" s="21"/>
      <c r="O9" s="21"/>
      <c r="P9" s="21"/>
      <c r="Q9" s="21"/>
      <c r="R9" s="21"/>
      <c r="S9" s="21"/>
      <c r="T9" s="42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4"/>
      <c r="AJ9" s="57"/>
      <c r="AK9" s="54"/>
      <c r="AL9" s="65">
        <f t="shared" si="4"/>
        <v>0</v>
      </c>
      <c r="AM9" s="22" t="str">
        <f t="shared" si="2"/>
        <v>OK</v>
      </c>
    </row>
    <row r="10" spans="1:39" customFormat="1" hidden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36"/>
      <c r="I10" s="27">
        <f t="shared" si="3"/>
        <v>0</v>
      </c>
      <c r="J10" s="27"/>
      <c r="K10" s="16"/>
      <c r="L10" s="27"/>
      <c r="M10" s="27"/>
      <c r="N10" s="27"/>
      <c r="O10" s="27"/>
      <c r="P10" s="27"/>
      <c r="Q10" s="27"/>
      <c r="R10" s="27"/>
      <c r="S10" s="27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5"/>
      <c r="AJ10" s="58"/>
      <c r="AK10" s="55"/>
      <c r="AL10" s="66">
        <f t="shared" si="4"/>
        <v>0</v>
      </c>
      <c r="AM10" s="28" t="str">
        <f t="shared" si="2"/>
        <v>OK</v>
      </c>
    </row>
    <row r="11" spans="1:39" customFormat="1" hidden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135"/>
      <c r="I11" s="21">
        <f t="shared" si="3"/>
        <v>0</v>
      </c>
      <c r="J11" s="21"/>
      <c r="K11" s="16"/>
      <c r="L11" s="21"/>
      <c r="M11" s="21"/>
      <c r="N11" s="21"/>
      <c r="O11" s="21"/>
      <c r="P11" s="21"/>
      <c r="Q11" s="21"/>
      <c r="R11" s="21"/>
      <c r="S11" s="21"/>
      <c r="T11" s="42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4"/>
      <c r="AJ11" s="57"/>
      <c r="AK11" s="54"/>
      <c r="AL11" s="65">
        <f t="shared" si="4"/>
        <v>0</v>
      </c>
      <c r="AM11" s="22" t="str">
        <f t="shared" si="2"/>
        <v>OK</v>
      </c>
    </row>
    <row r="12" spans="1:39" customFormat="1" hidden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36"/>
      <c r="I12" s="27">
        <f t="shared" si="3"/>
        <v>0</v>
      </c>
      <c r="J12" s="27"/>
      <c r="K12" s="16"/>
      <c r="L12" s="27"/>
      <c r="M12" s="27"/>
      <c r="N12" s="27"/>
      <c r="O12" s="27"/>
      <c r="P12" s="27"/>
      <c r="Q12" s="27"/>
      <c r="R12" s="27"/>
      <c r="S12" s="27"/>
      <c r="T12" s="43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8"/>
      <c r="AK12" s="55"/>
      <c r="AL12" s="66">
        <f t="shared" si="4"/>
        <v>0</v>
      </c>
      <c r="AM12" s="28" t="str">
        <f t="shared" si="2"/>
        <v>OK</v>
      </c>
    </row>
    <row r="13" spans="1:39" customFormat="1" hidden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135"/>
      <c r="I13" s="21">
        <f t="shared" si="3"/>
        <v>0</v>
      </c>
      <c r="J13" s="21"/>
      <c r="K13" s="16"/>
      <c r="L13" s="21"/>
      <c r="M13" s="21"/>
      <c r="N13" s="21"/>
      <c r="O13" s="21"/>
      <c r="P13" s="21"/>
      <c r="Q13" s="21"/>
      <c r="R13" s="21"/>
      <c r="S13" s="21"/>
      <c r="T13" s="4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4"/>
      <c r="AJ13" s="57"/>
      <c r="AK13" s="54"/>
      <c r="AL13" s="65">
        <f t="shared" si="4"/>
        <v>0</v>
      </c>
      <c r="AM13" s="22" t="str">
        <f t="shared" si="2"/>
        <v>OK</v>
      </c>
    </row>
    <row r="14" spans="1:39" customFormat="1" hidden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36"/>
      <c r="I14" s="27">
        <f t="shared" si="3"/>
        <v>0</v>
      </c>
      <c r="J14" s="27"/>
      <c r="K14" s="16"/>
      <c r="L14" s="27"/>
      <c r="M14" s="27"/>
      <c r="N14" s="27"/>
      <c r="O14" s="27"/>
      <c r="P14" s="27"/>
      <c r="Q14" s="27"/>
      <c r="R14" s="27"/>
      <c r="S14" s="27"/>
      <c r="T14" s="43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5"/>
      <c r="AJ14" s="58"/>
      <c r="AK14" s="55"/>
      <c r="AL14" s="66">
        <f t="shared" si="4"/>
        <v>0</v>
      </c>
      <c r="AM14" s="28" t="str">
        <f t="shared" si="2"/>
        <v>OK</v>
      </c>
    </row>
    <row r="15" spans="1:39" customFormat="1" hidden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135"/>
      <c r="I15" s="21">
        <f t="shared" si="3"/>
        <v>0</v>
      </c>
      <c r="J15" s="21"/>
      <c r="K15" s="16"/>
      <c r="L15" s="21"/>
      <c r="M15" s="21"/>
      <c r="N15" s="21"/>
      <c r="O15" s="21"/>
      <c r="P15" s="21"/>
      <c r="Q15" s="21"/>
      <c r="R15" s="21"/>
      <c r="S15" s="21"/>
      <c r="T15" s="42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4"/>
      <c r="AJ15" s="57"/>
      <c r="AK15" s="54"/>
      <c r="AL15" s="65">
        <f t="shared" si="4"/>
        <v>0</v>
      </c>
      <c r="AM15" s="22" t="str">
        <f t="shared" si="2"/>
        <v>OK</v>
      </c>
    </row>
    <row r="16" spans="1:39" customFormat="1" hidden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36"/>
      <c r="I16" s="27">
        <f t="shared" si="3"/>
        <v>0</v>
      </c>
      <c r="J16" s="27"/>
      <c r="K16" s="16"/>
      <c r="L16" s="27"/>
      <c r="M16" s="27"/>
      <c r="N16" s="27"/>
      <c r="O16" s="27"/>
      <c r="P16" s="27"/>
      <c r="Q16" s="27"/>
      <c r="R16" s="27"/>
      <c r="S16" s="27"/>
      <c r="T16" s="43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8"/>
      <c r="AK16" s="55"/>
      <c r="AL16" s="66">
        <f t="shared" si="4"/>
        <v>0</v>
      </c>
      <c r="AM16" s="28" t="str">
        <f t="shared" si="2"/>
        <v>OK</v>
      </c>
    </row>
    <row r="17" spans="1:39" customFormat="1" hidden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135"/>
      <c r="I17" s="21">
        <f t="shared" si="3"/>
        <v>0</v>
      </c>
      <c r="J17" s="21"/>
      <c r="K17" s="16"/>
      <c r="L17" s="21"/>
      <c r="M17" s="21"/>
      <c r="N17" s="21"/>
      <c r="O17" s="21"/>
      <c r="P17" s="21"/>
      <c r="Q17" s="21"/>
      <c r="R17" s="21"/>
      <c r="S17" s="21"/>
      <c r="T17" s="42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4"/>
      <c r="AJ17" s="57"/>
      <c r="AK17" s="54"/>
      <c r="AL17" s="65">
        <f t="shared" si="4"/>
        <v>0</v>
      </c>
      <c r="AM17" s="22" t="str">
        <f t="shared" si="2"/>
        <v>OK</v>
      </c>
    </row>
    <row r="18" spans="1:39" customFormat="1" hidden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36">
        <f>2160+470+637</f>
        <v>3267</v>
      </c>
      <c r="I18" s="27">
        <f t="shared" si="3"/>
        <v>0</v>
      </c>
      <c r="J18" s="27"/>
      <c r="K18" s="16"/>
      <c r="L18" s="27"/>
      <c r="M18" s="27"/>
      <c r="N18" s="27"/>
      <c r="O18" s="27"/>
      <c r="P18" s="27"/>
      <c r="Q18" s="27"/>
      <c r="R18" s="27"/>
      <c r="S18" s="27"/>
      <c r="T18" s="43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8"/>
      <c r="AK18" s="55"/>
      <c r="AL18" s="66">
        <f t="shared" si="4"/>
        <v>0</v>
      </c>
      <c r="AM18" s="28" t="str">
        <f t="shared" si="2"/>
        <v>OK</v>
      </c>
    </row>
    <row r="19" spans="1:39" customFormat="1" hidden="1">
      <c r="A19" s="17" t="s">
        <v>91</v>
      </c>
      <c r="B19" s="77">
        <v>14988</v>
      </c>
      <c r="C19" s="17" t="s">
        <v>64</v>
      </c>
      <c r="D19" s="69"/>
      <c r="E19" s="18"/>
      <c r="F19" s="18"/>
      <c r="G19" s="19"/>
      <c r="H19" s="135">
        <v>2520</v>
      </c>
      <c r="I19" s="21">
        <f t="shared" si="3"/>
        <v>0</v>
      </c>
      <c r="J19" s="21"/>
      <c r="K19" s="16"/>
      <c r="L19" s="21"/>
      <c r="M19" s="21"/>
      <c r="N19" s="21"/>
      <c r="O19" s="21"/>
      <c r="P19" s="21"/>
      <c r="Q19" s="21"/>
      <c r="R19" s="21"/>
      <c r="S19" s="21"/>
      <c r="T19" s="42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4"/>
      <c r="AJ19" s="57"/>
      <c r="AK19" s="54"/>
      <c r="AL19" s="65">
        <f t="shared" si="4"/>
        <v>0</v>
      </c>
      <c r="AM19" s="22" t="str">
        <f t="shared" si="2"/>
        <v>OK</v>
      </c>
    </row>
    <row r="20" spans="1:39" customFormat="1" hidden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136"/>
      <c r="I20" s="27">
        <f t="shared" si="3"/>
        <v>0</v>
      </c>
      <c r="J20" s="27"/>
      <c r="K20" s="16"/>
      <c r="L20" s="27"/>
      <c r="M20" s="27"/>
      <c r="N20" s="27"/>
      <c r="O20" s="27"/>
      <c r="P20" s="27"/>
      <c r="Q20" s="27"/>
      <c r="R20" s="27"/>
      <c r="S20" s="27"/>
      <c r="T20" s="43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8"/>
      <c r="AK20" s="55"/>
      <c r="AL20" s="66">
        <f t="shared" si="4"/>
        <v>0</v>
      </c>
      <c r="AM20" s="28" t="str">
        <f t="shared" si="2"/>
        <v>OK</v>
      </c>
    </row>
    <row r="21" spans="1:39" customFormat="1" hidden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135"/>
      <c r="I21" s="21">
        <f t="shared" si="3"/>
        <v>0</v>
      </c>
      <c r="J21" s="21"/>
      <c r="K21" s="16"/>
      <c r="L21" s="21"/>
      <c r="M21" s="21"/>
      <c r="N21" s="21"/>
      <c r="O21" s="21"/>
      <c r="P21" s="21"/>
      <c r="Q21" s="21"/>
      <c r="R21" s="21"/>
      <c r="S21" s="21"/>
      <c r="T21" s="4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4"/>
      <c r="AJ21" s="57"/>
      <c r="AK21" s="54"/>
      <c r="AL21" s="65">
        <f t="shared" si="4"/>
        <v>0</v>
      </c>
      <c r="AM21" s="22" t="str">
        <f t="shared" si="2"/>
        <v>OK</v>
      </c>
    </row>
    <row r="22" spans="1:39" customFormat="1" hidden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36"/>
      <c r="I22" s="27">
        <f t="shared" si="3"/>
        <v>0</v>
      </c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43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5"/>
      <c r="AJ22" s="58"/>
      <c r="AK22" s="55"/>
      <c r="AL22" s="66">
        <f t="shared" si="4"/>
        <v>0</v>
      </c>
      <c r="AM22" s="28" t="str">
        <f t="shared" si="2"/>
        <v>OK</v>
      </c>
    </row>
    <row r="23" spans="1:39" customFormat="1" hidden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135"/>
      <c r="I23" s="21">
        <f t="shared" si="3"/>
        <v>0</v>
      </c>
      <c r="J23" s="21"/>
      <c r="K23" s="16"/>
      <c r="L23" s="21"/>
      <c r="M23" s="21"/>
      <c r="N23" s="21"/>
      <c r="O23" s="21"/>
      <c r="P23" s="21"/>
      <c r="Q23" s="21"/>
      <c r="R23" s="21"/>
      <c r="S23" s="21"/>
      <c r="T23" s="42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7"/>
      <c r="AK23" s="54"/>
      <c r="AL23" s="65">
        <f>SUM(L23:AK23)</f>
        <v>0</v>
      </c>
      <c r="AM23" s="22" t="str">
        <f t="shared" si="2"/>
        <v>OK</v>
      </c>
    </row>
    <row r="24" spans="1:39" customFormat="1" hidden="1">
      <c r="A24" s="68" t="s">
        <v>44</v>
      </c>
      <c r="B24" s="78">
        <v>10163</v>
      </c>
      <c r="C24" s="23" t="s">
        <v>45</v>
      </c>
      <c r="D24" s="24"/>
      <c r="E24" s="24"/>
      <c r="F24" s="24"/>
      <c r="G24" s="25"/>
      <c r="H24" s="136">
        <v>1344</v>
      </c>
      <c r="I24" s="27">
        <f t="shared" si="3"/>
        <v>0</v>
      </c>
      <c r="J24" s="27"/>
      <c r="K24" s="16"/>
      <c r="L24" s="27"/>
      <c r="M24" s="27"/>
      <c r="N24" s="27"/>
      <c r="O24" s="27"/>
      <c r="P24" s="27"/>
      <c r="Q24" s="27"/>
      <c r="R24" s="27"/>
      <c r="S24" s="27"/>
      <c r="T24" s="43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5"/>
      <c r="AJ24" s="58"/>
      <c r="AK24" s="55"/>
      <c r="AL24" s="66">
        <f t="shared" si="4"/>
        <v>0</v>
      </c>
      <c r="AM24" s="28" t="str">
        <f t="shared" si="2"/>
        <v>OK</v>
      </c>
    </row>
    <row r="25" spans="1:39" customFormat="1" hidden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135"/>
      <c r="I25" s="21">
        <f t="shared" si="3"/>
        <v>0</v>
      </c>
      <c r="J25" s="21"/>
      <c r="K25" s="16"/>
      <c r="L25" s="21"/>
      <c r="M25" s="21"/>
      <c r="N25" s="21"/>
      <c r="O25" s="21"/>
      <c r="P25" s="21"/>
      <c r="Q25" s="21"/>
      <c r="R25" s="21"/>
      <c r="S25" s="21"/>
      <c r="T25" s="42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4"/>
      <c r="AJ25" s="57"/>
      <c r="AK25" s="54"/>
      <c r="AL25" s="65">
        <f t="shared" si="4"/>
        <v>0</v>
      </c>
      <c r="AM25" s="22" t="str">
        <f t="shared" si="2"/>
        <v>OK</v>
      </c>
    </row>
    <row r="26" spans="1:39" customFormat="1" hidden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36"/>
      <c r="I26" s="27">
        <f t="shared" si="3"/>
        <v>0</v>
      </c>
      <c r="J26" s="27"/>
      <c r="K26" s="16"/>
      <c r="L26" s="27"/>
      <c r="M26" s="27"/>
      <c r="N26" s="27"/>
      <c r="O26" s="27"/>
      <c r="P26" s="27"/>
      <c r="Q26" s="27"/>
      <c r="R26" s="27"/>
      <c r="S26" s="27"/>
      <c r="T26" s="43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8"/>
      <c r="AK26" s="55"/>
      <c r="AL26" s="66">
        <f t="shared" si="4"/>
        <v>0</v>
      </c>
      <c r="AM26" s="28" t="str">
        <f t="shared" si="2"/>
        <v>OK</v>
      </c>
    </row>
    <row r="27" spans="1:39" customFormat="1" hidden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135"/>
      <c r="I27" s="21">
        <f t="shared" si="3"/>
        <v>0</v>
      </c>
      <c r="J27" s="21"/>
      <c r="K27" s="16"/>
      <c r="L27" s="21"/>
      <c r="M27" s="21"/>
      <c r="N27" s="21"/>
      <c r="O27" s="21"/>
      <c r="P27" s="21"/>
      <c r="Q27" s="21"/>
      <c r="R27" s="21"/>
      <c r="S27" s="21"/>
      <c r="T27" s="4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7"/>
      <c r="AK27" s="54"/>
      <c r="AL27" s="65">
        <f t="shared" si="4"/>
        <v>0</v>
      </c>
      <c r="AM27" s="22" t="str">
        <f t="shared" si="2"/>
        <v>OK</v>
      </c>
    </row>
    <row r="28" spans="1:39" customFormat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136">
        <v>2184</v>
      </c>
      <c r="I28" s="27">
        <f t="shared" si="3"/>
        <v>1</v>
      </c>
      <c r="J28" s="27"/>
      <c r="K28" s="16"/>
      <c r="L28" s="27"/>
      <c r="M28" s="27"/>
      <c r="N28" s="27"/>
      <c r="O28" s="27"/>
      <c r="P28" s="27"/>
      <c r="Q28" s="27"/>
      <c r="R28" s="27"/>
      <c r="S28" s="27"/>
      <c r="T28" s="43"/>
      <c r="U28" s="52"/>
      <c r="V28" s="52"/>
      <c r="W28" s="52"/>
      <c r="X28" s="52"/>
      <c r="Y28" s="52"/>
      <c r="Z28" s="52"/>
      <c r="AA28" s="52"/>
      <c r="AB28" s="52"/>
      <c r="AC28" s="52">
        <v>1</v>
      </c>
      <c r="AD28" s="52"/>
      <c r="AE28" s="52"/>
      <c r="AF28" s="52"/>
      <c r="AG28" s="52"/>
      <c r="AH28" s="52"/>
      <c r="AI28" s="55"/>
      <c r="AJ28" s="58"/>
      <c r="AK28" s="55"/>
      <c r="AL28" s="66">
        <f t="shared" si="4"/>
        <v>1</v>
      </c>
      <c r="AM28" s="28" t="str">
        <f t="shared" si="2"/>
        <v>OK</v>
      </c>
    </row>
    <row r="29" spans="1:39" customFormat="1">
      <c r="A29" s="80" t="s">
        <v>71</v>
      </c>
      <c r="B29" s="77">
        <v>10151</v>
      </c>
      <c r="C29" s="17" t="s">
        <v>51</v>
      </c>
      <c r="D29" s="69"/>
      <c r="E29" s="18"/>
      <c r="F29" s="18"/>
      <c r="G29" s="19"/>
      <c r="H29" s="135">
        <v>1320</v>
      </c>
      <c r="I29" s="21">
        <f t="shared" si="3"/>
        <v>1</v>
      </c>
      <c r="J29" s="21"/>
      <c r="K29" s="16"/>
      <c r="L29" s="21">
        <v>1</v>
      </c>
      <c r="M29" s="21"/>
      <c r="N29" s="21"/>
      <c r="O29" s="21"/>
      <c r="P29" s="21"/>
      <c r="Q29" s="21"/>
      <c r="R29" s="21"/>
      <c r="S29" s="21"/>
      <c r="T29" s="42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4"/>
      <c r="AJ29" s="57"/>
      <c r="AK29" s="54"/>
      <c r="AL29" s="65">
        <f t="shared" si="4"/>
        <v>1</v>
      </c>
      <c r="AM29" s="22" t="str">
        <f t="shared" si="2"/>
        <v>OK</v>
      </c>
    </row>
    <row r="30" spans="1:39" customFormat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137">
        <f>648+684</f>
        <v>1332</v>
      </c>
      <c r="I30" s="27">
        <f t="shared" si="3"/>
        <v>3</v>
      </c>
      <c r="J30" s="27"/>
      <c r="K30" s="16"/>
      <c r="L30" s="27">
        <v>2</v>
      </c>
      <c r="M30" s="27"/>
      <c r="N30" s="27"/>
      <c r="O30" s="27"/>
      <c r="P30" s="27"/>
      <c r="Q30" s="27"/>
      <c r="R30" s="27"/>
      <c r="S30" s="27"/>
      <c r="T30" s="43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5">
        <v>1</v>
      </c>
      <c r="AJ30" s="58"/>
      <c r="AK30" s="55"/>
      <c r="AL30" s="66">
        <f t="shared" si="4"/>
        <v>3</v>
      </c>
      <c r="AM30" s="28" t="str">
        <f t="shared" si="2"/>
        <v>OK</v>
      </c>
    </row>
    <row r="31" spans="1:39" customFormat="1" hidden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135"/>
      <c r="I31" s="21">
        <f t="shared" si="3"/>
        <v>0</v>
      </c>
      <c r="J31" s="21"/>
      <c r="K31" s="16"/>
      <c r="L31" s="21"/>
      <c r="M31" s="21"/>
      <c r="N31" s="21"/>
      <c r="O31" s="21"/>
      <c r="P31" s="21"/>
      <c r="Q31" s="21"/>
      <c r="R31" s="21"/>
      <c r="S31" s="21"/>
      <c r="T31" s="4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7"/>
      <c r="AK31" s="54"/>
      <c r="AL31" s="65">
        <f t="shared" si="4"/>
        <v>0</v>
      </c>
      <c r="AM31" s="22" t="str">
        <f t="shared" si="2"/>
        <v>OK</v>
      </c>
    </row>
    <row r="32" spans="1:39" customFormat="1" hidden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136"/>
      <c r="I32" s="27">
        <f t="shared" si="3"/>
        <v>0</v>
      </c>
      <c r="J32" s="27"/>
      <c r="K32" s="16"/>
      <c r="L32" s="27"/>
      <c r="M32" s="27"/>
      <c r="N32" s="27"/>
      <c r="O32" s="27"/>
      <c r="P32" s="27"/>
      <c r="Q32" s="27"/>
      <c r="R32" s="27"/>
      <c r="S32" s="27"/>
      <c r="T32" s="43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5"/>
      <c r="AJ32" s="58"/>
      <c r="AK32" s="55"/>
      <c r="AL32" s="66">
        <f t="shared" si="4"/>
        <v>0</v>
      </c>
      <c r="AM32" s="28" t="str">
        <f t="shared" si="2"/>
        <v>OK</v>
      </c>
    </row>
    <row r="33" spans="1:39" customFormat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135">
        <v>1296</v>
      </c>
      <c r="I33" s="21">
        <f t="shared" si="3"/>
        <v>4</v>
      </c>
      <c r="J33" s="21"/>
      <c r="K33" s="16"/>
      <c r="L33" s="21">
        <v>2</v>
      </c>
      <c r="M33" s="21"/>
      <c r="N33" s="21"/>
      <c r="O33" s="21"/>
      <c r="P33" s="21">
        <v>1</v>
      </c>
      <c r="Q33" s="21"/>
      <c r="R33" s="21"/>
      <c r="S33" s="21"/>
      <c r="T33" s="42"/>
      <c r="U33" s="51"/>
      <c r="V33" s="51"/>
      <c r="W33" s="51"/>
      <c r="X33" s="51"/>
      <c r="Y33" s="51">
        <v>1</v>
      </c>
      <c r="Z33" s="51"/>
      <c r="AA33" s="51"/>
      <c r="AB33" s="51"/>
      <c r="AC33" s="51"/>
      <c r="AD33" s="51"/>
      <c r="AE33" s="51"/>
      <c r="AF33" s="51"/>
      <c r="AG33" s="51"/>
      <c r="AH33" s="51"/>
      <c r="AI33" s="54"/>
      <c r="AJ33" s="57"/>
      <c r="AK33" s="54"/>
      <c r="AL33" s="65">
        <f t="shared" si="4"/>
        <v>4</v>
      </c>
      <c r="AM33" s="22" t="str">
        <f t="shared" si="2"/>
        <v>OK</v>
      </c>
    </row>
    <row r="34" spans="1:39" customFormat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136">
        <v>1320</v>
      </c>
      <c r="I34" s="27">
        <f t="shared" si="3"/>
        <v>2</v>
      </c>
      <c r="J34" s="27"/>
      <c r="K34" s="16"/>
      <c r="L34" s="27">
        <v>1</v>
      </c>
      <c r="M34" s="27"/>
      <c r="N34" s="27"/>
      <c r="O34" s="27"/>
      <c r="P34" s="27"/>
      <c r="Q34" s="27"/>
      <c r="R34" s="27"/>
      <c r="S34" s="27"/>
      <c r="T34" s="43"/>
      <c r="U34" s="52"/>
      <c r="V34" s="52"/>
      <c r="W34" s="52"/>
      <c r="X34" s="52"/>
      <c r="Y34" s="52"/>
      <c r="Z34" s="52"/>
      <c r="AA34" s="52"/>
      <c r="AB34" s="52"/>
      <c r="AC34" s="52">
        <v>1</v>
      </c>
      <c r="AD34" s="52"/>
      <c r="AE34" s="52"/>
      <c r="AF34" s="52"/>
      <c r="AG34" s="52"/>
      <c r="AH34" s="52"/>
      <c r="AI34" s="55"/>
      <c r="AJ34" s="58"/>
      <c r="AK34" s="55"/>
      <c r="AL34" s="66">
        <f t="shared" si="4"/>
        <v>2</v>
      </c>
      <c r="AM34" s="28" t="str">
        <f t="shared" si="2"/>
        <v>OK</v>
      </c>
    </row>
    <row r="35" spans="1:39" customFormat="1" hidden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135"/>
      <c r="I35" s="21">
        <f t="shared" si="3"/>
        <v>0</v>
      </c>
      <c r="J35" s="21"/>
      <c r="K35" s="16"/>
      <c r="L35" s="21"/>
      <c r="M35" s="21"/>
      <c r="N35" s="21"/>
      <c r="O35" s="21"/>
      <c r="P35" s="21"/>
      <c r="Q35" s="21"/>
      <c r="R35" s="21"/>
      <c r="S35" s="21"/>
      <c r="T35" s="42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4"/>
      <c r="AJ35" s="57"/>
      <c r="AK35" s="54"/>
      <c r="AL35" s="65">
        <f t="shared" si="4"/>
        <v>0</v>
      </c>
      <c r="AM35" s="22" t="str">
        <f t="shared" si="2"/>
        <v>OK</v>
      </c>
    </row>
    <row r="36" spans="1:39" customFormat="1" hidden="1">
      <c r="A36" s="68" t="s">
        <v>76</v>
      </c>
      <c r="B36" s="78">
        <v>10135</v>
      </c>
      <c r="C36" s="23" t="s">
        <v>56</v>
      </c>
      <c r="D36" s="24"/>
      <c r="E36" s="24"/>
      <c r="F36" s="24"/>
      <c r="G36" s="25"/>
      <c r="H36" s="136"/>
      <c r="I36" s="27">
        <f t="shared" si="3"/>
        <v>0</v>
      </c>
      <c r="J36" s="27"/>
      <c r="K36" s="16"/>
      <c r="L36" s="27"/>
      <c r="M36" s="27"/>
      <c r="N36" s="27"/>
      <c r="O36" s="27"/>
      <c r="P36" s="27"/>
      <c r="Q36" s="27"/>
      <c r="R36" s="27"/>
      <c r="S36" s="27"/>
      <c r="T36" s="43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5"/>
      <c r="AJ36" s="58"/>
      <c r="AK36" s="55"/>
      <c r="AL36" s="66">
        <f t="shared" si="4"/>
        <v>0</v>
      </c>
      <c r="AM36" s="28" t="str">
        <f t="shared" si="2"/>
        <v>OK</v>
      </c>
    </row>
    <row r="37" spans="1:39" customFormat="1">
      <c r="A37" s="80" t="s">
        <v>154</v>
      </c>
      <c r="B37" s="77">
        <v>10133</v>
      </c>
      <c r="C37" s="17" t="s">
        <v>55</v>
      </c>
      <c r="D37" s="69"/>
      <c r="E37" s="18"/>
      <c r="F37" s="18"/>
      <c r="G37" s="19"/>
      <c r="H37" s="135">
        <f>850+554+550</f>
        <v>1954</v>
      </c>
      <c r="I37" s="21">
        <f t="shared" si="3"/>
        <v>1</v>
      </c>
      <c r="J37" s="21"/>
      <c r="K37" s="16"/>
      <c r="L37" s="21"/>
      <c r="M37" s="21"/>
      <c r="N37" s="21"/>
      <c r="O37" s="21"/>
      <c r="P37" s="21"/>
      <c r="Q37" s="21"/>
      <c r="R37" s="21"/>
      <c r="S37" s="21"/>
      <c r="T37" s="42"/>
      <c r="U37" s="51"/>
      <c r="V37" s="51"/>
      <c r="W37" s="51"/>
      <c r="X37" s="51"/>
      <c r="Y37" s="51"/>
      <c r="Z37" s="51"/>
      <c r="AA37" s="51"/>
      <c r="AB37" s="51"/>
      <c r="AC37" s="51">
        <v>1</v>
      </c>
      <c r="AD37" s="51"/>
      <c r="AE37" s="51"/>
      <c r="AF37" s="51"/>
      <c r="AG37" s="51"/>
      <c r="AH37" s="51"/>
      <c r="AI37" s="54"/>
      <c r="AJ37" s="57"/>
      <c r="AK37" s="54"/>
      <c r="AL37" s="65">
        <f t="shared" si="4"/>
        <v>1</v>
      </c>
      <c r="AM37" s="22" t="str">
        <f t="shared" si="2"/>
        <v>OK</v>
      </c>
    </row>
    <row r="38" spans="1:39" customFormat="1" hidden="1">
      <c r="A38" s="68" t="s">
        <v>78</v>
      </c>
      <c r="B38" s="78">
        <v>10131</v>
      </c>
      <c r="C38" s="23" t="s">
        <v>56</v>
      </c>
      <c r="D38" s="24"/>
      <c r="E38" s="24"/>
      <c r="F38" s="24"/>
      <c r="G38" s="25"/>
      <c r="H38" s="136">
        <v>1350</v>
      </c>
      <c r="I38" s="27">
        <f t="shared" si="3"/>
        <v>0</v>
      </c>
      <c r="J38" s="27"/>
      <c r="K38" s="16"/>
      <c r="L38" s="27"/>
      <c r="M38" s="27"/>
      <c r="N38" s="27"/>
      <c r="O38" s="27"/>
      <c r="P38" s="27"/>
      <c r="Q38" s="27"/>
      <c r="R38" s="27"/>
      <c r="S38" s="27"/>
      <c r="T38" s="43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5"/>
      <c r="AJ38" s="58"/>
      <c r="AK38" s="55"/>
      <c r="AL38" s="66">
        <f t="shared" ref="AL38:AL50" si="5">SUM(L38:AK38)</f>
        <v>0</v>
      </c>
      <c r="AM38" s="28" t="str">
        <f t="shared" si="2"/>
        <v>OK</v>
      </c>
    </row>
    <row r="39" spans="1:39" customFormat="1" hidden="1">
      <c r="A39" s="17" t="s">
        <v>79</v>
      </c>
      <c r="B39" s="77">
        <v>10129</v>
      </c>
      <c r="C39" s="17" t="s">
        <v>57</v>
      </c>
      <c r="D39" s="69"/>
      <c r="E39" s="18"/>
      <c r="F39" s="18"/>
      <c r="G39" s="19"/>
      <c r="H39" s="135">
        <v>100</v>
      </c>
      <c r="I39" s="21">
        <f t="shared" si="3"/>
        <v>0</v>
      </c>
      <c r="J39" s="21"/>
      <c r="K39" s="16"/>
      <c r="L39" s="21"/>
      <c r="M39" s="21"/>
      <c r="N39" s="21"/>
      <c r="O39" s="21"/>
      <c r="P39" s="21"/>
      <c r="Q39" s="21"/>
      <c r="R39" s="21"/>
      <c r="S39" s="21"/>
      <c r="T39" s="42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4"/>
      <c r="AJ39" s="57"/>
      <c r="AK39" s="54"/>
      <c r="AL39" s="65">
        <f t="shared" si="5"/>
        <v>0</v>
      </c>
      <c r="AM39" s="22" t="str">
        <f t="shared" si="2"/>
        <v>OK</v>
      </c>
    </row>
    <row r="40" spans="1:39" customFormat="1" hidden="1">
      <c r="A40" s="68" t="s">
        <v>80</v>
      </c>
      <c r="B40" s="78">
        <v>10127</v>
      </c>
      <c r="C40" s="23" t="s">
        <v>58</v>
      </c>
      <c r="D40" s="24"/>
      <c r="E40" s="24"/>
      <c r="F40" s="24"/>
      <c r="G40" s="25"/>
      <c r="H40" s="136">
        <v>250</v>
      </c>
      <c r="I40" s="27">
        <f t="shared" si="3"/>
        <v>0</v>
      </c>
      <c r="J40" s="27"/>
      <c r="K40" s="16"/>
      <c r="L40" s="27"/>
      <c r="M40" s="27"/>
      <c r="N40" s="27"/>
      <c r="O40" s="27"/>
      <c r="P40" s="27"/>
      <c r="Q40" s="27"/>
      <c r="R40" s="27"/>
      <c r="S40" s="27"/>
      <c r="T40" s="43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5"/>
      <c r="AJ40" s="58"/>
      <c r="AK40" s="55"/>
      <c r="AL40" s="66">
        <f t="shared" si="5"/>
        <v>0</v>
      </c>
      <c r="AM40" s="28" t="str">
        <f t="shared" si="2"/>
        <v>OK</v>
      </c>
    </row>
    <row r="41" spans="1:39" customFormat="1" hidden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135"/>
      <c r="I41" s="21">
        <f t="shared" si="3"/>
        <v>0</v>
      </c>
      <c r="J41" s="21"/>
      <c r="K41" s="16"/>
      <c r="L41" s="21"/>
      <c r="M41" s="21"/>
      <c r="N41" s="21"/>
      <c r="O41" s="21"/>
      <c r="P41" s="21"/>
      <c r="Q41" s="21"/>
      <c r="R41" s="21"/>
      <c r="S41" s="21"/>
      <c r="T41" s="4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4"/>
      <c r="AJ41" s="57"/>
      <c r="AK41" s="54"/>
      <c r="AL41" s="65">
        <f t="shared" si="5"/>
        <v>0</v>
      </c>
      <c r="AM41" s="22" t="str">
        <f t="shared" si="2"/>
        <v>OK</v>
      </c>
    </row>
    <row r="42" spans="1:39" customFormat="1" hidden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136"/>
      <c r="I42" s="27">
        <f t="shared" si="3"/>
        <v>0</v>
      </c>
      <c r="J42" s="27"/>
      <c r="K42" s="16"/>
      <c r="L42" s="27"/>
      <c r="M42" s="27"/>
      <c r="N42" s="27"/>
      <c r="O42" s="27"/>
      <c r="P42" s="27"/>
      <c r="Q42" s="27"/>
      <c r="R42" s="27"/>
      <c r="S42" s="27"/>
      <c r="T42" s="43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5"/>
      <c r="AJ42" s="58"/>
      <c r="AK42" s="55"/>
      <c r="AL42" s="66">
        <f t="shared" si="5"/>
        <v>0</v>
      </c>
      <c r="AM42" s="28" t="str">
        <f t="shared" si="2"/>
        <v>OK</v>
      </c>
    </row>
    <row r="43" spans="1:39" customFormat="1" hidden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135"/>
      <c r="I43" s="21">
        <f t="shared" si="3"/>
        <v>0</v>
      </c>
      <c r="J43" s="21"/>
      <c r="K43" s="16"/>
      <c r="L43" s="21"/>
      <c r="M43" s="21"/>
      <c r="N43" s="21"/>
      <c r="O43" s="21"/>
      <c r="P43" s="21"/>
      <c r="Q43" s="21"/>
      <c r="R43" s="21"/>
      <c r="S43" s="21"/>
      <c r="T43" s="42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4"/>
      <c r="AJ43" s="57"/>
      <c r="AK43" s="54"/>
      <c r="AL43" s="65">
        <f t="shared" si="5"/>
        <v>0</v>
      </c>
      <c r="AM43" s="22" t="str">
        <f t="shared" si="2"/>
        <v>OK</v>
      </c>
    </row>
    <row r="44" spans="1:39" customFormat="1" hidden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136"/>
      <c r="I44" s="27">
        <f t="shared" si="3"/>
        <v>0</v>
      </c>
      <c r="J44" s="27"/>
      <c r="K44" s="16"/>
      <c r="L44" s="27"/>
      <c r="M44" s="27"/>
      <c r="N44" s="27"/>
      <c r="O44" s="27"/>
      <c r="P44" s="27"/>
      <c r="Q44" s="27"/>
      <c r="R44" s="27"/>
      <c r="S44" s="27"/>
      <c r="T44" s="43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5"/>
      <c r="AJ44" s="58"/>
      <c r="AK44" s="55"/>
      <c r="AL44" s="66">
        <f t="shared" si="5"/>
        <v>0</v>
      </c>
      <c r="AM44" s="28" t="str">
        <f t="shared" si="2"/>
        <v>OK</v>
      </c>
    </row>
    <row r="45" spans="1:39" customFormat="1" hidden="1">
      <c r="A45" s="17" t="s">
        <v>107</v>
      </c>
      <c r="B45" s="77">
        <v>13467</v>
      </c>
      <c r="C45" s="17" t="s">
        <v>87</v>
      </c>
      <c r="D45" s="69"/>
      <c r="E45" s="18"/>
      <c r="F45" s="18"/>
      <c r="G45" s="19"/>
      <c r="H45" s="135">
        <f>1000+1080</f>
        <v>2080</v>
      </c>
      <c r="I45" s="21">
        <f t="shared" si="3"/>
        <v>0</v>
      </c>
      <c r="J45" s="21"/>
      <c r="K45" s="16"/>
      <c r="L45" s="21"/>
      <c r="M45" s="21"/>
      <c r="N45" s="21"/>
      <c r="O45" s="21"/>
      <c r="P45" s="21"/>
      <c r="Q45" s="21"/>
      <c r="R45" s="21"/>
      <c r="S45" s="21"/>
      <c r="T45" s="4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4"/>
      <c r="AJ45" s="57"/>
      <c r="AK45" s="54"/>
      <c r="AL45" s="65">
        <f t="shared" si="5"/>
        <v>0</v>
      </c>
      <c r="AM45" s="22" t="str">
        <f t="shared" si="2"/>
        <v>OK</v>
      </c>
    </row>
    <row r="46" spans="1:39" customFormat="1" hidden="1">
      <c r="A46" s="68" t="s">
        <v>111</v>
      </c>
      <c r="B46" s="78">
        <v>15948</v>
      </c>
      <c r="C46" s="23" t="s">
        <v>87</v>
      </c>
      <c r="D46" s="24"/>
      <c r="E46" s="24"/>
      <c r="F46" s="24"/>
      <c r="G46" s="25"/>
      <c r="H46" s="136"/>
      <c r="I46" s="27">
        <f t="shared" si="3"/>
        <v>0</v>
      </c>
      <c r="J46" s="27"/>
      <c r="K46" s="16"/>
      <c r="L46" s="27"/>
      <c r="M46" s="27"/>
      <c r="N46" s="27"/>
      <c r="O46" s="27"/>
      <c r="P46" s="27"/>
      <c r="Q46" s="27"/>
      <c r="R46" s="27"/>
      <c r="S46" s="27"/>
      <c r="T46" s="43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5"/>
      <c r="AJ46" s="58"/>
      <c r="AK46" s="55"/>
      <c r="AL46" s="66">
        <f t="shared" si="5"/>
        <v>0</v>
      </c>
      <c r="AM46" s="28" t="str">
        <f t="shared" si="2"/>
        <v>OK</v>
      </c>
    </row>
    <row r="47" spans="1:39" customFormat="1" hidden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135"/>
      <c r="I47" s="21">
        <f t="shared" si="3"/>
        <v>0</v>
      </c>
      <c r="J47" s="21"/>
      <c r="K47" s="16"/>
      <c r="L47" s="21"/>
      <c r="M47" s="21"/>
      <c r="N47" s="21"/>
      <c r="O47" s="21"/>
      <c r="P47" s="21"/>
      <c r="Q47" s="21"/>
      <c r="R47" s="21"/>
      <c r="S47" s="21"/>
      <c r="T47" s="42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4"/>
      <c r="AJ47" s="57"/>
      <c r="AK47" s="54"/>
      <c r="AL47" s="65">
        <f t="shared" si="5"/>
        <v>0</v>
      </c>
      <c r="AM47" s="22" t="str">
        <f t="shared" si="2"/>
        <v>OK</v>
      </c>
    </row>
    <row r="48" spans="1:39" customFormat="1" hidden="1">
      <c r="A48" s="68" t="s">
        <v>121</v>
      </c>
      <c r="B48" s="78">
        <v>16598</v>
      </c>
      <c r="C48" s="23" t="s">
        <v>87</v>
      </c>
      <c r="D48" s="24"/>
      <c r="E48" s="24"/>
      <c r="F48" s="24"/>
      <c r="G48" s="25"/>
      <c r="H48" s="136">
        <v>305</v>
      </c>
      <c r="I48" s="27">
        <f t="shared" si="3"/>
        <v>0</v>
      </c>
      <c r="J48" s="27"/>
      <c r="K48" s="16"/>
      <c r="L48" s="27"/>
      <c r="M48" s="27"/>
      <c r="N48" s="27"/>
      <c r="O48" s="27"/>
      <c r="P48" s="27"/>
      <c r="Q48" s="27"/>
      <c r="R48" s="27"/>
      <c r="S48" s="27"/>
      <c r="T48" s="43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5"/>
      <c r="AJ48" s="58"/>
      <c r="AK48" s="55"/>
      <c r="AL48" s="66">
        <f t="shared" si="5"/>
        <v>0</v>
      </c>
      <c r="AM48" s="28" t="str">
        <f t="shared" si="2"/>
        <v>OK</v>
      </c>
    </row>
    <row r="49" spans="1:39" customFormat="1" hidden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135"/>
      <c r="I49" s="21">
        <f t="shared" si="3"/>
        <v>0</v>
      </c>
      <c r="J49" s="21"/>
      <c r="K49" s="16"/>
      <c r="L49" s="21"/>
      <c r="M49" s="21"/>
      <c r="N49" s="21"/>
      <c r="O49" s="21"/>
      <c r="P49" s="21"/>
      <c r="Q49" s="21"/>
      <c r="R49" s="21"/>
      <c r="S49" s="21"/>
      <c r="T49" s="4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4"/>
      <c r="AJ49" s="57"/>
      <c r="AK49" s="54"/>
      <c r="AL49" s="65">
        <f t="shared" si="5"/>
        <v>0</v>
      </c>
      <c r="AM49" s="22" t="str">
        <f t="shared" si="2"/>
        <v>OK</v>
      </c>
    </row>
    <row r="50" spans="1:39" customFormat="1" hidden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136"/>
      <c r="I50" s="27">
        <f t="shared" si="3"/>
        <v>0</v>
      </c>
      <c r="J50" s="27"/>
      <c r="K50" s="16"/>
      <c r="L50" s="27"/>
      <c r="M50" s="27"/>
      <c r="N50" s="27"/>
      <c r="O50" s="27"/>
      <c r="P50" s="27"/>
      <c r="Q50" s="27"/>
      <c r="R50" s="27"/>
      <c r="S50" s="27"/>
      <c r="T50" s="43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8"/>
      <c r="AK50" s="55"/>
      <c r="AL50" s="66">
        <f t="shared" si="5"/>
        <v>0</v>
      </c>
      <c r="AM50" s="28" t="str">
        <f t="shared" si="2"/>
        <v>OK</v>
      </c>
    </row>
    <row r="51" spans="1:39" customFormat="1" hidden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135"/>
      <c r="I51" s="21">
        <f t="shared" si="3"/>
        <v>0</v>
      </c>
      <c r="J51" s="21"/>
      <c r="K51" s="16"/>
      <c r="L51" s="21"/>
      <c r="M51" s="21"/>
      <c r="N51" s="21"/>
      <c r="O51" s="21"/>
      <c r="P51" s="21"/>
      <c r="Q51" s="21"/>
      <c r="R51" s="21"/>
      <c r="S51" s="21"/>
      <c r="T51" s="4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4"/>
      <c r="AJ51" s="57"/>
      <c r="AK51" s="54"/>
      <c r="AL51" s="65">
        <f>SUM(L51:AK51)</f>
        <v>0</v>
      </c>
      <c r="AM51" s="22" t="str">
        <f t="shared" si="2"/>
        <v>OK</v>
      </c>
    </row>
    <row r="52" spans="1:39" customFormat="1" hidden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136"/>
      <c r="I52" s="27">
        <f t="shared" si="3"/>
        <v>0</v>
      </c>
      <c r="J52" s="27"/>
      <c r="K52" s="16"/>
      <c r="L52" s="27"/>
      <c r="M52" s="27"/>
      <c r="N52" s="27"/>
      <c r="O52" s="27"/>
      <c r="P52" s="27"/>
      <c r="Q52" s="27"/>
      <c r="R52" s="27"/>
      <c r="S52" s="27"/>
      <c r="T52" s="43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5"/>
      <c r="AJ52" s="58"/>
      <c r="AK52" s="55"/>
      <c r="AL52" s="66">
        <f t="shared" ref="AL52:AL64" si="6">SUM(L52:AK52)</f>
        <v>0</v>
      </c>
      <c r="AM52" s="28" t="str">
        <f t="shared" si="2"/>
        <v>OK</v>
      </c>
    </row>
    <row r="53" spans="1:39" customFormat="1" hidden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135"/>
      <c r="I53" s="21">
        <f t="shared" si="3"/>
        <v>0</v>
      </c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42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4"/>
      <c r="AJ53" s="57"/>
      <c r="AK53" s="54"/>
      <c r="AL53" s="65">
        <f t="shared" si="6"/>
        <v>0</v>
      </c>
      <c r="AM53" s="22" t="str">
        <f t="shared" si="2"/>
        <v>OK</v>
      </c>
    </row>
    <row r="54" spans="1:39" customFormat="1" hidden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136"/>
      <c r="I54" s="27">
        <f t="shared" si="3"/>
        <v>0</v>
      </c>
      <c r="J54" s="27"/>
      <c r="K54" s="16"/>
      <c r="L54" s="27"/>
      <c r="M54" s="27"/>
      <c r="N54" s="27"/>
      <c r="O54" s="27"/>
      <c r="P54" s="27"/>
      <c r="Q54" s="27"/>
      <c r="R54" s="27"/>
      <c r="S54" s="27"/>
      <c r="T54" s="43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5"/>
      <c r="AJ54" s="58"/>
      <c r="AK54" s="55"/>
      <c r="AL54" s="66">
        <f t="shared" si="6"/>
        <v>0</v>
      </c>
      <c r="AM54" s="28" t="str">
        <f t="shared" si="2"/>
        <v>OK</v>
      </c>
    </row>
    <row r="55" spans="1:39" customFormat="1" hidden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135"/>
      <c r="I55" s="21">
        <f t="shared" si="3"/>
        <v>0</v>
      </c>
      <c r="J55" s="21"/>
      <c r="K55" s="16"/>
      <c r="L55" s="21"/>
      <c r="M55" s="21"/>
      <c r="N55" s="21"/>
      <c r="O55" s="21"/>
      <c r="P55" s="21"/>
      <c r="Q55" s="21"/>
      <c r="R55" s="21"/>
      <c r="S55" s="21"/>
      <c r="T55" s="42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4"/>
      <c r="AJ55" s="57"/>
      <c r="AK55" s="54"/>
      <c r="AL55" s="65">
        <f t="shared" si="6"/>
        <v>0</v>
      </c>
      <c r="AM55" s="22" t="str">
        <f t="shared" si="2"/>
        <v>OK</v>
      </c>
    </row>
    <row r="56" spans="1:39" customFormat="1" hidden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136"/>
      <c r="I56" s="27">
        <f t="shared" si="3"/>
        <v>0</v>
      </c>
      <c r="J56" s="27"/>
      <c r="K56" s="16"/>
      <c r="L56" s="27"/>
      <c r="M56" s="27"/>
      <c r="N56" s="27"/>
      <c r="O56" s="27"/>
      <c r="P56" s="27"/>
      <c r="Q56" s="27"/>
      <c r="R56" s="27"/>
      <c r="S56" s="27"/>
      <c r="T56" s="43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5"/>
      <c r="AJ56" s="58"/>
      <c r="AK56" s="55"/>
      <c r="AL56" s="66">
        <f t="shared" si="6"/>
        <v>0</v>
      </c>
      <c r="AM56" s="28" t="str">
        <f t="shared" si="2"/>
        <v>OK</v>
      </c>
    </row>
    <row r="57" spans="1:39" customFormat="1" hidden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135"/>
      <c r="I57" s="21">
        <f t="shared" si="3"/>
        <v>0</v>
      </c>
      <c r="J57" s="21"/>
      <c r="K57" s="16"/>
      <c r="L57" s="21"/>
      <c r="M57" s="21"/>
      <c r="N57" s="21"/>
      <c r="O57" s="21"/>
      <c r="P57" s="21"/>
      <c r="Q57" s="21"/>
      <c r="R57" s="21"/>
      <c r="S57" s="21"/>
      <c r="T57" s="42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4"/>
      <c r="AJ57" s="57"/>
      <c r="AK57" s="54"/>
      <c r="AL57" s="65">
        <f t="shared" si="6"/>
        <v>0</v>
      </c>
      <c r="AM57" s="22" t="str">
        <f t="shared" si="2"/>
        <v>OK</v>
      </c>
    </row>
    <row r="58" spans="1:39" customFormat="1" hidden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136"/>
      <c r="I58" s="27">
        <f t="shared" si="3"/>
        <v>0</v>
      </c>
      <c r="J58" s="27"/>
      <c r="K58" s="16"/>
      <c r="L58" s="27"/>
      <c r="M58" s="27"/>
      <c r="N58" s="27"/>
      <c r="O58" s="27"/>
      <c r="P58" s="27"/>
      <c r="Q58" s="27"/>
      <c r="R58" s="27"/>
      <c r="S58" s="27"/>
      <c r="T58" s="43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5"/>
      <c r="AJ58" s="58"/>
      <c r="AK58" s="55"/>
      <c r="AL58" s="66">
        <f t="shared" si="6"/>
        <v>0</v>
      </c>
      <c r="AM58" s="28" t="str">
        <f t="shared" si="2"/>
        <v>OK</v>
      </c>
    </row>
    <row r="59" spans="1:39" customFormat="1" hidden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135"/>
      <c r="I59" s="21">
        <f t="shared" si="3"/>
        <v>0</v>
      </c>
      <c r="J59" s="21"/>
      <c r="K59" s="16"/>
      <c r="L59" s="21"/>
      <c r="M59" s="21"/>
      <c r="N59" s="21"/>
      <c r="O59" s="21"/>
      <c r="P59" s="21"/>
      <c r="Q59" s="21"/>
      <c r="R59" s="21"/>
      <c r="S59" s="21"/>
      <c r="T59" s="4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4"/>
      <c r="AJ59" s="57"/>
      <c r="AK59" s="54"/>
      <c r="AL59" s="65">
        <f t="shared" si="6"/>
        <v>0</v>
      </c>
      <c r="AM59" s="22" t="str">
        <f t="shared" si="2"/>
        <v>OK</v>
      </c>
    </row>
    <row r="60" spans="1:39" customFormat="1" hidden="1">
      <c r="A60" s="68" t="s">
        <v>84</v>
      </c>
      <c r="B60" s="78">
        <v>11380</v>
      </c>
      <c r="C60" s="23" t="s">
        <v>60</v>
      </c>
      <c r="D60" s="24"/>
      <c r="E60" s="24"/>
      <c r="F60" s="24"/>
      <c r="G60" s="25"/>
      <c r="H60" s="136">
        <f>1330+1010</f>
        <v>2340</v>
      </c>
      <c r="I60" s="27">
        <f t="shared" si="3"/>
        <v>0</v>
      </c>
      <c r="J60" s="27"/>
      <c r="K60" s="16"/>
      <c r="L60" s="27"/>
      <c r="M60" s="27"/>
      <c r="N60" s="27"/>
      <c r="O60" s="27"/>
      <c r="P60" s="27"/>
      <c r="Q60" s="27"/>
      <c r="R60" s="27"/>
      <c r="S60" s="27"/>
      <c r="T60" s="43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5"/>
      <c r="AJ60" s="58"/>
      <c r="AK60" s="55"/>
      <c r="AL60" s="66">
        <f t="shared" si="6"/>
        <v>0</v>
      </c>
      <c r="AM60" s="28" t="str">
        <f t="shared" si="2"/>
        <v>OK</v>
      </c>
    </row>
    <row r="61" spans="1:39" customFormat="1" hidden="1">
      <c r="A61" s="80" t="s">
        <v>112</v>
      </c>
      <c r="B61" s="77">
        <v>18518</v>
      </c>
      <c r="C61" s="17" t="s">
        <v>87</v>
      </c>
      <c r="D61" s="69"/>
      <c r="E61" s="18"/>
      <c r="F61" s="18"/>
      <c r="G61" s="19"/>
      <c r="H61" s="135">
        <v>896</v>
      </c>
      <c r="I61" s="21">
        <f t="shared" si="3"/>
        <v>0</v>
      </c>
      <c r="J61" s="21"/>
      <c r="K61" s="16"/>
      <c r="L61" s="21"/>
      <c r="M61" s="21"/>
      <c r="N61" s="21"/>
      <c r="O61" s="21"/>
      <c r="P61" s="21"/>
      <c r="Q61" s="21"/>
      <c r="R61" s="21"/>
      <c r="S61" s="21"/>
      <c r="T61" s="4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4"/>
      <c r="AJ61" s="57"/>
      <c r="AK61" s="54"/>
      <c r="AL61" s="65">
        <f t="shared" si="6"/>
        <v>0</v>
      </c>
      <c r="AM61" s="22" t="str">
        <f t="shared" si="2"/>
        <v>OK</v>
      </c>
    </row>
    <row r="62" spans="1:39" customFormat="1" hidden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136">
        <f>800+1076</f>
        <v>1876</v>
      </c>
      <c r="I62" s="27">
        <f t="shared" si="3"/>
        <v>0</v>
      </c>
      <c r="J62" s="27"/>
      <c r="K62" s="16"/>
      <c r="L62" s="27"/>
      <c r="M62" s="27"/>
      <c r="N62" s="27"/>
      <c r="O62" s="27"/>
      <c r="P62" s="27"/>
      <c r="Q62" s="27"/>
      <c r="R62" s="27"/>
      <c r="S62" s="27"/>
      <c r="T62" s="43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5"/>
      <c r="AJ62" s="58"/>
      <c r="AK62" s="55"/>
      <c r="AL62" s="66">
        <f t="shared" si="6"/>
        <v>0</v>
      </c>
      <c r="AM62" s="28" t="str">
        <f t="shared" si="2"/>
        <v>OK</v>
      </c>
    </row>
    <row r="63" spans="1:39" customFormat="1" hidden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135"/>
      <c r="I63" s="21">
        <f t="shared" si="3"/>
        <v>0</v>
      </c>
      <c r="J63" s="21"/>
      <c r="K63" s="16"/>
      <c r="L63" s="21"/>
      <c r="M63" s="21"/>
      <c r="N63" s="21"/>
      <c r="O63" s="21"/>
      <c r="P63" s="21"/>
      <c r="Q63" s="21"/>
      <c r="R63" s="21"/>
      <c r="S63" s="21"/>
      <c r="T63" s="4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4"/>
      <c r="AJ63" s="57"/>
      <c r="AK63" s="54"/>
      <c r="AL63" s="65">
        <f t="shared" si="6"/>
        <v>0</v>
      </c>
      <c r="AM63" s="22" t="str">
        <f t="shared" si="2"/>
        <v>OK</v>
      </c>
    </row>
    <row r="64" spans="1:39" customFormat="1" hidden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136"/>
      <c r="I64" s="27">
        <f t="shared" si="3"/>
        <v>0</v>
      </c>
      <c r="J64" s="27"/>
      <c r="K64" s="16"/>
      <c r="L64" s="27"/>
      <c r="M64" s="27"/>
      <c r="N64" s="27"/>
      <c r="O64" s="27"/>
      <c r="P64" s="27"/>
      <c r="Q64" s="27"/>
      <c r="R64" s="27"/>
      <c r="S64" s="27"/>
      <c r="T64" s="43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5"/>
      <c r="AJ64" s="58"/>
      <c r="AK64" s="55"/>
      <c r="AL64" s="66">
        <f t="shared" si="6"/>
        <v>0</v>
      </c>
      <c r="AM64" s="28" t="str">
        <f t="shared" si="2"/>
        <v>OK</v>
      </c>
    </row>
    <row r="65" spans="1:39" customFormat="1" hidden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135"/>
      <c r="I65" s="21">
        <f t="shared" si="3"/>
        <v>0</v>
      </c>
      <c r="J65" s="21"/>
      <c r="K65" s="16"/>
      <c r="L65" s="21"/>
      <c r="M65" s="21"/>
      <c r="N65" s="21"/>
      <c r="O65" s="21"/>
      <c r="P65" s="21"/>
      <c r="Q65" s="21"/>
      <c r="R65" s="21"/>
      <c r="S65" s="21"/>
      <c r="T65" s="4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4"/>
      <c r="AJ65" s="57"/>
      <c r="AK65" s="54"/>
      <c r="AL65" s="65">
        <f t="shared" si="4"/>
        <v>0</v>
      </c>
      <c r="AM65" s="22" t="str">
        <f t="shared" si="2"/>
        <v>OK</v>
      </c>
    </row>
    <row r="66" spans="1:39" customFormat="1" ht="17.25" thickBot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136">
        <f>1200+1920</f>
        <v>3120</v>
      </c>
      <c r="I66" s="27">
        <f t="shared" si="3"/>
        <v>14</v>
      </c>
      <c r="J66" s="27"/>
      <c r="K66" s="16"/>
      <c r="L66" s="27"/>
      <c r="M66" s="27">
        <v>4</v>
      </c>
      <c r="N66" s="27"/>
      <c r="O66" s="27"/>
      <c r="P66" s="27"/>
      <c r="Q66" s="27"/>
      <c r="R66" s="27"/>
      <c r="S66" s="27"/>
      <c r="T66" s="43"/>
      <c r="U66" s="52"/>
      <c r="V66" s="52"/>
      <c r="W66" s="52"/>
      <c r="X66" s="52"/>
      <c r="Y66" s="52">
        <v>2</v>
      </c>
      <c r="Z66" s="52"/>
      <c r="AA66" s="52"/>
      <c r="AB66" s="52"/>
      <c r="AC66" s="52">
        <v>8</v>
      </c>
      <c r="AD66" s="52"/>
      <c r="AE66" s="52"/>
      <c r="AF66" s="52"/>
      <c r="AG66" s="52"/>
      <c r="AH66" s="52"/>
      <c r="AI66" s="55"/>
      <c r="AJ66" s="58"/>
      <c r="AK66" s="55"/>
      <c r="AL66" s="66">
        <f t="shared" si="4"/>
        <v>14</v>
      </c>
      <c r="AM66" s="28" t="str">
        <f t="shared" si="2"/>
        <v>OK</v>
      </c>
    </row>
    <row r="67" spans="1:39" customFormat="1" ht="17.25" hidden="1" thickBot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135"/>
      <c r="I67" s="21">
        <f t="shared" si="3"/>
        <v>0</v>
      </c>
      <c r="J67" s="21"/>
      <c r="K67" s="16"/>
      <c r="L67" s="21"/>
      <c r="M67" s="21"/>
      <c r="N67" s="21"/>
      <c r="O67" s="21"/>
      <c r="P67" s="21"/>
      <c r="Q67" s="21"/>
      <c r="R67" s="21"/>
      <c r="S67" s="21"/>
      <c r="T67" s="4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4"/>
      <c r="AJ67" s="57"/>
      <c r="AK67" s="54"/>
      <c r="AL67" s="65">
        <f t="shared" si="4"/>
        <v>0</v>
      </c>
      <c r="AM67" s="22" t="str">
        <f t="shared" si="2"/>
        <v>OK</v>
      </c>
    </row>
    <row r="68" spans="1:39" customFormat="1" ht="17.25" hidden="1" thickBot="1">
      <c r="A68" s="81" t="s">
        <v>132</v>
      </c>
      <c r="B68" s="78">
        <v>20269</v>
      </c>
      <c r="C68" s="23" t="s">
        <v>131</v>
      </c>
      <c r="D68" s="24"/>
      <c r="E68" s="24"/>
      <c r="F68" s="24"/>
      <c r="G68" s="25"/>
      <c r="H68" s="136"/>
      <c r="I68" s="27">
        <f t="shared" si="3"/>
        <v>0</v>
      </c>
      <c r="J68" s="27"/>
      <c r="K68" s="16"/>
      <c r="L68" s="27"/>
      <c r="M68" s="27"/>
      <c r="N68" s="27"/>
      <c r="O68" s="27"/>
      <c r="P68" s="27"/>
      <c r="Q68" s="27"/>
      <c r="R68" s="27"/>
      <c r="S68" s="27"/>
      <c r="T68" s="43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5"/>
      <c r="AJ68" s="58"/>
      <c r="AK68" s="55"/>
      <c r="AL68" s="66">
        <f t="shared" si="4"/>
        <v>0</v>
      </c>
      <c r="AM68" s="28" t="str">
        <f t="shared" si="2"/>
        <v>OK</v>
      </c>
    </row>
    <row r="69" spans="1:39" customFormat="1" ht="17.25" hidden="1" thickBot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135"/>
      <c r="I69" s="21">
        <f t="shared" si="3"/>
        <v>0</v>
      </c>
      <c r="J69" s="21"/>
      <c r="K69" s="16"/>
      <c r="L69" s="21"/>
      <c r="M69" s="21"/>
      <c r="N69" s="21"/>
      <c r="O69" s="21"/>
      <c r="P69" s="21"/>
      <c r="Q69" s="21"/>
      <c r="R69" s="21"/>
      <c r="S69" s="21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7"/>
      <c r="AK69" s="54"/>
      <c r="AL69" s="65">
        <f t="shared" si="4"/>
        <v>0</v>
      </c>
      <c r="AM69" s="22" t="str">
        <f t="shared" si="2"/>
        <v>OK</v>
      </c>
    </row>
    <row r="70" spans="1:39" customFormat="1" ht="17.25" hidden="1" thickBot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136"/>
      <c r="I70" s="27">
        <f t="shared" si="3"/>
        <v>0</v>
      </c>
      <c r="J70" s="27"/>
      <c r="K70" s="16"/>
      <c r="L70" s="27"/>
      <c r="M70" s="27"/>
      <c r="N70" s="27"/>
      <c r="O70" s="27"/>
      <c r="P70" s="27"/>
      <c r="Q70" s="27"/>
      <c r="R70" s="27"/>
      <c r="S70" s="27"/>
      <c r="T70" s="43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5"/>
      <c r="AJ70" s="58"/>
      <c r="AK70" s="55"/>
      <c r="AL70" s="66">
        <f t="shared" si="4"/>
        <v>0</v>
      </c>
      <c r="AM70" s="28" t="str">
        <f t="shared" si="2"/>
        <v>OK</v>
      </c>
    </row>
    <row r="71" spans="1:39" customFormat="1" ht="17.25" hidden="1" thickBot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135"/>
      <c r="I71" s="21">
        <f t="shared" ref="I71:I96" si="7">SUM(L71:AK71)</f>
        <v>0</v>
      </c>
      <c r="J71" s="21"/>
      <c r="K71" s="16"/>
      <c r="L71" s="21"/>
      <c r="M71" s="21"/>
      <c r="N71" s="21"/>
      <c r="O71" s="21"/>
      <c r="P71" s="21"/>
      <c r="Q71" s="21"/>
      <c r="R71" s="21"/>
      <c r="S71" s="21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4"/>
      <c r="AJ71" s="57"/>
      <c r="AK71" s="54"/>
      <c r="AL71" s="65">
        <f t="shared" si="4"/>
        <v>0</v>
      </c>
      <c r="AM71" s="22" t="str">
        <f t="shared" si="2"/>
        <v>OK</v>
      </c>
    </row>
    <row r="72" spans="1:39" customFormat="1" ht="17.25" hidden="1" thickBot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136"/>
      <c r="I72" s="27">
        <f t="shared" si="7"/>
        <v>0</v>
      </c>
      <c r="J72" s="27"/>
      <c r="K72" s="16"/>
      <c r="L72" s="27"/>
      <c r="M72" s="27"/>
      <c r="N72" s="27"/>
      <c r="O72" s="27"/>
      <c r="P72" s="27"/>
      <c r="Q72" s="27"/>
      <c r="R72" s="27"/>
      <c r="S72" s="27"/>
      <c r="T72" s="43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5"/>
      <c r="AJ72" s="58"/>
      <c r="AK72" s="55"/>
      <c r="AL72" s="66">
        <f t="shared" si="4"/>
        <v>0</v>
      </c>
      <c r="AM72" s="28" t="str">
        <f t="shared" si="2"/>
        <v>OK</v>
      </c>
    </row>
    <row r="73" spans="1:39" customFormat="1" ht="17.25" hidden="1" thickBot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138"/>
      <c r="I73" s="101">
        <f t="shared" si="7"/>
        <v>0</v>
      </c>
      <c r="J73" s="21"/>
      <c r="K73" s="16"/>
      <c r="L73" s="21"/>
      <c r="M73" s="21"/>
      <c r="N73" s="21"/>
      <c r="O73" s="21"/>
      <c r="P73" s="21"/>
      <c r="Q73" s="21"/>
      <c r="R73" s="21"/>
      <c r="S73" s="21"/>
      <c r="T73" s="42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4"/>
      <c r="AJ73" s="57"/>
      <c r="AK73" s="54"/>
      <c r="AL73" s="65">
        <f t="shared" si="4"/>
        <v>0</v>
      </c>
      <c r="AM73" s="22" t="str">
        <f t="shared" si="2"/>
        <v>OK</v>
      </c>
    </row>
    <row r="74" spans="1:39" customFormat="1" ht="17.25" hidden="1" thickBot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139"/>
      <c r="I74" s="103">
        <f t="shared" si="7"/>
        <v>0</v>
      </c>
      <c r="J74" s="27"/>
      <c r="K74" s="16"/>
      <c r="L74" s="100"/>
      <c r="M74" s="100"/>
      <c r="N74" s="100"/>
      <c r="O74" s="100"/>
      <c r="P74" s="100"/>
      <c r="Q74" s="100"/>
      <c r="R74" s="100"/>
      <c r="S74" s="100"/>
      <c r="T74" s="109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1"/>
      <c r="AJ74" s="112"/>
      <c r="AK74" s="111"/>
      <c r="AL74" s="66">
        <f t="shared" si="4"/>
        <v>0</v>
      </c>
      <c r="AM74" s="28" t="str">
        <f t="shared" si="2"/>
        <v>OK</v>
      </c>
    </row>
    <row r="75" spans="1:39" ht="17.25" hidden="1" thickBot="1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40"/>
      <c r="I75" s="105">
        <f t="shared" si="7"/>
        <v>0</v>
      </c>
      <c r="J75" s="90"/>
      <c r="K75" s="91"/>
      <c r="L75" s="113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5"/>
      <c r="AL75" s="92">
        <f t="shared" ref="AL75:AL80" si="8">SUM(L75:AK75)</f>
        <v>0</v>
      </c>
      <c r="AM75" s="122" t="str">
        <f t="shared" ref="AM75:AM96" si="9">IF(AL75=I75,"OK","NG")</f>
        <v>OK</v>
      </c>
    </row>
    <row r="76" spans="1:39" ht="17.25" hidden="1" thickBot="1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139">
        <f>1300+1800</f>
        <v>3100</v>
      </c>
      <c r="I76" s="106">
        <f t="shared" si="7"/>
        <v>0</v>
      </c>
      <c r="J76" s="85"/>
      <c r="K76" s="16"/>
      <c r="L76" s="1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8"/>
      <c r="AL76" s="66">
        <f t="shared" si="8"/>
        <v>0</v>
      </c>
      <c r="AM76" s="28" t="str">
        <f t="shared" si="9"/>
        <v>OK</v>
      </c>
    </row>
    <row r="77" spans="1:39" ht="17.25" hidden="1" thickBot="1">
      <c r="A77" s="87" t="s">
        <v>165</v>
      </c>
      <c r="B77" s="93">
        <v>13007</v>
      </c>
      <c r="C77" s="94" t="s">
        <v>164</v>
      </c>
      <c r="D77" s="88"/>
      <c r="E77" s="88"/>
      <c r="F77" s="88"/>
      <c r="G77" s="89"/>
      <c r="H77" s="104"/>
      <c r="I77" s="105">
        <f t="shared" si="7"/>
        <v>0</v>
      </c>
      <c r="J77" s="90"/>
      <c r="K77" s="91"/>
      <c r="L77" s="113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5"/>
      <c r="AL77" s="92">
        <f t="shared" si="8"/>
        <v>0</v>
      </c>
      <c r="AM77" s="122" t="str">
        <f t="shared" si="9"/>
        <v>OK</v>
      </c>
    </row>
    <row r="78" spans="1:39" ht="17.25" hidden="1" thickBot="1">
      <c r="A78" s="68"/>
      <c r="B78" s="78"/>
      <c r="C78" s="95"/>
      <c r="D78" s="83"/>
      <c r="E78" s="83"/>
      <c r="F78" s="83"/>
      <c r="G78" s="84"/>
      <c r="H78" s="102"/>
      <c r="I78" s="106">
        <f t="shared" si="7"/>
        <v>0</v>
      </c>
      <c r="J78" s="85"/>
      <c r="K78" s="16"/>
      <c r="L78" s="1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66">
        <f t="shared" si="8"/>
        <v>0</v>
      </c>
      <c r="AM78" s="28" t="str">
        <f t="shared" si="9"/>
        <v>OK</v>
      </c>
    </row>
    <row r="79" spans="1:39" ht="17.25" hidden="1" thickBot="1">
      <c r="A79" s="87"/>
      <c r="B79" s="93"/>
      <c r="C79" s="94"/>
      <c r="D79" s="88"/>
      <c r="E79" s="88"/>
      <c r="F79" s="88"/>
      <c r="G79" s="89"/>
      <c r="H79" s="104"/>
      <c r="I79" s="105">
        <f t="shared" si="7"/>
        <v>0</v>
      </c>
      <c r="J79" s="90"/>
      <c r="K79" s="91"/>
      <c r="L79" s="113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5"/>
      <c r="AL79" s="92">
        <f t="shared" si="8"/>
        <v>0</v>
      </c>
      <c r="AM79" s="122" t="str">
        <f t="shared" si="9"/>
        <v>OK</v>
      </c>
    </row>
    <row r="80" spans="1:39" ht="17.25" hidden="1" thickBot="1">
      <c r="A80" s="68"/>
      <c r="B80" s="78"/>
      <c r="C80" s="95"/>
      <c r="D80" s="83"/>
      <c r="E80" s="83"/>
      <c r="F80" s="83"/>
      <c r="G80" s="84"/>
      <c r="H80" s="102"/>
      <c r="I80" s="106">
        <f t="shared" si="7"/>
        <v>0</v>
      </c>
      <c r="J80" s="85"/>
      <c r="K80" s="16"/>
      <c r="L80" s="116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66">
        <f t="shared" si="8"/>
        <v>0</v>
      </c>
      <c r="AM80" s="28" t="str">
        <f t="shared" si="9"/>
        <v>OK</v>
      </c>
    </row>
    <row r="81" spans="1:39" ht="17.25" hidden="1" thickBot="1">
      <c r="A81" s="87"/>
      <c r="B81" s="93"/>
      <c r="C81" s="94"/>
      <c r="D81" s="88"/>
      <c r="E81" s="88"/>
      <c r="F81" s="88"/>
      <c r="G81" s="89"/>
      <c r="H81" s="104"/>
      <c r="I81" s="105">
        <f t="shared" si="7"/>
        <v>0</v>
      </c>
      <c r="J81" s="90"/>
      <c r="K81" s="91"/>
      <c r="L81" s="113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5"/>
      <c r="AL81" s="92">
        <f t="shared" ref="AL81:AL96" si="10">SUM(L81:AK81)</f>
        <v>0</v>
      </c>
      <c r="AM81" s="122" t="str">
        <f t="shared" si="9"/>
        <v>OK</v>
      </c>
    </row>
    <row r="82" spans="1:39" ht="17.25" hidden="1" thickBot="1">
      <c r="A82" s="68"/>
      <c r="B82" s="78"/>
      <c r="C82" s="95"/>
      <c r="D82" s="83"/>
      <c r="E82" s="83"/>
      <c r="F82" s="83"/>
      <c r="G82" s="84"/>
      <c r="H82" s="102"/>
      <c r="I82" s="106">
        <f t="shared" si="7"/>
        <v>0</v>
      </c>
      <c r="J82" s="85"/>
      <c r="K82" s="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66">
        <f t="shared" si="10"/>
        <v>0</v>
      </c>
      <c r="AM82" s="28" t="str">
        <f t="shared" si="9"/>
        <v>OK</v>
      </c>
    </row>
    <row r="83" spans="1:39" ht="17.25" hidden="1" thickBot="1">
      <c r="A83" s="96"/>
      <c r="B83" s="93"/>
      <c r="C83" s="94"/>
      <c r="D83" s="88"/>
      <c r="E83" s="88"/>
      <c r="F83" s="88"/>
      <c r="G83" s="89"/>
      <c r="H83" s="104"/>
      <c r="I83" s="105">
        <f t="shared" si="7"/>
        <v>0</v>
      </c>
      <c r="J83" s="90"/>
      <c r="K83" s="91"/>
      <c r="L83" s="113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5"/>
      <c r="AL83" s="92">
        <f t="shared" si="10"/>
        <v>0</v>
      </c>
      <c r="AM83" s="122" t="str">
        <f t="shared" si="9"/>
        <v>OK</v>
      </c>
    </row>
    <row r="84" spans="1:39" ht="17.25" hidden="1" thickBot="1">
      <c r="A84" s="68"/>
      <c r="B84" s="78"/>
      <c r="C84" s="95"/>
      <c r="D84" s="83"/>
      <c r="E84" s="83"/>
      <c r="F84" s="83"/>
      <c r="G84" s="84"/>
      <c r="H84" s="102"/>
      <c r="I84" s="106">
        <f t="shared" si="7"/>
        <v>0</v>
      </c>
      <c r="J84" s="85"/>
      <c r="K84" s="16"/>
      <c r="L84" s="116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66">
        <f t="shared" si="10"/>
        <v>0</v>
      </c>
      <c r="AM84" s="28" t="str">
        <f t="shared" si="9"/>
        <v>OK</v>
      </c>
    </row>
    <row r="85" spans="1:39" ht="17.25" hidden="1" thickBot="1">
      <c r="A85" s="87"/>
      <c r="B85" s="93"/>
      <c r="C85" s="94"/>
      <c r="D85" s="88"/>
      <c r="E85" s="88"/>
      <c r="F85" s="88"/>
      <c r="G85" s="89"/>
      <c r="H85" s="104"/>
      <c r="I85" s="105">
        <f t="shared" si="7"/>
        <v>0</v>
      </c>
      <c r="J85" s="90"/>
      <c r="K85" s="91"/>
      <c r="L85" s="113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5"/>
      <c r="AL85" s="92">
        <f t="shared" si="10"/>
        <v>0</v>
      </c>
      <c r="AM85" s="122" t="str">
        <f t="shared" si="9"/>
        <v>OK</v>
      </c>
    </row>
    <row r="86" spans="1:39" ht="17.25" hidden="1" thickBot="1">
      <c r="A86" s="68"/>
      <c r="B86" s="78"/>
      <c r="C86" s="95"/>
      <c r="D86" s="83"/>
      <c r="E86" s="83"/>
      <c r="F86" s="83"/>
      <c r="G86" s="84"/>
      <c r="H86" s="102"/>
      <c r="I86" s="106">
        <f t="shared" si="7"/>
        <v>0</v>
      </c>
      <c r="J86" s="85"/>
      <c r="K86" s="16"/>
      <c r="L86" s="116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66">
        <f t="shared" si="10"/>
        <v>0</v>
      </c>
      <c r="AM86" s="28" t="str">
        <f t="shared" si="9"/>
        <v>OK</v>
      </c>
    </row>
    <row r="87" spans="1:39" ht="17.25" hidden="1" thickBot="1">
      <c r="A87" s="87"/>
      <c r="B87" s="93"/>
      <c r="C87" s="94"/>
      <c r="D87" s="88"/>
      <c r="E87" s="88"/>
      <c r="F87" s="88"/>
      <c r="G87" s="89"/>
      <c r="H87" s="104"/>
      <c r="I87" s="105">
        <f t="shared" si="7"/>
        <v>0</v>
      </c>
      <c r="J87" s="90"/>
      <c r="K87" s="91"/>
      <c r="L87" s="113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5"/>
      <c r="AL87" s="92">
        <f t="shared" si="10"/>
        <v>0</v>
      </c>
      <c r="AM87" s="122" t="str">
        <f t="shared" si="9"/>
        <v>OK</v>
      </c>
    </row>
    <row r="88" spans="1:39" ht="17.25" hidden="1" thickBot="1">
      <c r="A88" s="68"/>
      <c r="B88" s="78"/>
      <c r="C88" s="95"/>
      <c r="D88" s="83"/>
      <c r="E88" s="83"/>
      <c r="F88" s="83"/>
      <c r="G88" s="84"/>
      <c r="H88" s="102"/>
      <c r="I88" s="106">
        <f t="shared" si="7"/>
        <v>0</v>
      </c>
      <c r="J88" s="85"/>
      <c r="K88" s="16"/>
      <c r="L88" s="116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66">
        <f t="shared" si="10"/>
        <v>0</v>
      </c>
      <c r="AM88" s="28" t="str">
        <f t="shared" si="9"/>
        <v>OK</v>
      </c>
    </row>
    <row r="89" spans="1:39" ht="17.25" hidden="1" thickBot="1">
      <c r="A89" s="87"/>
      <c r="B89" s="93"/>
      <c r="C89" s="94"/>
      <c r="D89" s="88"/>
      <c r="E89" s="88"/>
      <c r="F89" s="88"/>
      <c r="G89" s="89"/>
      <c r="H89" s="104"/>
      <c r="I89" s="105">
        <f t="shared" si="7"/>
        <v>0</v>
      </c>
      <c r="J89" s="90"/>
      <c r="K89" s="91"/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5"/>
      <c r="AL89" s="92">
        <f t="shared" si="10"/>
        <v>0</v>
      </c>
      <c r="AM89" s="122" t="str">
        <f t="shared" si="9"/>
        <v>OK</v>
      </c>
    </row>
    <row r="90" spans="1:39" ht="17.25" hidden="1" thickBot="1">
      <c r="A90" s="68"/>
      <c r="B90" s="78"/>
      <c r="C90" s="95"/>
      <c r="D90" s="83"/>
      <c r="E90" s="83"/>
      <c r="F90" s="83"/>
      <c r="G90" s="84"/>
      <c r="H90" s="102"/>
      <c r="I90" s="106">
        <f t="shared" si="7"/>
        <v>0</v>
      </c>
      <c r="J90" s="85"/>
      <c r="K90" s="16"/>
      <c r="L90" s="116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66">
        <f t="shared" si="10"/>
        <v>0</v>
      </c>
      <c r="AM90" s="28" t="str">
        <f t="shared" si="9"/>
        <v>OK</v>
      </c>
    </row>
    <row r="91" spans="1:39" ht="17.25" hidden="1" thickBot="1">
      <c r="A91" s="87"/>
      <c r="B91" s="93"/>
      <c r="C91" s="94"/>
      <c r="D91" s="88"/>
      <c r="E91" s="88"/>
      <c r="F91" s="88"/>
      <c r="G91" s="89"/>
      <c r="H91" s="104"/>
      <c r="I91" s="105">
        <f t="shared" si="7"/>
        <v>0</v>
      </c>
      <c r="J91" s="90"/>
      <c r="K91" s="91"/>
      <c r="L91" s="113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5"/>
      <c r="AL91" s="92">
        <f t="shared" si="10"/>
        <v>0</v>
      </c>
      <c r="AM91" s="122" t="str">
        <f t="shared" si="9"/>
        <v>OK</v>
      </c>
    </row>
    <row r="92" spans="1:39" ht="17.25" hidden="1" thickBot="1">
      <c r="A92" s="68"/>
      <c r="B92" s="78"/>
      <c r="C92" s="95"/>
      <c r="D92" s="83"/>
      <c r="E92" s="83"/>
      <c r="F92" s="83"/>
      <c r="G92" s="84"/>
      <c r="H92" s="102"/>
      <c r="I92" s="106">
        <f t="shared" si="7"/>
        <v>0</v>
      </c>
      <c r="J92" s="85"/>
      <c r="K92" s="16"/>
      <c r="L92" s="116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66">
        <f t="shared" si="10"/>
        <v>0</v>
      </c>
      <c r="AM92" s="28" t="str">
        <f t="shared" si="9"/>
        <v>OK</v>
      </c>
    </row>
    <row r="93" spans="1:39" ht="17.25" hidden="1" thickBot="1">
      <c r="A93" s="87"/>
      <c r="B93" s="93"/>
      <c r="C93" s="94"/>
      <c r="D93" s="88"/>
      <c r="E93" s="88"/>
      <c r="F93" s="88"/>
      <c r="G93" s="89"/>
      <c r="H93" s="104"/>
      <c r="I93" s="105">
        <f t="shared" si="7"/>
        <v>0</v>
      </c>
      <c r="J93" s="90"/>
      <c r="K93" s="91"/>
      <c r="L93" s="113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5"/>
      <c r="AL93" s="92">
        <f t="shared" si="10"/>
        <v>0</v>
      </c>
      <c r="AM93" s="122" t="str">
        <f t="shared" si="9"/>
        <v>OK</v>
      </c>
    </row>
    <row r="94" spans="1:39" ht="17.25" hidden="1" thickBot="1">
      <c r="A94" s="68"/>
      <c r="B94" s="78"/>
      <c r="C94" s="95"/>
      <c r="D94" s="83"/>
      <c r="E94" s="83"/>
      <c r="F94" s="83"/>
      <c r="G94" s="84"/>
      <c r="H94" s="102"/>
      <c r="I94" s="106">
        <f t="shared" si="7"/>
        <v>0</v>
      </c>
      <c r="J94" s="85"/>
      <c r="K94" s="16"/>
      <c r="L94" s="116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66">
        <f t="shared" si="10"/>
        <v>0</v>
      </c>
      <c r="AM94" s="28" t="str">
        <f t="shared" si="9"/>
        <v>OK</v>
      </c>
    </row>
    <row r="95" spans="1:39" ht="17.25" hidden="1" thickBot="1">
      <c r="A95" s="87"/>
      <c r="B95" s="93"/>
      <c r="C95" s="94"/>
      <c r="D95" s="88"/>
      <c r="E95" s="88"/>
      <c r="F95" s="88"/>
      <c r="G95" s="89"/>
      <c r="H95" s="104"/>
      <c r="I95" s="105">
        <f t="shared" si="7"/>
        <v>0</v>
      </c>
      <c r="J95" s="90"/>
      <c r="K95" s="91"/>
      <c r="L95" s="113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5"/>
      <c r="AL95" s="92">
        <f t="shared" si="10"/>
        <v>0</v>
      </c>
      <c r="AM95" s="122" t="str">
        <f t="shared" si="9"/>
        <v>OK</v>
      </c>
    </row>
    <row r="96" spans="1:39" ht="17.25" hidden="1" thickBot="1">
      <c r="A96" s="97"/>
      <c r="B96" s="98"/>
      <c r="C96" s="99"/>
      <c r="D96" s="83"/>
      <c r="E96" s="83"/>
      <c r="F96" s="83"/>
      <c r="G96" s="84"/>
      <c r="H96" s="107"/>
      <c r="I96" s="108">
        <f t="shared" si="7"/>
        <v>0</v>
      </c>
      <c r="J96" s="85"/>
      <c r="K96" s="16"/>
      <c r="L96" s="119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1"/>
      <c r="AL96" s="66">
        <f t="shared" si="10"/>
        <v>0</v>
      </c>
      <c r="AM96" s="28" t="str">
        <f t="shared" si="9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34294</v>
      </c>
      <c r="I97" s="46">
        <f>SUM(I6:I96)</f>
        <v>33</v>
      </c>
      <c r="J97" s="47">
        <f>SUM(J6:J74)</f>
        <v>0</v>
      </c>
      <c r="K97" s="9"/>
      <c r="L97" s="45">
        <f>SUM(L6:L96)</f>
        <v>7</v>
      </c>
      <c r="M97" s="45">
        <f t="shared" ref="M97:AI97" si="11">SUM(M6:M96)</f>
        <v>5</v>
      </c>
      <c r="N97" s="45">
        <f t="shared" si="11"/>
        <v>0</v>
      </c>
      <c r="O97" s="45">
        <f t="shared" si="11"/>
        <v>0</v>
      </c>
      <c r="P97" s="45">
        <f t="shared" si="11"/>
        <v>1</v>
      </c>
      <c r="Q97" s="45">
        <f t="shared" si="11"/>
        <v>0</v>
      </c>
      <c r="R97" s="45">
        <f t="shared" si="11"/>
        <v>0</v>
      </c>
      <c r="S97" s="45">
        <f t="shared" si="11"/>
        <v>0</v>
      </c>
      <c r="T97" s="45">
        <f t="shared" si="11"/>
        <v>0</v>
      </c>
      <c r="U97" s="45">
        <f t="shared" si="11"/>
        <v>0</v>
      </c>
      <c r="V97" s="45">
        <f t="shared" si="11"/>
        <v>0</v>
      </c>
      <c r="W97" s="45">
        <f t="shared" si="11"/>
        <v>0</v>
      </c>
      <c r="X97" s="45">
        <f t="shared" si="11"/>
        <v>0</v>
      </c>
      <c r="Y97" s="45">
        <f t="shared" si="11"/>
        <v>3</v>
      </c>
      <c r="Z97" s="45">
        <f t="shared" si="11"/>
        <v>0</v>
      </c>
      <c r="AA97" s="45">
        <f t="shared" si="11"/>
        <v>0</v>
      </c>
      <c r="AB97" s="45">
        <f t="shared" si="11"/>
        <v>0</v>
      </c>
      <c r="AC97" s="45">
        <f t="shared" si="11"/>
        <v>16</v>
      </c>
      <c r="AD97" s="45">
        <f t="shared" si="11"/>
        <v>0</v>
      </c>
      <c r="AE97" s="45">
        <f t="shared" si="11"/>
        <v>0</v>
      </c>
      <c r="AF97" s="45">
        <f t="shared" si="11"/>
        <v>0</v>
      </c>
      <c r="AG97" s="45">
        <f t="shared" si="11"/>
        <v>0</v>
      </c>
      <c r="AH97" s="45">
        <f t="shared" si="11"/>
        <v>0</v>
      </c>
      <c r="AI97" s="45">
        <f t="shared" si="11"/>
        <v>1</v>
      </c>
      <c r="AJ97" s="49">
        <f>SUM(AJ6:AJ96)</f>
        <v>0</v>
      </c>
      <c r="AK97" s="61">
        <f>SUM(AK6:AK96)</f>
        <v>0</v>
      </c>
      <c r="AL97" s="67">
        <f>SUM(AL6:AL96)</f>
        <v>33</v>
      </c>
      <c r="AM97" s="48" t="str">
        <f>IF(AL97=SUM(I97),"OK","NG")</f>
        <v>OK</v>
      </c>
    </row>
    <row r="99" spans="1:39">
      <c r="I99" s="86"/>
    </row>
    <row r="100" spans="1:39">
      <c r="I100" s="86"/>
    </row>
    <row r="101" spans="1:39">
      <c r="I101" s="86"/>
    </row>
    <row r="102" spans="1:39">
      <c r="I102" s="86"/>
    </row>
    <row r="103" spans="1:39">
      <c r="I103" s="86"/>
    </row>
    <row r="104" spans="1:39">
      <c r="I104" s="86"/>
    </row>
    <row r="105" spans="1:39">
      <c r="I105" s="86"/>
    </row>
    <row r="106" spans="1:39">
      <c r="I106" s="86"/>
    </row>
    <row r="107" spans="1:39">
      <c r="I107" s="86"/>
    </row>
    <row r="108" spans="1:39">
      <c r="I108" s="86"/>
    </row>
    <row r="109" spans="1:39">
      <c r="I109" s="86"/>
    </row>
    <row r="110" spans="1:39">
      <c r="I110" s="86"/>
    </row>
  </sheetData>
  <autoFilter ref="A5:AM97" xr:uid="{00000000-0001-0000-0700-000000000000}">
    <filterColumn colId="8">
      <filters>
        <filter val="1"/>
        <filter val="14"/>
        <filter val="2"/>
        <filter val="3"/>
        <filter val="33"/>
        <filter val="4"/>
        <filter val="7"/>
      </filters>
    </filterColumn>
  </autoFilter>
  <mergeCells count="37">
    <mergeCell ref="AM4:AM5"/>
    <mergeCell ref="AG4:AG5"/>
    <mergeCell ref="AH4:AH5"/>
    <mergeCell ref="AI4:AI5"/>
    <mergeCell ref="AJ4:AJ5"/>
    <mergeCell ref="AK4:AK5"/>
    <mergeCell ref="AL4:AL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B1:C1"/>
    <mergeCell ref="F1:G1"/>
    <mergeCell ref="H1:J3"/>
    <mergeCell ref="B2:C2"/>
    <mergeCell ref="AM2:AM3"/>
    <mergeCell ref="B3:C3"/>
  </mergeCells>
  <phoneticPr fontId="3" type="noConversion"/>
  <conditionalFormatting sqref="A4 AM6:AM97">
    <cfRule type="containsText" dxfId="63" priority="7" operator="containsText" text="NG">
      <formula>NOT(ISERROR(SEARCH("NG",A4)))</formula>
    </cfRule>
    <cfRule type="containsText" dxfId="62" priority="8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51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 filterMode="1">
    <pageSetUpPr fitToPage="1"/>
  </sheetPr>
  <dimension ref="A1:AM101"/>
  <sheetViews>
    <sheetView showGridLines="0" zoomScale="85" zoomScaleNormal="85" workbookViewId="0">
      <pane ySplit="5" topLeftCell="A6" activePane="bottomLeft" state="frozen"/>
      <selection activeCell="P19" sqref="P19"/>
      <selection pane="bottomLeft" activeCell="A5" sqref="A5:XFD5"/>
    </sheetView>
  </sheetViews>
  <sheetFormatPr defaultColWidth="9" defaultRowHeight="16.5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12" width="8.75"/>
    <col min="13" max="13" width="9" customWidth="1"/>
    <col min="14" max="16" width="8.75"/>
    <col min="17" max="20" width="9" customWidth="1"/>
    <col min="21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5" customHeight="1" thickBot="1">
      <c r="A1" s="37" t="s">
        <v>13</v>
      </c>
      <c r="B1" s="168">
        <f>H97</f>
        <v>38644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5" customHeight="1" thickBot="1">
      <c r="A2" s="37" t="s">
        <v>14</v>
      </c>
      <c r="B2" s="173">
        <f>I97</f>
        <v>21</v>
      </c>
      <c r="C2" s="174"/>
      <c r="D2" s="75"/>
      <c r="E2" s="71"/>
      <c r="F2" s="2"/>
      <c r="G2" s="2"/>
      <c r="H2" s="171"/>
      <c r="I2" s="171"/>
      <c r="J2" s="171"/>
      <c r="K2" s="3"/>
      <c r="L2" s="4"/>
      <c r="M2" s="4">
        <f t="shared" ref="M2:AK2" si="0">SUBTOTAL(9,M6:M96)</f>
        <v>3</v>
      </c>
      <c r="N2" s="4">
        <f t="shared" si="0"/>
        <v>0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39">
        <f t="shared" si="0"/>
        <v>0</v>
      </c>
      <c r="U2" s="5">
        <f t="shared" si="0"/>
        <v>1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1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6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0</v>
      </c>
      <c r="AH2" s="5">
        <f t="shared" si="0"/>
        <v>0</v>
      </c>
      <c r="AI2" s="5">
        <f t="shared" si="0"/>
        <v>0</v>
      </c>
      <c r="AJ2" s="5">
        <f t="shared" si="0"/>
        <v>0</v>
      </c>
      <c r="AK2" s="59">
        <f t="shared" si="0"/>
        <v>0</v>
      </c>
      <c r="AL2" s="62">
        <f>SUBTOTAL(9,AL6:AL96)</f>
        <v>21</v>
      </c>
      <c r="AM2" s="175"/>
    </row>
    <row r="3" spans="1:39" customFormat="1" ht="22.5" customHeight="1" thickBot="1">
      <c r="A3" s="38" t="s">
        <v>15</v>
      </c>
      <c r="B3" s="177">
        <f>IF(ISERROR(B2/(B2+B1)*1000000),"",(B2/(B2+B1)*1000000))</f>
        <v>543.12685891633259</v>
      </c>
      <c r="C3" s="178"/>
      <c r="D3" s="73"/>
      <c r="E3" s="72"/>
      <c r="F3" s="32"/>
      <c r="G3" s="32"/>
      <c r="H3" s="172"/>
      <c r="I3" s="172"/>
      <c r="J3" s="172"/>
      <c r="K3" s="6"/>
      <c r="L3" s="7">
        <f t="shared" ref="L3:AK3" si="1">SUM(L6:L96)</f>
        <v>10</v>
      </c>
      <c r="M3" s="7">
        <f t="shared" si="1"/>
        <v>3</v>
      </c>
      <c r="N3" s="7">
        <f t="shared" si="1"/>
        <v>0</v>
      </c>
      <c r="O3" s="7">
        <f t="shared" si="1"/>
        <v>0</v>
      </c>
      <c r="P3" s="7">
        <f t="shared" si="1"/>
        <v>0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40">
        <f t="shared" si="1"/>
        <v>0</v>
      </c>
      <c r="U3" s="8">
        <f t="shared" si="1"/>
        <v>1</v>
      </c>
      <c r="V3" s="8">
        <f t="shared" si="1"/>
        <v>0</v>
      </c>
      <c r="W3" s="8">
        <f t="shared" si="1"/>
        <v>0</v>
      </c>
      <c r="X3" s="8">
        <f t="shared" si="1"/>
        <v>0</v>
      </c>
      <c r="Y3" s="8">
        <f t="shared" si="1"/>
        <v>1</v>
      </c>
      <c r="Z3" s="8">
        <f t="shared" si="1"/>
        <v>0</v>
      </c>
      <c r="AA3" s="8">
        <f t="shared" si="1"/>
        <v>0</v>
      </c>
      <c r="AB3" s="8">
        <f t="shared" si="1"/>
        <v>0</v>
      </c>
      <c r="AC3" s="8">
        <f t="shared" si="1"/>
        <v>6</v>
      </c>
      <c r="AD3" s="8">
        <f t="shared" si="1"/>
        <v>0</v>
      </c>
      <c r="AE3" s="8">
        <f t="shared" si="1"/>
        <v>0</v>
      </c>
      <c r="AF3" s="8">
        <f t="shared" si="1"/>
        <v>0</v>
      </c>
      <c r="AG3" s="8">
        <f t="shared" si="1"/>
        <v>0</v>
      </c>
      <c r="AH3" s="8">
        <f t="shared" si="1"/>
        <v>0</v>
      </c>
      <c r="AI3" s="8">
        <f t="shared" si="1"/>
        <v>0</v>
      </c>
      <c r="AJ3" s="8">
        <f t="shared" si="1"/>
        <v>0</v>
      </c>
      <c r="AK3" s="60">
        <f t="shared" si="1"/>
        <v>0</v>
      </c>
      <c r="AL3" s="63">
        <f>SUM(AL6:AL96)</f>
        <v>21</v>
      </c>
      <c r="AM3" s="176"/>
    </row>
    <row r="4" spans="1:39" customFormat="1" ht="43.5" customHeight="1">
      <c r="A4" s="163" t="str">
        <f>AM97</f>
        <v>OK</v>
      </c>
      <c r="B4" s="163"/>
      <c r="C4" s="163"/>
      <c r="D4" s="164"/>
      <c r="E4" s="165" t="s">
        <v>16</v>
      </c>
      <c r="F4" s="165"/>
      <c r="G4" s="165"/>
      <c r="H4" s="165" t="s">
        <v>17</v>
      </c>
      <c r="I4" s="165"/>
      <c r="J4" s="165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1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56" t="s">
        <v>12</v>
      </c>
      <c r="AL4" s="158" t="s">
        <v>36</v>
      </c>
      <c r="AM4" s="149" t="s">
        <v>37</v>
      </c>
    </row>
    <row r="5" spans="1:39" customFormat="1" ht="33.75" thickBot="1">
      <c r="A5" s="34" t="s">
        <v>3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137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6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3"/>
      <c r="AJ5" s="155"/>
      <c r="AK5" s="157"/>
      <c r="AL5" s="159"/>
      <c r="AM5" s="150"/>
    </row>
    <row r="6" spans="1:39" customFormat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34">
        <v>2520</v>
      </c>
      <c r="I6" s="15">
        <f>SUM(L6:AK6)</f>
        <v>2</v>
      </c>
      <c r="J6" s="15"/>
      <c r="K6" s="16"/>
      <c r="L6" s="15"/>
      <c r="M6" s="15">
        <v>2</v>
      </c>
      <c r="N6" s="15"/>
      <c r="O6" s="15"/>
      <c r="P6" s="15"/>
      <c r="Q6" s="15"/>
      <c r="R6" s="15"/>
      <c r="S6" s="15"/>
      <c r="T6" s="41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3"/>
      <c r="AJ6" s="56"/>
      <c r="AK6" s="53"/>
      <c r="AL6" s="64">
        <f>SUM(L6:AK6)</f>
        <v>2</v>
      </c>
      <c r="AM6" s="31" t="str">
        <f t="shared" ref="AM6:AM74" si="2">IF(AL6=I6,"OK","NG")</f>
        <v>OK</v>
      </c>
    </row>
    <row r="7" spans="1:39" customFormat="1" hidden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135"/>
      <c r="I7" s="21">
        <f t="shared" ref="I7:I70" si="3">SUM(L7:AK7)</f>
        <v>0</v>
      </c>
      <c r="J7" s="21"/>
      <c r="K7" s="16"/>
      <c r="L7" s="21"/>
      <c r="M7" s="21"/>
      <c r="N7" s="21"/>
      <c r="O7" s="21"/>
      <c r="P7" s="21"/>
      <c r="Q7" s="21"/>
      <c r="R7" s="21"/>
      <c r="S7" s="21"/>
      <c r="T7" s="42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4"/>
      <c r="AJ7" s="57"/>
      <c r="AK7" s="54"/>
      <c r="AL7" s="65">
        <f t="shared" ref="AL7:AL74" si="4">SUM(L7:AK7)</f>
        <v>0</v>
      </c>
      <c r="AM7" s="22" t="str">
        <f t="shared" si="2"/>
        <v>OK</v>
      </c>
    </row>
    <row r="8" spans="1:39" customFormat="1" hidden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36"/>
      <c r="I8" s="27">
        <f t="shared" si="3"/>
        <v>0</v>
      </c>
      <c r="J8" s="27"/>
      <c r="K8" s="16"/>
      <c r="L8" s="27"/>
      <c r="M8" s="27"/>
      <c r="N8" s="27"/>
      <c r="O8" s="27"/>
      <c r="P8" s="27"/>
      <c r="Q8" s="27"/>
      <c r="R8" s="27"/>
      <c r="S8" s="27"/>
      <c r="T8" s="4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5"/>
      <c r="AJ8" s="58"/>
      <c r="AK8" s="55"/>
      <c r="AL8" s="66">
        <f t="shared" si="4"/>
        <v>0</v>
      </c>
      <c r="AM8" s="28" t="str">
        <f t="shared" si="2"/>
        <v>OK</v>
      </c>
    </row>
    <row r="9" spans="1:39" customFormat="1" hidden="1">
      <c r="A9" s="17" t="s">
        <v>68</v>
      </c>
      <c r="B9" s="77">
        <v>10897</v>
      </c>
      <c r="C9" s="17" t="s">
        <v>62</v>
      </c>
      <c r="D9" s="69"/>
      <c r="E9" s="18"/>
      <c r="F9" s="18"/>
      <c r="G9" s="19"/>
      <c r="H9" s="135"/>
      <c r="I9" s="21">
        <f t="shared" si="3"/>
        <v>0</v>
      </c>
      <c r="J9" s="21"/>
      <c r="K9" s="16"/>
      <c r="L9" s="21"/>
      <c r="M9" s="21"/>
      <c r="N9" s="21"/>
      <c r="O9" s="21"/>
      <c r="P9" s="21"/>
      <c r="Q9" s="21"/>
      <c r="R9" s="21"/>
      <c r="S9" s="21"/>
      <c r="T9" s="42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4"/>
      <c r="AJ9" s="57"/>
      <c r="AK9" s="54"/>
      <c r="AL9" s="65">
        <f t="shared" si="4"/>
        <v>0</v>
      </c>
      <c r="AM9" s="22" t="str">
        <f t="shared" si="2"/>
        <v>OK</v>
      </c>
    </row>
    <row r="10" spans="1:39" customFormat="1" hidden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36"/>
      <c r="I10" s="27">
        <f t="shared" si="3"/>
        <v>0</v>
      </c>
      <c r="J10" s="27"/>
      <c r="K10" s="16"/>
      <c r="L10" s="27"/>
      <c r="M10" s="27"/>
      <c r="N10" s="27"/>
      <c r="O10" s="27"/>
      <c r="P10" s="27"/>
      <c r="Q10" s="27"/>
      <c r="R10" s="27"/>
      <c r="S10" s="27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5"/>
      <c r="AJ10" s="58"/>
      <c r="AK10" s="55"/>
      <c r="AL10" s="66">
        <f t="shared" si="4"/>
        <v>0</v>
      </c>
      <c r="AM10" s="28" t="str">
        <f t="shared" si="2"/>
        <v>OK</v>
      </c>
    </row>
    <row r="11" spans="1:39" customFormat="1" hidden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135"/>
      <c r="I11" s="21">
        <f t="shared" si="3"/>
        <v>0</v>
      </c>
      <c r="J11" s="21"/>
      <c r="K11" s="16"/>
      <c r="L11" s="21"/>
      <c r="M11" s="21"/>
      <c r="N11" s="21"/>
      <c r="O11" s="21"/>
      <c r="P11" s="21"/>
      <c r="Q11" s="21"/>
      <c r="R11" s="21"/>
      <c r="S11" s="21"/>
      <c r="T11" s="42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4"/>
      <c r="AJ11" s="57"/>
      <c r="AK11" s="54"/>
      <c r="AL11" s="65">
        <f t="shared" si="4"/>
        <v>0</v>
      </c>
      <c r="AM11" s="22" t="str">
        <f t="shared" si="2"/>
        <v>OK</v>
      </c>
    </row>
    <row r="12" spans="1:39" customFormat="1" hidden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36"/>
      <c r="I12" s="27">
        <f t="shared" si="3"/>
        <v>0</v>
      </c>
      <c r="J12" s="27"/>
      <c r="K12" s="16"/>
      <c r="L12" s="27"/>
      <c r="M12" s="27"/>
      <c r="N12" s="27"/>
      <c r="O12" s="27"/>
      <c r="P12" s="27"/>
      <c r="Q12" s="27"/>
      <c r="R12" s="27"/>
      <c r="S12" s="27"/>
      <c r="T12" s="43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8"/>
      <c r="AK12" s="55"/>
      <c r="AL12" s="66">
        <f t="shared" si="4"/>
        <v>0</v>
      </c>
      <c r="AM12" s="28" t="str">
        <f t="shared" si="2"/>
        <v>OK</v>
      </c>
    </row>
    <row r="13" spans="1:39" customFormat="1" hidden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135"/>
      <c r="I13" s="21">
        <f t="shared" si="3"/>
        <v>0</v>
      </c>
      <c r="J13" s="21"/>
      <c r="K13" s="16"/>
      <c r="L13" s="21"/>
      <c r="M13" s="21"/>
      <c r="N13" s="21"/>
      <c r="O13" s="21"/>
      <c r="P13" s="21"/>
      <c r="Q13" s="21"/>
      <c r="R13" s="21"/>
      <c r="S13" s="21"/>
      <c r="T13" s="4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4"/>
      <c r="AJ13" s="57"/>
      <c r="AK13" s="54"/>
      <c r="AL13" s="65">
        <f t="shared" si="4"/>
        <v>0</v>
      </c>
      <c r="AM13" s="22" t="str">
        <f t="shared" si="2"/>
        <v>OK</v>
      </c>
    </row>
    <row r="14" spans="1:39" customFormat="1" hidden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36"/>
      <c r="I14" s="27">
        <f t="shared" si="3"/>
        <v>0</v>
      </c>
      <c r="J14" s="27"/>
      <c r="K14" s="16"/>
      <c r="L14" s="27"/>
      <c r="M14" s="27"/>
      <c r="N14" s="27"/>
      <c r="O14" s="27"/>
      <c r="P14" s="27"/>
      <c r="Q14" s="27"/>
      <c r="R14" s="27"/>
      <c r="S14" s="27"/>
      <c r="T14" s="43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5"/>
      <c r="AJ14" s="58"/>
      <c r="AK14" s="55"/>
      <c r="AL14" s="66">
        <f t="shared" si="4"/>
        <v>0</v>
      </c>
      <c r="AM14" s="28" t="str">
        <f t="shared" si="2"/>
        <v>OK</v>
      </c>
    </row>
    <row r="15" spans="1:39" customFormat="1" hidden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135"/>
      <c r="I15" s="21">
        <f t="shared" si="3"/>
        <v>0</v>
      </c>
      <c r="J15" s="21"/>
      <c r="K15" s="16"/>
      <c r="L15" s="21"/>
      <c r="M15" s="21"/>
      <c r="N15" s="21"/>
      <c r="O15" s="21"/>
      <c r="P15" s="21"/>
      <c r="Q15" s="21"/>
      <c r="R15" s="21"/>
      <c r="S15" s="21"/>
      <c r="T15" s="42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4"/>
      <c r="AJ15" s="57"/>
      <c r="AK15" s="54"/>
      <c r="AL15" s="65">
        <f t="shared" si="4"/>
        <v>0</v>
      </c>
      <c r="AM15" s="22" t="str">
        <f t="shared" si="2"/>
        <v>OK</v>
      </c>
    </row>
    <row r="16" spans="1:39" customFormat="1" hidden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36"/>
      <c r="I16" s="27">
        <f t="shared" si="3"/>
        <v>0</v>
      </c>
      <c r="J16" s="27"/>
      <c r="K16" s="16"/>
      <c r="L16" s="27"/>
      <c r="M16" s="27"/>
      <c r="N16" s="27"/>
      <c r="O16" s="27"/>
      <c r="P16" s="27"/>
      <c r="Q16" s="27"/>
      <c r="R16" s="27"/>
      <c r="S16" s="27"/>
      <c r="T16" s="43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8"/>
      <c r="AK16" s="55"/>
      <c r="AL16" s="66">
        <f t="shared" si="4"/>
        <v>0</v>
      </c>
      <c r="AM16" s="28" t="str">
        <f t="shared" si="2"/>
        <v>OK</v>
      </c>
    </row>
    <row r="17" spans="1:39" customFormat="1" hidden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135"/>
      <c r="I17" s="21">
        <f t="shared" si="3"/>
        <v>0</v>
      </c>
      <c r="J17" s="21"/>
      <c r="K17" s="16"/>
      <c r="L17" s="21"/>
      <c r="M17" s="21"/>
      <c r="N17" s="21"/>
      <c r="O17" s="21"/>
      <c r="P17" s="21"/>
      <c r="Q17" s="21"/>
      <c r="R17" s="21"/>
      <c r="S17" s="21"/>
      <c r="T17" s="42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4"/>
      <c r="AJ17" s="57"/>
      <c r="AK17" s="54"/>
      <c r="AL17" s="65">
        <f t="shared" si="4"/>
        <v>0</v>
      </c>
      <c r="AM17" s="22" t="str">
        <f t="shared" si="2"/>
        <v>OK</v>
      </c>
    </row>
    <row r="18" spans="1:39" customFormat="1" hidden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36"/>
      <c r="I18" s="27">
        <f t="shared" si="3"/>
        <v>0</v>
      </c>
      <c r="J18" s="27"/>
      <c r="K18" s="16"/>
      <c r="L18" s="27"/>
      <c r="M18" s="27"/>
      <c r="N18" s="27"/>
      <c r="O18" s="27"/>
      <c r="P18" s="27"/>
      <c r="Q18" s="27"/>
      <c r="R18" s="27"/>
      <c r="S18" s="27"/>
      <c r="T18" s="43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8"/>
      <c r="AK18" s="55"/>
      <c r="AL18" s="66">
        <f t="shared" si="4"/>
        <v>0</v>
      </c>
      <c r="AM18" s="28" t="str">
        <f t="shared" si="2"/>
        <v>OK</v>
      </c>
    </row>
    <row r="19" spans="1:39" customFormat="1" hidden="1">
      <c r="A19" s="17" t="s">
        <v>91</v>
      </c>
      <c r="B19" s="77">
        <v>14988</v>
      </c>
      <c r="C19" s="17" t="s">
        <v>64</v>
      </c>
      <c r="D19" s="69"/>
      <c r="E19" s="18"/>
      <c r="F19" s="18"/>
      <c r="G19" s="19"/>
      <c r="H19" s="135">
        <f>1920+720+4440+3840</f>
        <v>10920</v>
      </c>
      <c r="I19" s="21">
        <f t="shared" si="3"/>
        <v>0</v>
      </c>
      <c r="J19" s="21"/>
      <c r="K19" s="16"/>
      <c r="L19" s="21"/>
      <c r="M19" s="21"/>
      <c r="N19" s="21"/>
      <c r="O19" s="21"/>
      <c r="P19" s="21"/>
      <c r="Q19" s="21"/>
      <c r="R19" s="21"/>
      <c r="S19" s="21"/>
      <c r="T19" s="42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4"/>
      <c r="AJ19" s="57"/>
      <c r="AK19" s="54"/>
      <c r="AL19" s="65">
        <f t="shared" si="4"/>
        <v>0</v>
      </c>
      <c r="AM19" s="22" t="str">
        <f t="shared" si="2"/>
        <v>OK</v>
      </c>
    </row>
    <row r="20" spans="1:39" customFormat="1" hidden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136"/>
      <c r="I20" s="27">
        <f t="shared" si="3"/>
        <v>0</v>
      </c>
      <c r="J20" s="27"/>
      <c r="K20" s="16"/>
      <c r="L20" s="27"/>
      <c r="M20" s="27"/>
      <c r="N20" s="27"/>
      <c r="O20" s="27"/>
      <c r="P20" s="27"/>
      <c r="Q20" s="27"/>
      <c r="R20" s="27"/>
      <c r="S20" s="27"/>
      <c r="T20" s="43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8"/>
      <c r="AK20" s="55"/>
      <c r="AL20" s="66">
        <f t="shared" si="4"/>
        <v>0</v>
      </c>
      <c r="AM20" s="28" t="str">
        <f t="shared" si="2"/>
        <v>OK</v>
      </c>
    </row>
    <row r="21" spans="1:39" customFormat="1" hidden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135"/>
      <c r="I21" s="21">
        <f t="shared" si="3"/>
        <v>0</v>
      </c>
      <c r="J21" s="21"/>
      <c r="K21" s="16"/>
      <c r="L21" s="21"/>
      <c r="M21" s="21"/>
      <c r="N21" s="21"/>
      <c r="O21" s="21"/>
      <c r="P21" s="21"/>
      <c r="Q21" s="21"/>
      <c r="R21" s="21"/>
      <c r="S21" s="21"/>
      <c r="T21" s="4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4"/>
      <c r="AJ21" s="57"/>
      <c r="AK21" s="54"/>
      <c r="AL21" s="65">
        <f t="shared" si="4"/>
        <v>0</v>
      </c>
      <c r="AM21" s="22" t="str">
        <f t="shared" si="2"/>
        <v>OK</v>
      </c>
    </row>
    <row r="22" spans="1:39" customFormat="1" hidden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36"/>
      <c r="I22" s="27">
        <f t="shared" si="3"/>
        <v>0</v>
      </c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43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5"/>
      <c r="AJ22" s="58"/>
      <c r="AK22" s="55"/>
      <c r="AL22" s="66">
        <f t="shared" si="4"/>
        <v>0</v>
      </c>
      <c r="AM22" s="28" t="str">
        <f t="shared" si="2"/>
        <v>OK</v>
      </c>
    </row>
    <row r="23" spans="1:39" customFormat="1" hidden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135"/>
      <c r="I23" s="21">
        <f t="shared" si="3"/>
        <v>0</v>
      </c>
      <c r="J23" s="21"/>
      <c r="K23" s="16"/>
      <c r="L23" s="21"/>
      <c r="M23" s="21"/>
      <c r="N23" s="21"/>
      <c r="O23" s="21"/>
      <c r="P23" s="21"/>
      <c r="Q23" s="21"/>
      <c r="R23" s="21"/>
      <c r="S23" s="21"/>
      <c r="T23" s="42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7"/>
      <c r="AK23" s="54"/>
      <c r="AL23" s="65">
        <f>SUM(L23:AK23)</f>
        <v>0</v>
      </c>
      <c r="AM23" s="22" t="str">
        <f t="shared" si="2"/>
        <v>OK</v>
      </c>
    </row>
    <row r="24" spans="1:39" customFormat="1" hidden="1">
      <c r="A24" s="68" t="s">
        <v>44</v>
      </c>
      <c r="B24" s="78">
        <v>10163</v>
      </c>
      <c r="C24" s="23" t="s">
        <v>45</v>
      </c>
      <c r="D24" s="24"/>
      <c r="E24" s="24"/>
      <c r="F24" s="24"/>
      <c r="G24" s="25"/>
      <c r="H24" s="136">
        <v>1344</v>
      </c>
      <c r="I24" s="27">
        <f t="shared" si="3"/>
        <v>0</v>
      </c>
      <c r="J24" s="27"/>
      <c r="K24" s="16"/>
      <c r="L24" s="27"/>
      <c r="M24" s="27"/>
      <c r="N24" s="27"/>
      <c r="O24" s="27"/>
      <c r="P24" s="27"/>
      <c r="Q24" s="27"/>
      <c r="R24" s="27"/>
      <c r="S24" s="27"/>
      <c r="T24" s="43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5"/>
      <c r="AJ24" s="58"/>
      <c r="AK24" s="55"/>
      <c r="AL24" s="66">
        <f t="shared" si="4"/>
        <v>0</v>
      </c>
      <c r="AM24" s="28" t="str">
        <f t="shared" si="2"/>
        <v>OK</v>
      </c>
    </row>
    <row r="25" spans="1:39" customFormat="1" hidden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135"/>
      <c r="I25" s="21">
        <f t="shared" si="3"/>
        <v>0</v>
      </c>
      <c r="J25" s="21"/>
      <c r="K25" s="16"/>
      <c r="L25" s="21"/>
      <c r="M25" s="21"/>
      <c r="N25" s="21"/>
      <c r="O25" s="21"/>
      <c r="P25" s="21"/>
      <c r="Q25" s="21"/>
      <c r="R25" s="21"/>
      <c r="S25" s="21"/>
      <c r="T25" s="42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4"/>
      <c r="AJ25" s="57"/>
      <c r="AK25" s="54"/>
      <c r="AL25" s="65">
        <f t="shared" si="4"/>
        <v>0</v>
      </c>
      <c r="AM25" s="22" t="str">
        <f t="shared" si="2"/>
        <v>OK</v>
      </c>
    </row>
    <row r="26" spans="1:39" customFormat="1" hidden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36"/>
      <c r="I26" s="27">
        <f t="shared" si="3"/>
        <v>0</v>
      </c>
      <c r="J26" s="27"/>
      <c r="K26" s="16"/>
      <c r="L26" s="27"/>
      <c r="M26" s="27"/>
      <c r="N26" s="27"/>
      <c r="O26" s="27"/>
      <c r="P26" s="27"/>
      <c r="Q26" s="27"/>
      <c r="R26" s="27"/>
      <c r="S26" s="27"/>
      <c r="T26" s="43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8"/>
      <c r="AK26" s="55"/>
      <c r="AL26" s="66">
        <f t="shared" si="4"/>
        <v>0</v>
      </c>
      <c r="AM26" s="28" t="str">
        <f t="shared" si="2"/>
        <v>OK</v>
      </c>
    </row>
    <row r="27" spans="1:39" customFormat="1" hidden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135"/>
      <c r="I27" s="21">
        <f t="shared" si="3"/>
        <v>0</v>
      </c>
      <c r="J27" s="21"/>
      <c r="K27" s="16"/>
      <c r="L27" s="21"/>
      <c r="M27" s="21"/>
      <c r="N27" s="21"/>
      <c r="O27" s="21"/>
      <c r="P27" s="21"/>
      <c r="Q27" s="21"/>
      <c r="R27" s="21"/>
      <c r="S27" s="21"/>
      <c r="T27" s="4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7"/>
      <c r="AK27" s="54"/>
      <c r="AL27" s="65">
        <f t="shared" si="4"/>
        <v>0</v>
      </c>
      <c r="AM27" s="22" t="str">
        <f t="shared" si="2"/>
        <v>OK</v>
      </c>
    </row>
    <row r="28" spans="1:39" customFormat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136">
        <f>624+208</f>
        <v>832</v>
      </c>
      <c r="I28" s="27">
        <f t="shared" si="3"/>
        <v>1</v>
      </c>
      <c r="J28" s="27"/>
      <c r="K28" s="16"/>
      <c r="L28" s="27"/>
      <c r="M28" s="27"/>
      <c r="N28" s="27"/>
      <c r="O28" s="27"/>
      <c r="P28" s="27"/>
      <c r="Q28" s="27"/>
      <c r="R28" s="27"/>
      <c r="S28" s="27"/>
      <c r="T28" s="43"/>
      <c r="U28" s="52"/>
      <c r="V28" s="52"/>
      <c r="W28" s="52"/>
      <c r="X28" s="52"/>
      <c r="Y28" s="52">
        <v>1</v>
      </c>
      <c r="Z28" s="52"/>
      <c r="AA28" s="52"/>
      <c r="AB28" s="52"/>
      <c r="AC28" s="52"/>
      <c r="AD28" s="52"/>
      <c r="AE28" s="52"/>
      <c r="AF28" s="52"/>
      <c r="AG28" s="52"/>
      <c r="AH28" s="52"/>
      <c r="AI28" s="55"/>
      <c r="AJ28" s="58"/>
      <c r="AK28" s="55"/>
      <c r="AL28" s="66">
        <f t="shared" si="4"/>
        <v>1</v>
      </c>
      <c r="AM28" s="28" t="str">
        <f t="shared" si="2"/>
        <v>OK</v>
      </c>
    </row>
    <row r="29" spans="1:39" customFormat="1">
      <c r="A29" s="80" t="s">
        <v>71</v>
      </c>
      <c r="B29" s="77">
        <v>10151</v>
      </c>
      <c r="C29" s="17" t="s">
        <v>51</v>
      </c>
      <c r="D29" s="69"/>
      <c r="E29" s="18"/>
      <c r="F29" s="18"/>
      <c r="G29" s="19"/>
      <c r="H29" s="135">
        <v>1320</v>
      </c>
      <c r="I29" s="21">
        <f t="shared" si="3"/>
        <v>3</v>
      </c>
      <c r="J29" s="21"/>
      <c r="K29" s="16"/>
      <c r="L29" s="21">
        <v>2</v>
      </c>
      <c r="M29" s="21"/>
      <c r="N29" s="21"/>
      <c r="O29" s="21"/>
      <c r="P29" s="21"/>
      <c r="Q29" s="21"/>
      <c r="R29" s="21"/>
      <c r="S29" s="21"/>
      <c r="T29" s="42"/>
      <c r="U29" s="51"/>
      <c r="V29" s="51"/>
      <c r="W29" s="51"/>
      <c r="X29" s="51"/>
      <c r="Y29" s="51"/>
      <c r="Z29" s="51"/>
      <c r="AA29" s="51"/>
      <c r="AB29" s="51"/>
      <c r="AC29" s="51">
        <v>1</v>
      </c>
      <c r="AD29" s="51"/>
      <c r="AE29" s="51"/>
      <c r="AF29" s="51"/>
      <c r="AG29" s="51"/>
      <c r="AH29" s="51"/>
      <c r="AI29" s="54"/>
      <c r="AJ29" s="57"/>
      <c r="AK29" s="54"/>
      <c r="AL29" s="65">
        <f t="shared" si="4"/>
        <v>3</v>
      </c>
      <c r="AM29" s="22" t="str">
        <f t="shared" si="2"/>
        <v>OK</v>
      </c>
    </row>
    <row r="30" spans="1:39" customFormat="1" hidden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137">
        <v>1368</v>
      </c>
      <c r="I30" s="27">
        <f t="shared" si="3"/>
        <v>0</v>
      </c>
      <c r="J30" s="27"/>
      <c r="K30" s="16"/>
      <c r="L30" s="27"/>
      <c r="M30" s="27"/>
      <c r="N30" s="27"/>
      <c r="O30" s="27"/>
      <c r="P30" s="27"/>
      <c r="Q30" s="27"/>
      <c r="R30" s="27"/>
      <c r="S30" s="27"/>
      <c r="T30" s="43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5"/>
      <c r="AJ30" s="58"/>
      <c r="AK30" s="55"/>
      <c r="AL30" s="66">
        <f t="shared" si="4"/>
        <v>0</v>
      </c>
      <c r="AM30" s="28" t="str">
        <f t="shared" si="2"/>
        <v>OK</v>
      </c>
    </row>
    <row r="31" spans="1:39" customFormat="1" hidden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135"/>
      <c r="I31" s="21">
        <f t="shared" si="3"/>
        <v>0</v>
      </c>
      <c r="J31" s="21"/>
      <c r="K31" s="16"/>
      <c r="L31" s="21"/>
      <c r="M31" s="21"/>
      <c r="N31" s="21"/>
      <c r="O31" s="21"/>
      <c r="P31" s="21"/>
      <c r="Q31" s="21"/>
      <c r="R31" s="21"/>
      <c r="S31" s="21"/>
      <c r="T31" s="4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7"/>
      <c r="AK31" s="54"/>
      <c r="AL31" s="65">
        <f t="shared" si="4"/>
        <v>0</v>
      </c>
      <c r="AM31" s="22" t="str">
        <f t="shared" si="2"/>
        <v>OK</v>
      </c>
    </row>
    <row r="32" spans="1:39" customFormat="1" hidden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136"/>
      <c r="I32" s="27">
        <f t="shared" si="3"/>
        <v>0</v>
      </c>
      <c r="J32" s="27"/>
      <c r="K32" s="16"/>
      <c r="L32" s="27"/>
      <c r="M32" s="27"/>
      <c r="N32" s="27"/>
      <c r="O32" s="27"/>
      <c r="P32" s="27"/>
      <c r="Q32" s="27"/>
      <c r="R32" s="27"/>
      <c r="S32" s="27"/>
      <c r="T32" s="43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5"/>
      <c r="AJ32" s="58"/>
      <c r="AK32" s="55"/>
      <c r="AL32" s="66">
        <f t="shared" si="4"/>
        <v>0</v>
      </c>
      <c r="AM32" s="28" t="str">
        <f t="shared" si="2"/>
        <v>OK</v>
      </c>
    </row>
    <row r="33" spans="1:39" customFormat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135">
        <f>1300+648+1770</f>
        <v>3718</v>
      </c>
      <c r="I33" s="21">
        <f t="shared" si="3"/>
        <v>1</v>
      </c>
      <c r="J33" s="21"/>
      <c r="K33" s="16"/>
      <c r="L33" s="21"/>
      <c r="M33" s="21">
        <v>1</v>
      </c>
      <c r="N33" s="21"/>
      <c r="O33" s="21"/>
      <c r="P33" s="21"/>
      <c r="Q33" s="21"/>
      <c r="R33" s="21"/>
      <c r="S33" s="21"/>
      <c r="T33" s="42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4"/>
      <c r="AJ33" s="57"/>
      <c r="AK33" s="54"/>
      <c r="AL33" s="65">
        <f t="shared" si="4"/>
        <v>1</v>
      </c>
      <c r="AM33" s="22" t="str">
        <f t="shared" si="2"/>
        <v>OK</v>
      </c>
    </row>
    <row r="34" spans="1:39" customFormat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136">
        <v>1100</v>
      </c>
      <c r="I34" s="27">
        <f t="shared" si="3"/>
        <v>12</v>
      </c>
      <c r="J34" s="27"/>
      <c r="K34" s="16"/>
      <c r="L34" s="27">
        <v>7</v>
      </c>
      <c r="M34" s="27"/>
      <c r="N34" s="27"/>
      <c r="O34" s="27"/>
      <c r="P34" s="27"/>
      <c r="Q34" s="27"/>
      <c r="R34" s="27"/>
      <c r="S34" s="27"/>
      <c r="T34" s="43"/>
      <c r="U34" s="52"/>
      <c r="V34" s="52"/>
      <c r="W34" s="52"/>
      <c r="X34" s="52"/>
      <c r="Y34" s="52"/>
      <c r="Z34" s="52"/>
      <c r="AA34" s="52"/>
      <c r="AB34" s="52"/>
      <c r="AC34" s="52">
        <v>5</v>
      </c>
      <c r="AD34" s="52"/>
      <c r="AE34" s="52"/>
      <c r="AF34" s="52"/>
      <c r="AG34" s="52"/>
      <c r="AH34" s="52"/>
      <c r="AI34" s="55"/>
      <c r="AJ34" s="58"/>
      <c r="AK34" s="55"/>
      <c r="AL34" s="66">
        <f t="shared" si="4"/>
        <v>12</v>
      </c>
      <c r="AM34" s="28" t="str">
        <f t="shared" si="2"/>
        <v>OK</v>
      </c>
    </row>
    <row r="35" spans="1:39" customFormat="1" hidden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135"/>
      <c r="I35" s="21">
        <f t="shared" si="3"/>
        <v>0</v>
      </c>
      <c r="J35" s="21"/>
      <c r="K35" s="16"/>
      <c r="L35" s="21"/>
      <c r="M35" s="21"/>
      <c r="N35" s="21"/>
      <c r="O35" s="21"/>
      <c r="P35" s="21"/>
      <c r="Q35" s="21"/>
      <c r="R35" s="21"/>
      <c r="S35" s="21"/>
      <c r="T35" s="42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4"/>
      <c r="AJ35" s="57"/>
      <c r="AK35" s="54"/>
      <c r="AL35" s="65">
        <f t="shared" si="4"/>
        <v>0</v>
      </c>
      <c r="AM35" s="22" t="str">
        <f t="shared" si="2"/>
        <v>OK</v>
      </c>
    </row>
    <row r="36" spans="1:39" customFormat="1" hidden="1">
      <c r="A36" s="68" t="s">
        <v>76</v>
      </c>
      <c r="B36" s="78">
        <v>10135</v>
      </c>
      <c r="C36" s="23" t="s">
        <v>56</v>
      </c>
      <c r="D36" s="24"/>
      <c r="E36" s="24"/>
      <c r="F36" s="24"/>
      <c r="G36" s="25"/>
      <c r="H36" s="136"/>
      <c r="I36" s="27">
        <f t="shared" si="3"/>
        <v>0</v>
      </c>
      <c r="J36" s="27"/>
      <c r="K36" s="16"/>
      <c r="L36" s="27"/>
      <c r="M36" s="27"/>
      <c r="N36" s="27"/>
      <c r="O36" s="27"/>
      <c r="P36" s="27"/>
      <c r="Q36" s="27"/>
      <c r="R36" s="27"/>
      <c r="S36" s="27"/>
      <c r="T36" s="43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5"/>
      <c r="AJ36" s="58"/>
      <c r="AK36" s="55"/>
      <c r="AL36" s="66">
        <f t="shared" si="4"/>
        <v>0</v>
      </c>
      <c r="AM36" s="28" t="str">
        <f t="shared" si="2"/>
        <v>OK</v>
      </c>
    </row>
    <row r="37" spans="1:39" customFormat="1" hidden="1">
      <c r="A37" s="80" t="s">
        <v>77</v>
      </c>
      <c r="B37" s="77">
        <v>10133</v>
      </c>
      <c r="C37" s="17" t="s">
        <v>55</v>
      </c>
      <c r="D37" s="69"/>
      <c r="E37" s="18"/>
      <c r="F37" s="18"/>
      <c r="G37" s="19"/>
      <c r="H37" s="135"/>
      <c r="I37" s="21">
        <f t="shared" si="3"/>
        <v>0</v>
      </c>
      <c r="J37" s="21"/>
      <c r="K37" s="16"/>
      <c r="L37" s="21"/>
      <c r="M37" s="21"/>
      <c r="N37" s="21"/>
      <c r="O37" s="21"/>
      <c r="P37" s="21"/>
      <c r="Q37" s="21"/>
      <c r="R37" s="21"/>
      <c r="S37" s="21"/>
      <c r="T37" s="42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4"/>
      <c r="AJ37" s="57"/>
      <c r="AK37" s="54"/>
      <c r="AL37" s="65">
        <f t="shared" si="4"/>
        <v>0</v>
      </c>
      <c r="AM37" s="22" t="str">
        <f t="shared" si="2"/>
        <v>OK</v>
      </c>
    </row>
    <row r="38" spans="1:39" customFormat="1" hidden="1">
      <c r="A38" s="68" t="s">
        <v>78</v>
      </c>
      <c r="B38" s="78">
        <v>10131</v>
      </c>
      <c r="C38" s="23" t="s">
        <v>162</v>
      </c>
      <c r="D38" s="24"/>
      <c r="E38" s="24"/>
      <c r="F38" s="24"/>
      <c r="G38" s="25"/>
      <c r="H38" s="136"/>
      <c r="I38" s="27">
        <f t="shared" si="3"/>
        <v>0</v>
      </c>
      <c r="J38" s="27"/>
      <c r="K38" s="16"/>
      <c r="L38" s="27"/>
      <c r="M38" s="27"/>
      <c r="N38" s="27"/>
      <c r="O38" s="27"/>
      <c r="P38" s="27"/>
      <c r="Q38" s="27"/>
      <c r="R38" s="27"/>
      <c r="S38" s="27"/>
      <c r="T38" s="43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5"/>
      <c r="AJ38" s="58"/>
      <c r="AK38" s="55"/>
      <c r="AL38" s="66">
        <f t="shared" ref="AL38:AL50" si="5">SUM(L38:AK38)</f>
        <v>0</v>
      </c>
      <c r="AM38" s="28" t="str">
        <f t="shared" si="2"/>
        <v>OK</v>
      </c>
    </row>
    <row r="39" spans="1:39" customFormat="1">
      <c r="A39" s="17" t="s">
        <v>79</v>
      </c>
      <c r="B39" s="77">
        <v>10129</v>
      </c>
      <c r="C39" s="17" t="s">
        <v>57</v>
      </c>
      <c r="D39" s="69"/>
      <c r="E39" s="18"/>
      <c r="F39" s="18"/>
      <c r="G39" s="19"/>
      <c r="H39" s="135">
        <f>1400+290+1150</f>
        <v>2840</v>
      </c>
      <c r="I39" s="21">
        <f t="shared" si="3"/>
        <v>1</v>
      </c>
      <c r="J39" s="21"/>
      <c r="K39" s="16"/>
      <c r="L39" s="21">
        <v>1</v>
      </c>
      <c r="M39" s="21"/>
      <c r="N39" s="21"/>
      <c r="O39" s="21"/>
      <c r="P39" s="21"/>
      <c r="Q39" s="21"/>
      <c r="R39" s="21"/>
      <c r="S39" s="21"/>
      <c r="T39" s="42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4"/>
      <c r="AJ39" s="57"/>
      <c r="AK39" s="54"/>
      <c r="AL39" s="65">
        <f t="shared" si="5"/>
        <v>1</v>
      </c>
      <c r="AM39" s="22" t="str">
        <f t="shared" si="2"/>
        <v>OK</v>
      </c>
    </row>
    <row r="40" spans="1:39" customFormat="1" hidden="1">
      <c r="A40" s="68" t="s">
        <v>80</v>
      </c>
      <c r="B40" s="78">
        <v>10127</v>
      </c>
      <c r="C40" s="23" t="s">
        <v>58</v>
      </c>
      <c r="D40" s="24"/>
      <c r="E40" s="24"/>
      <c r="F40" s="24"/>
      <c r="G40" s="25"/>
      <c r="H40" s="136"/>
      <c r="I40" s="27">
        <f t="shared" si="3"/>
        <v>0</v>
      </c>
      <c r="J40" s="27"/>
      <c r="K40" s="16"/>
      <c r="L40" s="27"/>
      <c r="M40" s="27"/>
      <c r="N40" s="27"/>
      <c r="O40" s="27"/>
      <c r="P40" s="27"/>
      <c r="Q40" s="27"/>
      <c r="R40" s="27"/>
      <c r="S40" s="27"/>
      <c r="T40" s="43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5"/>
      <c r="AJ40" s="58"/>
      <c r="AK40" s="55"/>
      <c r="AL40" s="66">
        <f t="shared" si="5"/>
        <v>0</v>
      </c>
      <c r="AM40" s="28" t="str">
        <f t="shared" si="2"/>
        <v>OK</v>
      </c>
    </row>
    <row r="41" spans="1:39" customFormat="1" hidden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135"/>
      <c r="I41" s="21">
        <f t="shared" si="3"/>
        <v>0</v>
      </c>
      <c r="J41" s="21"/>
      <c r="K41" s="16"/>
      <c r="L41" s="21"/>
      <c r="M41" s="21"/>
      <c r="N41" s="21"/>
      <c r="O41" s="21"/>
      <c r="P41" s="21"/>
      <c r="Q41" s="21"/>
      <c r="R41" s="21"/>
      <c r="S41" s="21"/>
      <c r="T41" s="4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4"/>
      <c r="AJ41" s="57"/>
      <c r="AK41" s="54"/>
      <c r="AL41" s="65">
        <f t="shared" si="5"/>
        <v>0</v>
      </c>
      <c r="AM41" s="22" t="str">
        <f t="shared" si="2"/>
        <v>OK</v>
      </c>
    </row>
    <row r="42" spans="1:39" customFormat="1" hidden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136"/>
      <c r="I42" s="27">
        <f t="shared" si="3"/>
        <v>0</v>
      </c>
      <c r="J42" s="27"/>
      <c r="K42" s="16"/>
      <c r="L42" s="27"/>
      <c r="M42" s="27"/>
      <c r="N42" s="27"/>
      <c r="O42" s="27"/>
      <c r="P42" s="27"/>
      <c r="Q42" s="27"/>
      <c r="R42" s="27"/>
      <c r="S42" s="27"/>
      <c r="T42" s="43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5"/>
      <c r="AJ42" s="58"/>
      <c r="AK42" s="55"/>
      <c r="AL42" s="66">
        <f t="shared" si="5"/>
        <v>0</v>
      </c>
      <c r="AM42" s="28" t="str">
        <f t="shared" si="2"/>
        <v>OK</v>
      </c>
    </row>
    <row r="43" spans="1:39" customFormat="1" hidden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135"/>
      <c r="I43" s="21">
        <f t="shared" si="3"/>
        <v>0</v>
      </c>
      <c r="J43" s="21"/>
      <c r="K43" s="16"/>
      <c r="L43" s="21"/>
      <c r="M43" s="21"/>
      <c r="N43" s="21"/>
      <c r="O43" s="21"/>
      <c r="P43" s="21"/>
      <c r="Q43" s="21"/>
      <c r="R43" s="21"/>
      <c r="S43" s="21"/>
      <c r="T43" s="42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4"/>
      <c r="AJ43" s="57"/>
      <c r="AK43" s="54"/>
      <c r="AL43" s="65">
        <f t="shared" si="5"/>
        <v>0</v>
      </c>
      <c r="AM43" s="22" t="str">
        <f t="shared" si="2"/>
        <v>OK</v>
      </c>
    </row>
    <row r="44" spans="1:39" customFormat="1" hidden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136"/>
      <c r="I44" s="27">
        <f t="shared" si="3"/>
        <v>0</v>
      </c>
      <c r="J44" s="27"/>
      <c r="K44" s="16"/>
      <c r="L44" s="27"/>
      <c r="M44" s="27"/>
      <c r="N44" s="27"/>
      <c r="O44" s="27"/>
      <c r="P44" s="27"/>
      <c r="Q44" s="27"/>
      <c r="R44" s="27"/>
      <c r="S44" s="27"/>
      <c r="T44" s="43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5"/>
      <c r="AJ44" s="58"/>
      <c r="AK44" s="55"/>
      <c r="AL44" s="66">
        <f t="shared" si="5"/>
        <v>0</v>
      </c>
      <c r="AM44" s="28" t="str">
        <f t="shared" si="2"/>
        <v>OK</v>
      </c>
    </row>
    <row r="45" spans="1:39" customFormat="1" hidden="1">
      <c r="A45" s="17" t="s">
        <v>107</v>
      </c>
      <c r="B45" s="77">
        <v>13467</v>
      </c>
      <c r="C45" s="17" t="s">
        <v>87</v>
      </c>
      <c r="D45" s="69"/>
      <c r="E45" s="18"/>
      <c r="F45" s="18"/>
      <c r="G45" s="19"/>
      <c r="H45" s="135">
        <v>756</v>
      </c>
      <c r="I45" s="21">
        <f t="shared" si="3"/>
        <v>0</v>
      </c>
      <c r="J45" s="21"/>
      <c r="K45" s="16"/>
      <c r="L45" s="21"/>
      <c r="M45" s="21"/>
      <c r="N45" s="21"/>
      <c r="O45" s="21"/>
      <c r="P45" s="21"/>
      <c r="Q45" s="21"/>
      <c r="R45" s="21"/>
      <c r="S45" s="21"/>
      <c r="T45" s="4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4"/>
      <c r="AJ45" s="57"/>
      <c r="AK45" s="54"/>
      <c r="AL45" s="65">
        <f t="shared" si="5"/>
        <v>0</v>
      </c>
      <c r="AM45" s="22" t="str">
        <f t="shared" si="2"/>
        <v>OK</v>
      </c>
    </row>
    <row r="46" spans="1:39" customFormat="1" hidden="1">
      <c r="A46" s="68" t="s">
        <v>111</v>
      </c>
      <c r="B46" s="78">
        <v>15948</v>
      </c>
      <c r="C46" s="23" t="s">
        <v>87</v>
      </c>
      <c r="D46" s="24"/>
      <c r="E46" s="24"/>
      <c r="F46" s="24"/>
      <c r="G46" s="25"/>
      <c r="H46" s="136"/>
      <c r="I46" s="27">
        <f t="shared" si="3"/>
        <v>0</v>
      </c>
      <c r="J46" s="27"/>
      <c r="K46" s="16"/>
      <c r="L46" s="27"/>
      <c r="M46" s="27"/>
      <c r="N46" s="27"/>
      <c r="O46" s="27"/>
      <c r="P46" s="27"/>
      <c r="Q46" s="27"/>
      <c r="R46" s="27"/>
      <c r="S46" s="27"/>
      <c r="T46" s="43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5"/>
      <c r="AJ46" s="58"/>
      <c r="AK46" s="55"/>
      <c r="AL46" s="66">
        <f t="shared" si="5"/>
        <v>0</v>
      </c>
      <c r="AM46" s="28" t="str">
        <f t="shared" si="2"/>
        <v>OK</v>
      </c>
    </row>
    <row r="47" spans="1:39" customFormat="1" hidden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135"/>
      <c r="I47" s="21">
        <f t="shared" si="3"/>
        <v>0</v>
      </c>
      <c r="J47" s="21"/>
      <c r="K47" s="16"/>
      <c r="L47" s="21"/>
      <c r="M47" s="21"/>
      <c r="N47" s="21"/>
      <c r="O47" s="21"/>
      <c r="P47" s="21"/>
      <c r="Q47" s="21"/>
      <c r="R47" s="21"/>
      <c r="S47" s="21"/>
      <c r="T47" s="42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4"/>
      <c r="AJ47" s="57"/>
      <c r="AK47" s="54"/>
      <c r="AL47" s="65">
        <f t="shared" si="5"/>
        <v>0</v>
      </c>
      <c r="AM47" s="22" t="str">
        <f t="shared" si="2"/>
        <v>OK</v>
      </c>
    </row>
    <row r="48" spans="1:39" customFormat="1" hidden="1">
      <c r="A48" s="68" t="s">
        <v>121</v>
      </c>
      <c r="B48" s="78">
        <v>16598</v>
      </c>
      <c r="C48" s="23" t="s">
        <v>87</v>
      </c>
      <c r="D48" s="24"/>
      <c r="E48" s="24"/>
      <c r="F48" s="24"/>
      <c r="G48" s="25"/>
      <c r="H48" s="136">
        <v>503</v>
      </c>
      <c r="I48" s="27">
        <f t="shared" si="3"/>
        <v>0</v>
      </c>
      <c r="J48" s="27"/>
      <c r="K48" s="16"/>
      <c r="L48" s="27"/>
      <c r="M48" s="27"/>
      <c r="N48" s="27"/>
      <c r="O48" s="27"/>
      <c r="P48" s="27"/>
      <c r="Q48" s="27"/>
      <c r="R48" s="27"/>
      <c r="S48" s="27"/>
      <c r="T48" s="43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5"/>
      <c r="AJ48" s="58"/>
      <c r="AK48" s="55"/>
      <c r="AL48" s="66">
        <f t="shared" si="5"/>
        <v>0</v>
      </c>
      <c r="AM48" s="28" t="str">
        <f t="shared" si="2"/>
        <v>OK</v>
      </c>
    </row>
    <row r="49" spans="1:39" customFormat="1" hidden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135"/>
      <c r="I49" s="21">
        <f t="shared" si="3"/>
        <v>0</v>
      </c>
      <c r="J49" s="21"/>
      <c r="K49" s="16"/>
      <c r="L49" s="21"/>
      <c r="M49" s="21"/>
      <c r="N49" s="21"/>
      <c r="O49" s="21"/>
      <c r="P49" s="21"/>
      <c r="Q49" s="21"/>
      <c r="R49" s="21"/>
      <c r="S49" s="21"/>
      <c r="T49" s="4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4"/>
      <c r="AJ49" s="57"/>
      <c r="AK49" s="54"/>
      <c r="AL49" s="65">
        <f t="shared" si="5"/>
        <v>0</v>
      </c>
      <c r="AM49" s="22" t="str">
        <f t="shared" si="2"/>
        <v>OK</v>
      </c>
    </row>
    <row r="50" spans="1:39" customFormat="1" hidden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136"/>
      <c r="I50" s="27">
        <f t="shared" si="3"/>
        <v>0</v>
      </c>
      <c r="J50" s="27"/>
      <c r="K50" s="16"/>
      <c r="L50" s="27"/>
      <c r="M50" s="27"/>
      <c r="N50" s="27"/>
      <c r="O50" s="27"/>
      <c r="P50" s="27"/>
      <c r="Q50" s="27"/>
      <c r="R50" s="27"/>
      <c r="S50" s="27"/>
      <c r="T50" s="43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8"/>
      <c r="AK50" s="55"/>
      <c r="AL50" s="66">
        <f t="shared" si="5"/>
        <v>0</v>
      </c>
      <c r="AM50" s="28" t="str">
        <f t="shared" si="2"/>
        <v>OK</v>
      </c>
    </row>
    <row r="51" spans="1:39" customFormat="1" hidden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135"/>
      <c r="I51" s="21">
        <f t="shared" si="3"/>
        <v>0</v>
      </c>
      <c r="J51" s="21"/>
      <c r="K51" s="16"/>
      <c r="L51" s="21"/>
      <c r="M51" s="21"/>
      <c r="N51" s="21"/>
      <c r="O51" s="21"/>
      <c r="P51" s="21"/>
      <c r="Q51" s="21"/>
      <c r="R51" s="21"/>
      <c r="S51" s="21"/>
      <c r="T51" s="4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4"/>
      <c r="AJ51" s="57"/>
      <c r="AK51" s="54"/>
      <c r="AL51" s="65">
        <f>SUM(L51:AK51)</f>
        <v>0</v>
      </c>
      <c r="AM51" s="22" t="str">
        <f t="shared" si="2"/>
        <v>OK</v>
      </c>
    </row>
    <row r="52" spans="1:39" customFormat="1" hidden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136"/>
      <c r="I52" s="27">
        <f t="shared" si="3"/>
        <v>0</v>
      </c>
      <c r="J52" s="27"/>
      <c r="K52" s="16"/>
      <c r="L52" s="27"/>
      <c r="M52" s="27"/>
      <c r="N52" s="27"/>
      <c r="O52" s="27"/>
      <c r="P52" s="27"/>
      <c r="Q52" s="27"/>
      <c r="R52" s="27"/>
      <c r="S52" s="27"/>
      <c r="T52" s="43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5"/>
      <c r="AJ52" s="58"/>
      <c r="AK52" s="55"/>
      <c r="AL52" s="66">
        <f t="shared" ref="AL52:AL64" si="6">SUM(L52:AK52)</f>
        <v>0</v>
      </c>
      <c r="AM52" s="28" t="str">
        <f t="shared" si="2"/>
        <v>OK</v>
      </c>
    </row>
    <row r="53" spans="1:39" customFormat="1" hidden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135"/>
      <c r="I53" s="21">
        <f t="shared" si="3"/>
        <v>0</v>
      </c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42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4"/>
      <c r="AJ53" s="57"/>
      <c r="AK53" s="54"/>
      <c r="AL53" s="65">
        <f t="shared" si="6"/>
        <v>0</v>
      </c>
      <c r="AM53" s="22" t="str">
        <f t="shared" si="2"/>
        <v>OK</v>
      </c>
    </row>
    <row r="54" spans="1:39" customFormat="1" hidden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136"/>
      <c r="I54" s="27">
        <f t="shared" si="3"/>
        <v>0</v>
      </c>
      <c r="J54" s="27"/>
      <c r="K54" s="16"/>
      <c r="L54" s="27"/>
      <c r="M54" s="27"/>
      <c r="N54" s="27"/>
      <c r="O54" s="27"/>
      <c r="P54" s="27"/>
      <c r="Q54" s="27"/>
      <c r="R54" s="27"/>
      <c r="S54" s="27"/>
      <c r="T54" s="43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5"/>
      <c r="AJ54" s="58"/>
      <c r="AK54" s="55"/>
      <c r="AL54" s="66">
        <f t="shared" si="6"/>
        <v>0</v>
      </c>
      <c r="AM54" s="28" t="str">
        <f t="shared" si="2"/>
        <v>OK</v>
      </c>
    </row>
    <row r="55" spans="1:39" customFormat="1" hidden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135"/>
      <c r="I55" s="21">
        <f t="shared" si="3"/>
        <v>0</v>
      </c>
      <c r="J55" s="21"/>
      <c r="K55" s="16"/>
      <c r="L55" s="21"/>
      <c r="M55" s="21"/>
      <c r="N55" s="21"/>
      <c r="O55" s="21"/>
      <c r="P55" s="21"/>
      <c r="Q55" s="21"/>
      <c r="R55" s="21"/>
      <c r="S55" s="21"/>
      <c r="T55" s="42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4"/>
      <c r="AJ55" s="57"/>
      <c r="AK55" s="54"/>
      <c r="AL55" s="65">
        <f t="shared" si="6"/>
        <v>0</v>
      </c>
      <c r="AM55" s="22" t="str">
        <f t="shared" si="2"/>
        <v>OK</v>
      </c>
    </row>
    <row r="56" spans="1:39" customFormat="1" hidden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136"/>
      <c r="I56" s="27">
        <f t="shared" si="3"/>
        <v>0</v>
      </c>
      <c r="J56" s="27"/>
      <c r="K56" s="16"/>
      <c r="L56" s="27"/>
      <c r="M56" s="27"/>
      <c r="N56" s="27"/>
      <c r="O56" s="27"/>
      <c r="P56" s="27"/>
      <c r="Q56" s="27"/>
      <c r="R56" s="27"/>
      <c r="S56" s="27"/>
      <c r="T56" s="43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5"/>
      <c r="AJ56" s="58"/>
      <c r="AK56" s="55"/>
      <c r="AL56" s="66">
        <f t="shared" si="6"/>
        <v>0</v>
      </c>
      <c r="AM56" s="28" t="str">
        <f t="shared" si="2"/>
        <v>OK</v>
      </c>
    </row>
    <row r="57" spans="1:39" customFormat="1" hidden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135"/>
      <c r="I57" s="21">
        <f t="shared" si="3"/>
        <v>0</v>
      </c>
      <c r="J57" s="21"/>
      <c r="K57" s="16"/>
      <c r="L57" s="21"/>
      <c r="M57" s="21"/>
      <c r="N57" s="21"/>
      <c r="O57" s="21"/>
      <c r="P57" s="21"/>
      <c r="Q57" s="21"/>
      <c r="R57" s="21"/>
      <c r="S57" s="21"/>
      <c r="T57" s="42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4"/>
      <c r="AJ57" s="57"/>
      <c r="AK57" s="54"/>
      <c r="AL57" s="65">
        <f t="shared" si="6"/>
        <v>0</v>
      </c>
      <c r="AM57" s="22" t="str">
        <f t="shared" si="2"/>
        <v>OK</v>
      </c>
    </row>
    <row r="58" spans="1:39" customFormat="1" hidden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136"/>
      <c r="I58" s="27">
        <f t="shared" si="3"/>
        <v>0</v>
      </c>
      <c r="J58" s="27"/>
      <c r="K58" s="16"/>
      <c r="L58" s="27"/>
      <c r="M58" s="27"/>
      <c r="N58" s="27"/>
      <c r="O58" s="27"/>
      <c r="P58" s="27"/>
      <c r="Q58" s="27"/>
      <c r="R58" s="27"/>
      <c r="S58" s="27"/>
      <c r="T58" s="43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5"/>
      <c r="AJ58" s="58"/>
      <c r="AK58" s="55"/>
      <c r="AL58" s="66">
        <f t="shared" si="6"/>
        <v>0</v>
      </c>
      <c r="AM58" s="28" t="str">
        <f t="shared" si="2"/>
        <v>OK</v>
      </c>
    </row>
    <row r="59" spans="1:39" customFormat="1" hidden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135"/>
      <c r="I59" s="21">
        <f t="shared" si="3"/>
        <v>0</v>
      </c>
      <c r="J59" s="21"/>
      <c r="K59" s="16"/>
      <c r="L59" s="21"/>
      <c r="M59" s="21"/>
      <c r="N59" s="21"/>
      <c r="O59" s="21"/>
      <c r="P59" s="21"/>
      <c r="Q59" s="21"/>
      <c r="R59" s="21"/>
      <c r="S59" s="21"/>
      <c r="T59" s="4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4"/>
      <c r="AJ59" s="57"/>
      <c r="AK59" s="54"/>
      <c r="AL59" s="65">
        <f t="shared" si="6"/>
        <v>0</v>
      </c>
      <c r="AM59" s="22" t="str">
        <f t="shared" si="2"/>
        <v>OK</v>
      </c>
    </row>
    <row r="60" spans="1:39" customFormat="1" ht="17.25" thickBot="1">
      <c r="A60" s="68" t="s">
        <v>84</v>
      </c>
      <c r="B60" s="78">
        <v>11380</v>
      </c>
      <c r="C60" s="23" t="s">
        <v>60</v>
      </c>
      <c r="D60" s="24"/>
      <c r="E60" s="24"/>
      <c r="F60" s="24"/>
      <c r="G60" s="25"/>
      <c r="H60" s="136">
        <f>1300+1080+1010</f>
        <v>3390</v>
      </c>
      <c r="I60" s="27">
        <f t="shared" si="3"/>
        <v>1</v>
      </c>
      <c r="J60" s="27"/>
      <c r="K60" s="16"/>
      <c r="L60" s="27"/>
      <c r="M60" s="27"/>
      <c r="N60" s="27"/>
      <c r="O60" s="27"/>
      <c r="P60" s="27"/>
      <c r="Q60" s="27"/>
      <c r="R60" s="27"/>
      <c r="S60" s="27"/>
      <c r="T60" s="43"/>
      <c r="U60" s="52">
        <v>1</v>
      </c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5"/>
      <c r="AJ60" s="58"/>
      <c r="AK60" s="55"/>
      <c r="AL60" s="66">
        <f t="shared" si="6"/>
        <v>1</v>
      </c>
      <c r="AM60" s="28" t="str">
        <f t="shared" si="2"/>
        <v>OK</v>
      </c>
    </row>
    <row r="61" spans="1:39" customFormat="1" ht="17.25" hidden="1" thickBot="1">
      <c r="A61" s="80" t="s">
        <v>112</v>
      </c>
      <c r="B61" s="77">
        <v>18518</v>
      </c>
      <c r="C61" s="17" t="s">
        <v>87</v>
      </c>
      <c r="D61" s="69"/>
      <c r="E61" s="18"/>
      <c r="F61" s="18"/>
      <c r="G61" s="19"/>
      <c r="H61" s="135">
        <f>1080+1120</f>
        <v>2200</v>
      </c>
      <c r="I61" s="21">
        <f t="shared" si="3"/>
        <v>0</v>
      </c>
      <c r="J61" s="21"/>
      <c r="K61" s="16"/>
      <c r="L61" s="21"/>
      <c r="M61" s="21"/>
      <c r="N61" s="21"/>
      <c r="O61" s="21"/>
      <c r="P61" s="21"/>
      <c r="Q61" s="21"/>
      <c r="R61" s="21"/>
      <c r="S61" s="21"/>
      <c r="T61" s="4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4"/>
      <c r="AJ61" s="57"/>
      <c r="AK61" s="54"/>
      <c r="AL61" s="65">
        <f t="shared" si="6"/>
        <v>0</v>
      </c>
      <c r="AM61" s="22" t="str">
        <f t="shared" si="2"/>
        <v>OK</v>
      </c>
    </row>
    <row r="62" spans="1:39" customFormat="1" ht="17.25" hidden="1" thickBot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136">
        <f>1010+503</f>
        <v>1513</v>
      </c>
      <c r="I62" s="27">
        <f t="shared" si="3"/>
        <v>0</v>
      </c>
      <c r="J62" s="27"/>
      <c r="K62" s="16"/>
      <c r="L62" s="27"/>
      <c r="M62" s="27"/>
      <c r="N62" s="27"/>
      <c r="O62" s="27"/>
      <c r="P62" s="27"/>
      <c r="Q62" s="27"/>
      <c r="R62" s="27"/>
      <c r="S62" s="27"/>
      <c r="T62" s="43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5"/>
      <c r="AJ62" s="58"/>
      <c r="AK62" s="55"/>
      <c r="AL62" s="66">
        <f t="shared" si="6"/>
        <v>0</v>
      </c>
      <c r="AM62" s="28" t="str">
        <f t="shared" si="2"/>
        <v>OK</v>
      </c>
    </row>
    <row r="63" spans="1:39" customFormat="1" ht="17.25" hidden="1" thickBot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135"/>
      <c r="I63" s="21">
        <f t="shared" si="3"/>
        <v>0</v>
      </c>
      <c r="J63" s="21"/>
      <c r="K63" s="16"/>
      <c r="L63" s="21"/>
      <c r="M63" s="21"/>
      <c r="N63" s="21"/>
      <c r="O63" s="21"/>
      <c r="P63" s="21"/>
      <c r="Q63" s="21"/>
      <c r="R63" s="21"/>
      <c r="S63" s="21"/>
      <c r="T63" s="4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4"/>
      <c r="AJ63" s="57"/>
      <c r="AK63" s="54"/>
      <c r="AL63" s="65">
        <f t="shared" si="6"/>
        <v>0</v>
      </c>
      <c r="AM63" s="22" t="str">
        <f t="shared" si="2"/>
        <v>OK</v>
      </c>
    </row>
    <row r="64" spans="1:39" customFormat="1" ht="17.25" hidden="1" thickBot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136"/>
      <c r="I64" s="27">
        <f t="shared" si="3"/>
        <v>0</v>
      </c>
      <c r="J64" s="27"/>
      <c r="K64" s="16"/>
      <c r="L64" s="27"/>
      <c r="M64" s="27"/>
      <c r="N64" s="27"/>
      <c r="O64" s="27"/>
      <c r="P64" s="27"/>
      <c r="Q64" s="27"/>
      <c r="R64" s="27"/>
      <c r="S64" s="27"/>
      <c r="T64" s="43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5"/>
      <c r="AJ64" s="58"/>
      <c r="AK64" s="55"/>
      <c r="AL64" s="66">
        <f t="shared" si="6"/>
        <v>0</v>
      </c>
      <c r="AM64" s="28" t="str">
        <f t="shared" si="2"/>
        <v>OK</v>
      </c>
    </row>
    <row r="65" spans="1:39" customFormat="1" ht="17.25" hidden="1" thickBot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135"/>
      <c r="I65" s="21">
        <f t="shared" si="3"/>
        <v>0</v>
      </c>
      <c r="J65" s="21"/>
      <c r="K65" s="16"/>
      <c r="L65" s="21"/>
      <c r="M65" s="21"/>
      <c r="N65" s="21"/>
      <c r="O65" s="21"/>
      <c r="P65" s="21"/>
      <c r="Q65" s="21"/>
      <c r="R65" s="21"/>
      <c r="S65" s="21"/>
      <c r="T65" s="4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4"/>
      <c r="AJ65" s="57"/>
      <c r="AK65" s="54"/>
      <c r="AL65" s="65">
        <f t="shared" si="4"/>
        <v>0</v>
      </c>
      <c r="AM65" s="22" t="str">
        <f t="shared" si="2"/>
        <v>OK</v>
      </c>
    </row>
    <row r="66" spans="1:39" customFormat="1" ht="17.25" hidden="1" thickBot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136"/>
      <c r="I66" s="27">
        <f t="shared" si="3"/>
        <v>0</v>
      </c>
      <c r="J66" s="27"/>
      <c r="K66" s="16"/>
      <c r="L66" s="27"/>
      <c r="M66" s="27"/>
      <c r="N66" s="27"/>
      <c r="O66" s="27"/>
      <c r="P66" s="27"/>
      <c r="Q66" s="27"/>
      <c r="R66" s="27"/>
      <c r="S66" s="27"/>
      <c r="T66" s="43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5"/>
      <c r="AJ66" s="58"/>
      <c r="AK66" s="55"/>
      <c r="AL66" s="66">
        <f t="shared" si="4"/>
        <v>0</v>
      </c>
      <c r="AM66" s="28" t="str">
        <f t="shared" si="2"/>
        <v>OK</v>
      </c>
    </row>
    <row r="67" spans="1:39" customFormat="1" ht="17.25" hidden="1" thickBot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135"/>
      <c r="I67" s="21">
        <f t="shared" si="3"/>
        <v>0</v>
      </c>
      <c r="J67" s="21"/>
      <c r="K67" s="16"/>
      <c r="L67" s="21"/>
      <c r="M67" s="21"/>
      <c r="N67" s="21"/>
      <c r="O67" s="21"/>
      <c r="P67" s="21"/>
      <c r="Q67" s="21"/>
      <c r="R67" s="21"/>
      <c r="S67" s="21"/>
      <c r="T67" s="4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4"/>
      <c r="AJ67" s="57"/>
      <c r="AK67" s="54"/>
      <c r="AL67" s="65">
        <f t="shared" si="4"/>
        <v>0</v>
      </c>
      <c r="AM67" s="22" t="str">
        <f t="shared" si="2"/>
        <v>OK</v>
      </c>
    </row>
    <row r="68" spans="1:39" customFormat="1" ht="17.25" hidden="1" thickBot="1">
      <c r="A68" s="81" t="s">
        <v>132</v>
      </c>
      <c r="B68" s="78">
        <v>20269</v>
      </c>
      <c r="C68" s="23" t="s">
        <v>131</v>
      </c>
      <c r="D68" s="24"/>
      <c r="E68" s="24"/>
      <c r="F68" s="24"/>
      <c r="G68" s="25"/>
      <c r="H68" s="136"/>
      <c r="I68" s="27">
        <f t="shared" si="3"/>
        <v>0</v>
      </c>
      <c r="J68" s="27"/>
      <c r="K68" s="16"/>
      <c r="L68" s="27"/>
      <c r="M68" s="27"/>
      <c r="N68" s="27"/>
      <c r="O68" s="27"/>
      <c r="P68" s="27"/>
      <c r="Q68" s="27"/>
      <c r="R68" s="27"/>
      <c r="S68" s="27"/>
      <c r="T68" s="43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5"/>
      <c r="AJ68" s="58"/>
      <c r="AK68" s="55"/>
      <c r="AL68" s="66">
        <f t="shared" si="4"/>
        <v>0</v>
      </c>
      <c r="AM68" s="28" t="str">
        <f t="shared" si="2"/>
        <v>OK</v>
      </c>
    </row>
    <row r="69" spans="1:39" customFormat="1" ht="17.25" hidden="1" thickBot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135"/>
      <c r="I69" s="21">
        <f t="shared" si="3"/>
        <v>0</v>
      </c>
      <c r="J69" s="21"/>
      <c r="K69" s="16"/>
      <c r="L69" s="21"/>
      <c r="M69" s="21"/>
      <c r="N69" s="21"/>
      <c r="O69" s="21"/>
      <c r="P69" s="21"/>
      <c r="Q69" s="21"/>
      <c r="R69" s="21"/>
      <c r="S69" s="21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7"/>
      <c r="AK69" s="54"/>
      <c r="AL69" s="65">
        <f t="shared" si="4"/>
        <v>0</v>
      </c>
      <c r="AM69" s="22" t="str">
        <f t="shared" si="2"/>
        <v>OK</v>
      </c>
    </row>
    <row r="70" spans="1:39" customFormat="1" ht="17.25" hidden="1" thickBot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136"/>
      <c r="I70" s="27">
        <f t="shared" si="3"/>
        <v>0</v>
      </c>
      <c r="J70" s="27"/>
      <c r="K70" s="16"/>
      <c r="L70" s="27"/>
      <c r="M70" s="27"/>
      <c r="N70" s="27"/>
      <c r="O70" s="27"/>
      <c r="P70" s="27"/>
      <c r="Q70" s="27"/>
      <c r="R70" s="27"/>
      <c r="S70" s="27"/>
      <c r="T70" s="43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5"/>
      <c r="AJ70" s="58"/>
      <c r="AK70" s="55"/>
      <c r="AL70" s="66">
        <f t="shared" si="4"/>
        <v>0</v>
      </c>
      <c r="AM70" s="28" t="str">
        <f t="shared" si="2"/>
        <v>OK</v>
      </c>
    </row>
    <row r="71" spans="1:39" customFormat="1" ht="17.25" hidden="1" thickBot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135"/>
      <c r="I71" s="21">
        <f t="shared" ref="I71:I96" si="7">SUM(L71:AK71)</f>
        <v>0</v>
      </c>
      <c r="J71" s="21"/>
      <c r="K71" s="16"/>
      <c r="L71" s="21"/>
      <c r="M71" s="21"/>
      <c r="N71" s="21"/>
      <c r="O71" s="21"/>
      <c r="P71" s="21"/>
      <c r="Q71" s="21"/>
      <c r="R71" s="21"/>
      <c r="S71" s="21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4"/>
      <c r="AJ71" s="57"/>
      <c r="AK71" s="54"/>
      <c r="AL71" s="65">
        <f t="shared" si="4"/>
        <v>0</v>
      </c>
      <c r="AM71" s="22" t="str">
        <f t="shared" si="2"/>
        <v>OK</v>
      </c>
    </row>
    <row r="72" spans="1:39" customFormat="1" ht="17.25" hidden="1" thickBot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136"/>
      <c r="I72" s="27">
        <f t="shared" si="7"/>
        <v>0</v>
      </c>
      <c r="J72" s="27"/>
      <c r="K72" s="16"/>
      <c r="L72" s="27"/>
      <c r="M72" s="27"/>
      <c r="N72" s="27"/>
      <c r="O72" s="27"/>
      <c r="P72" s="27"/>
      <c r="Q72" s="27"/>
      <c r="R72" s="27"/>
      <c r="S72" s="27"/>
      <c r="T72" s="43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5"/>
      <c r="AJ72" s="58"/>
      <c r="AK72" s="55"/>
      <c r="AL72" s="66">
        <f t="shared" si="4"/>
        <v>0</v>
      </c>
      <c r="AM72" s="28" t="str">
        <f t="shared" si="2"/>
        <v>OK</v>
      </c>
    </row>
    <row r="73" spans="1:39" customFormat="1" ht="17.25" hidden="1" thickBot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138"/>
      <c r="I73" s="101">
        <f t="shared" si="7"/>
        <v>0</v>
      </c>
      <c r="J73" s="21"/>
      <c r="K73" s="16"/>
      <c r="L73" s="21"/>
      <c r="M73" s="21"/>
      <c r="N73" s="21"/>
      <c r="O73" s="21"/>
      <c r="P73" s="21"/>
      <c r="Q73" s="21"/>
      <c r="R73" s="21"/>
      <c r="S73" s="21"/>
      <c r="T73" s="42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4"/>
      <c r="AJ73" s="57"/>
      <c r="AK73" s="54"/>
      <c r="AL73" s="65">
        <f t="shared" si="4"/>
        <v>0</v>
      </c>
      <c r="AM73" s="22" t="str">
        <f t="shared" si="2"/>
        <v>OK</v>
      </c>
    </row>
    <row r="74" spans="1:39" customFormat="1" ht="17.25" hidden="1" thickBot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139"/>
      <c r="I74" s="103">
        <f t="shared" si="7"/>
        <v>0</v>
      </c>
      <c r="J74" s="27"/>
      <c r="K74" s="16"/>
      <c r="L74" s="100"/>
      <c r="M74" s="100"/>
      <c r="N74" s="100"/>
      <c r="O74" s="100"/>
      <c r="P74" s="100"/>
      <c r="Q74" s="100"/>
      <c r="R74" s="100"/>
      <c r="S74" s="100"/>
      <c r="T74" s="109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1"/>
      <c r="AJ74" s="112"/>
      <c r="AK74" s="111"/>
      <c r="AL74" s="66">
        <f t="shared" si="4"/>
        <v>0</v>
      </c>
      <c r="AM74" s="28" t="str">
        <f t="shared" si="2"/>
        <v>OK</v>
      </c>
    </row>
    <row r="75" spans="1:39" ht="17.25" hidden="1" thickBot="1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40"/>
      <c r="I75" s="105">
        <f t="shared" si="7"/>
        <v>0</v>
      </c>
      <c r="J75" s="90"/>
      <c r="K75" s="91"/>
      <c r="L75" s="113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5"/>
      <c r="AL75" s="92">
        <f t="shared" ref="AL75:AL80" si="8">SUM(L75:AK75)</f>
        <v>0</v>
      </c>
      <c r="AM75" s="122" t="str">
        <f t="shared" ref="AM75:AM96" si="9">IF(AL75=I75,"OK","NG")</f>
        <v>OK</v>
      </c>
    </row>
    <row r="76" spans="1:39" ht="17.25" hidden="1" thickBot="1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139">
        <f>1560+960+1800</f>
        <v>4320</v>
      </c>
      <c r="I76" s="106">
        <f t="shared" si="7"/>
        <v>0</v>
      </c>
      <c r="J76" s="85"/>
      <c r="K76" s="16"/>
      <c r="L76" s="1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8"/>
      <c r="AL76" s="66">
        <f t="shared" si="8"/>
        <v>0</v>
      </c>
      <c r="AM76" s="28" t="str">
        <f t="shared" si="9"/>
        <v>OK</v>
      </c>
    </row>
    <row r="77" spans="1:39" ht="17.25" hidden="1" thickBot="1">
      <c r="A77" s="87" t="s">
        <v>165</v>
      </c>
      <c r="B77" s="93">
        <v>13007</v>
      </c>
      <c r="C77" s="94" t="s">
        <v>164</v>
      </c>
      <c r="D77" s="88"/>
      <c r="E77" s="88"/>
      <c r="F77" s="88"/>
      <c r="G77" s="89"/>
      <c r="H77" s="104"/>
      <c r="I77" s="105">
        <f t="shared" si="7"/>
        <v>0</v>
      </c>
      <c r="J77" s="90"/>
      <c r="K77" s="91"/>
      <c r="L77" s="113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5"/>
      <c r="AL77" s="92">
        <f t="shared" si="8"/>
        <v>0</v>
      </c>
      <c r="AM77" s="122" t="str">
        <f t="shared" si="9"/>
        <v>OK</v>
      </c>
    </row>
    <row r="78" spans="1:39" ht="17.25" hidden="1" thickBot="1">
      <c r="A78" s="68"/>
      <c r="B78" s="78"/>
      <c r="C78" s="95"/>
      <c r="D78" s="83"/>
      <c r="E78" s="83"/>
      <c r="F78" s="83"/>
      <c r="G78" s="84"/>
      <c r="H78" s="102"/>
      <c r="I78" s="106">
        <f t="shared" si="7"/>
        <v>0</v>
      </c>
      <c r="J78" s="85"/>
      <c r="K78" s="16"/>
      <c r="L78" s="1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66">
        <f t="shared" si="8"/>
        <v>0</v>
      </c>
      <c r="AM78" s="28" t="str">
        <f t="shared" si="9"/>
        <v>OK</v>
      </c>
    </row>
    <row r="79" spans="1:39" ht="17.25" hidden="1" thickBot="1">
      <c r="A79" s="87"/>
      <c r="B79" s="93"/>
      <c r="C79" s="94"/>
      <c r="D79" s="88"/>
      <c r="E79" s="88"/>
      <c r="F79" s="88"/>
      <c r="G79" s="89"/>
      <c r="H79" s="104"/>
      <c r="I79" s="105">
        <f t="shared" si="7"/>
        <v>0</v>
      </c>
      <c r="J79" s="90"/>
      <c r="K79" s="91"/>
      <c r="L79" s="113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5"/>
      <c r="AL79" s="92">
        <f t="shared" si="8"/>
        <v>0</v>
      </c>
      <c r="AM79" s="122" t="str">
        <f t="shared" si="9"/>
        <v>OK</v>
      </c>
    </row>
    <row r="80" spans="1:39" ht="17.25" hidden="1" thickBot="1">
      <c r="A80" s="68"/>
      <c r="B80" s="78"/>
      <c r="C80" s="95"/>
      <c r="D80" s="83"/>
      <c r="E80" s="83"/>
      <c r="F80" s="83"/>
      <c r="G80" s="84"/>
      <c r="H80" s="102"/>
      <c r="I80" s="106">
        <f t="shared" si="7"/>
        <v>0</v>
      </c>
      <c r="J80" s="85"/>
      <c r="K80" s="16"/>
      <c r="L80" s="116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66">
        <f t="shared" si="8"/>
        <v>0</v>
      </c>
      <c r="AM80" s="28" t="str">
        <f t="shared" si="9"/>
        <v>OK</v>
      </c>
    </row>
    <row r="81" spans="1:39" ht="17.25" hidden="1" thickBot="1">
      <c r="A81" s="87"/>
      <c r="B81" s="93"/>
      <c r="C81" s="94"/>
      <c r="D81" s="88"/>
      <c r="E81" s="88"/>
      <c r="F81" s="88"/>
      <c r="G81" s="89"/>
      <c r="H81" s="104"/>
      <c r="I81" s="105">
        <f t="shared" si="7"/>
        <v>0</v>
      </c>
      <c r="J81" s="90"/>
      <c r="K81" s="91"/>
      <c r="L81" s="113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5"/>
      <c r="AL81" s="92">
        <f t="shared" ref="AL81:AL96" si="10">SUM(L81:AK81)</f>
        <v>0</v>
      </c>
      <c r="AM81" s="122" t="str">
        <f t="shared" si="9"/>
        <v>OK</v>
      </c>
    </row>
    <row r="82" spans="1:39" ht="17.25" hidden="1" thickBot="1">
      <c r="A82" s="68"/>
      <c r="B82" s="78"/>
      <c r="C82" s="95"/>
      <c r="D82" s="83"/>
      <c r="E82" s="83"/>
      <c r="F82" s="83"/>
      <c r="G82" s="84"/>
      <c r="H82" s="102"/>
      <c r="I82" s="106">
        <f t="shared" si="7"/>
        <v>0</v>
      </c>
      <c r="J82" s="85"/>
      <c r="K82" s="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66">
        <f t="shared" si="10"/>
        <v>0</v>
      </c>
      <c r="AM82" s="28" t="str">
        <f t="shared" si="9"/>
        <v>OK</v>
      </c>
    </row>
    <row r="83" spans="1:39" ht="17.25" hidden="1" thickBot="1">
      <c r="A83" s="96"/>
      <c r="B83" s="93"/>
      <c r="C83" s="94"/>
      <c r="D83" s="88"/>
      <c r="E83" s="88"/>
      <c r="F83" s="88"/>
      <c r="G83" s="89"/>
      <c r="H83" s="104"/>
      <c r="I83" s="105">
        <f t="shared" si="7"/>
        <v>0</v>
      </c>
      <c r="J83" s="90"/>
      <c r="K83" s="91"/>
      <c r="L83" s="113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5"/>
      <c r="AL83" s="92">
        <f t="shared" si="10"/>
        <v>0</v>
      </c>
      <c r="AM83" s="122" t="str">
        <f t="shared" si="9"/>
        <v>OK</v>
      </c>
    </row>
    <row r="84" spans="1:39" ht="17.25" hidden="1" thickBot="1">
      <c r="A84" s="68"/>
      <c r="B84" s="78"/>
      <c r="C84" s="95"/>
      <c r="D84" s="83"/>
      <c r="E84" s="83"/>
      <c r="F84" s="83"/>
      <c r="G84" s="84"/>
      <c r="H84" s="102"/>
      <c r="I84" s="106">
        <f t="shared" si="7"/>
        <v>0</v>
      </c>
      <c r="J84" s="85"/>
      <c r="K84" s="16"/>
      <c r="L84" s="116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66">
        <f t="shared" si="10"/>
        <v>0</v>
      </c>
      <c r="AM84" s="28" t="str">
        <f t="shared" si="9"/>
        <v>OK</v>
      </c>
    </row>
    <row r="85" spans="1:39" ht="17.25" hidden="1" thickBot="1">
      <c r="A85" s="87"/>
      <c r="B85" s="93"/>
      <c r="C85" s="94"/>
      <c r="D85" s="88"/>
      <c r="E85" s="88"/>
      <c r="F85" s="88"/>
      <c r="G85" s="89"/>
      <c r="H85" s="104"/>
      <c r="I85" s="105">
        <f t="shared" si="7"/>
        <v>0</v>
      </c>
      <c r="J85" s="90"/>
      <c r="K85" s="91"/>
      <c r="L85" s="113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5"/>
      <c r="AL85" s="92">
        <f t="shared" si="10"/>
        <v>0</v>
      </c>
      <c r="AM85" s="122" t="str">
        <f t="shared" si="9"/>
        <v>OK</v>
      </c>
    </row>
    <row r="86" spans="1:39" ht="17.25" hidden="1" thickBot="1">
      <c r="A86" s="68"/>
      <c r="B86" s="78"/>
      <c r="C86" s="95"/>
      <c r="D86" s="83"/>
      <c r="E86" s="83"/>
      <c r="F86" s="83"/>
      <c r="G86" s="84"/>
      <c r="H86" s="102"/>
      <c r="I86" s="106">
        <f t="shared" si="7"/>
        <v>0</v>
      </c>
      <c r="J86" s="85"/>
      <c r="K86" s="16"/>
      <c r="L86" s="116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66">
        <f t="shared" si="10"/>
        <v>0</v>
      </c>
      <c r="AM86" s="28" t="str">
        <f t="shared" si="9"/>
        <v>OK</v>
      </c>
    </row>
    <row r="87" spans="1:39" ht="17.25" hidden="1" thickBot="1">
      <c r="A87" s="87"/>
      <c r="B87" s="93"/>
      <c r="C87" s="94"/>
      <c r="D87" s="88"/>
      <c r="E87" s="88"/>
      <c r="F87" s="88"/>
      <c r="G87" s="89"/>
      <c r="H87" s="104"/>
      <c r="I87" s="105">
        <f t="shared" si="7"/>
        <v>0</v>
      </c>
      <c r="J87" s="90"/>
      <c r="K87" s="91"/>
      <c r="L87" s="113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5"/>
      <c r="AL87" s="92">
        <f t="shared" si="10"/>
        <v>0</v>
      </c>
      <c r="AM87" s="122" t="str">
        <f t="shared" si="9"/>
        <v>OK</v>
      </c>
    </row>
    <row r="88" spans="1:39" ht="17.25" hidden="1" thickBot="1">
      <c r="A88" s="68"/>
      <c r="B88" s="78"/>
      <c r="C88" s="95"/>
      <c r="D88" s="83"/>
      <c r="E88" s="83"/>
      <c r="F88" s="83"/>
      <c r="G88" s="84"/>
      <c r="H88" s="102"/>
      <c r="I88" s="106">
        <f t="shared" si="7"/>
        <v>0</v>
      </c>
      <c r="J88" s="85"/>
      <c r="K88" s="16"/>
      <c r="L88" s="116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66">
        <f t="shared" si="10"/>
        <v>0</v>
      </c>
      <c r="AM88" s="28" t="str">
        <f t="shared" si="9"/>
        <v>OK</v>
      </c>
    </row>
    <row r="89" spans="1:39" ht="17.25" hidden="1" thickBot="1">
      <c r="A89" s="87"/>
      <c r="B89" s="93"/>
      <c r="C89" s="94"/>
      <c r="D89" s="88"/>
      <c r="E89" s="88"/>
      <c r="F89" s="88"/>
      <c r="G89" s="89"/>
      <c r="H89" s="104"/>
      <c r="I89" s="105">
        <f t="shared" si="7"/>
        <v>0</v>
      </c>
      <c r="J89" s="90"/>
      <c r="K89" s="91"/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5"/>
      <c r="AL89" s="92">
        <f t="shared" si="10"/>
        <v>0</v>
      </c>
      <c r="AM89" s="122" t="str">
        <f t="shared" si="9"/>
        <v>OK</v>
      </c>
    </row>
    <row r="90" spans="1:39" ht="17.25" hidden="1" thickBot="1">
      <c r="A90" s="68"/>
      <c r="B90" s="78"/>
      <c r="C90" s="95"/>
      <c r="D90" s="83"/>
      <c r="E90" s="83"/>
      <c r="F90" s="83"/>
      <c r="G90" s="84"/>
      <c r="H90" s="102"/>
      <c r="I90" s="106">
        <f t="shared" si="7"/>
        <v>0</v>
      </c>
      <c r="J90" s="85"/>
      <c r="K90" s="16"/>
      <c r="L90" s="116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66">
        <f t="shared" si="10"/>
        <v>0</v>
      </c>
      <c r="AM90" s="28" t="str">
        <f t="shared" si="9"/>
        <v>OK</v>
      </c>
    </row>
    <row r="91" spans="1:39" ht="17.25" hidden="1" thickBot="1">
      <c r="A91" s="87"/>
      <c r="B91" s="93"/>
      <c r="C91" s="94"/>
      <c r="D91" s="88"/>
      <c r="E91" s="88"/>
      <c r="F91" s="88"/>
      <c r="G91" s="89"/>
      <c r="H91" s="104"/>
      <c r="I91" s="105">
        <f t="shared" si="7"/>
        <v>0</v>
      </c>
      <c r="J91" s="90"/>
      <c r="K91" s="91"/>
      <c r="L91" s="113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5"/>
      <c r="AL91" s="92">
        <f t="shared" si="10"/>
        <v>0</v>
      </c>
      <c r="AM91" s="122" t="str">
        <f t="shared" si="9"/>
        <v>OK</v>
      </c>
    </row>
    <row r="92" spans="1:39" ht="17.25" hidden="1" thickBot="1">
      <c r="A92" s="68"/>
      <c r="B92" s="78"/>
      <c r="C92" s="95"/>
      <c r="D92" s="83"/>
      <c r="E92" s="83"/>
      <c r="F92" s="83"/>
      <c r="G92" s="84"/>
      <c r="H92" s="102"/>
      <c r="I92" s="106">
        <f t="shared" si="7"/>
        <v>0</v>
      </c>
      <c r="J92" s="85"/>
      <c r="K92" s="16"/>
      <c r="L92" s="116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66">
        <f t="shared" si="10"/>
        <v>0</v>
      </c>
      <c r="AM92" s="28" t="str">
        <f t="shared" si="9"/>
        <v>OK</v>
      </c>
    </row>
    <row r="93" spans="1:39" ht="17.25" hidden="1" thickBot="1">
      <c r="A93" s="87"/>
      <c r="B93" s="93"/>
      <c r="C93" s="94"/>
      <c r="D93" s="88"/>
      <c r="E93" s="88"/>
      <c r="F93" s="88"/>
      <c r="G93" s="89"/>
      <c r="H93" s="104"/>
      <c r="I93" s="105">
        <f t="shared" si="7"/>
        <v>0</v>
      </c>
      <c r="J93" s="90"/>
      <c r="K93" s="91"/>
      <c r="L93" s="113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5"/>
      <c r="AL93" s="92">
        <f t="shared" si="10"/>
        <v>0</v>
      </c>
      <c r="AM93" s="122" t="str">
        <f t="shared" si="9"/>
        <v>OK</v>
      </c>
    </row>
    <row r="94" spans="1:39" ht="17.25" hidden="1" thickBot="1">
      <c r="A94" s="68"/>
      <c r="B94" s="78"/>
      <c r="C94" s="95"/>
      <c r="D94" s="83"/>
      <c r="E94" s="83"/>
      <c r="F94" s="83"/>
      <c r="G94" s="84"/>
      <c r="H94" s="102"/>
      <c r="I94" s="106">
        <f t="shared" si="7"/>
        <v>0</v>
      </c>
      <c r="J94" s="85"/>
      <c r="K94" s="16"/>
      <c r="L94" s="116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66">
        <f t="shared" si="10"/>
        <v>0</v>
      </c>
      <c r="AM94" s="28" t="str">
        <f t="shared" si="9"/>
        <v>OK</v>
      </c>
    </row>
    <row r="95" spans="1:39" ht="17.25" hidden="1" thickBot="1">
      <c r="A95" s="87"/>
      <c r="B95" s="93"/>
      <c r="C95" s="94"/>
      <c r="D95" s="88"/>
      <c r="E95" s="88"/>
      <c r="F95" s="88"/>
      <c r="G95" s="89"/>
      <c r="H95" s="104"/>
      <c r="I95" s="105">
        <f t="shared" si="7"/>
        <v>0</v>
      </c>
      <c r="J95" s="90"/>
      <c r="K95" s="91"/>
      <c r="L95" s="113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5"/>
      <c r="AL95" s="92">
        <f t="shared" si="10"/>
        <v>0</v>
      </c>
      <c r="AM95" s="122" t="str">
        <f t="shared" si="9"/>
        <v>OK</v>
      </c>
    </row>
    <row r="96" spans="1:39" ht="17.25" hidden="1" thickBot="1">
      <c r="A96" s="97"/>
      <c r="B96" s="98"/>
      <c r="C96" s="99"/>
      <c r="D96" s="83"/>
      <c r="E96" s="83"/>
      <c r="F96" s="83"/>
      <c r="G96" s="84"/>
      <c r="H96" s="107"/>
      <c r="I96" s="108">
        <f t="shared" si="7"/>
        <v>0</v>
      </c>
      <c r="J96" s="85"/>
      <c r="K96" s="16"/>
      <c r="L96" s="119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1"/>
      <c r="AL96" s="66">
        <f t="shared" si="10"/>
        <v>0</v>
      </c>
      <c r="AM96" s="28" t="str">
        <f t="shared" si="9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38644</v>
      </c>
      <c r="I97" s="46">
        <f>SUM(I6:I96)</f>
        <v>21</v>
      </c>
      <c r="J97" s="47">
        <f>SUM(J6:J74)</f>
        <v>0</v>
      </c>
      <c r="K97" s="9"/>
      <c r="L97" s="45">
        <f>SUM(L6:L96)</f>
        <v>10</v>
      </c>
      <c r="M97" s="45">
        <f t="shared" ref="M97:AI97" si="11">SUM(M6:M96)</f>
        <v>3</v>
      </c>
      <c r="N97" s="45">
        <f t="shared" si="11"/>
        <v>0</v>
      </c>
      <c r="O97" s="45">
        <f t="shared" si="11"/>
        <v>0</v>
      </c>
      <c r="P97" s="45">
        <f t="shared" si="11"/>
        <v>0</v>
      </c>
      <c r="Q97" s="45">
        <f t="shared" si="11"/>
        <v>0</v>
      </c>
      <c r="R97" s="45">
        <f t="shared" si="11"/>
        <v>0</v>
      </c>
      <c r="S97" s="45">
        <f t="shared" si="11"/>
        <v>0</v>
      </c>
      <c r="T97" s="45">
        <f t="shared" si="11"/>
        <v>0</v>
      </c>
      <c r="U97" s="45">
        <f t="shared" si="11"/>
        <v>1</v>
      </c>
      <c r="V97" s="45">
        <f t="shared" si="11"/>
        <v>0</v>
      </c>
      <c r="W97" s="45">
        <f t="shared" si="11"/>
        <v>0</v>
      </c>
      <c r="X97" s="45">
        <f t="shared" si="11"/>
        <v>0</v>
      </c>
      <c r="Y97" s="45">
        <f t="shared" si="11"/>
        <v>1</v>
      </c>
      <c r="Z97" s="45">
        <f t="shared" si="11"/>
        <v>0</v>
      </c>
      <c r="AA97" s="45">
        <f t="shared" si="11"/>
        <v>0</v>
      </c>
      <c r="AB97" s="45">
        <f t="shared" si="11"/>
        <v>0</v>
      </c>
      <c r="AC97" s="45">
        <f t="shared" si="11"/>
        <v>6</v>
      </c>
      <c r="AD97" s="45">
        <f t="shared" si="11"/>
        <v>0</v>
      </c>
      <c r="AE97" s="45">
        <f t="shared" si="11"/>
        <v>0</v>
      </c>
      <c r="AF97" s="45">
        <f t="shared" si="11"/>
        <v>0</v>
      </c>
      <c r="AG97" s="45">
        <f t="shared" si="11"/>
        <v>0</v>
      </c>
      <c r="AH97" s="45">
        <f t="shared" si="11"/>
        <v>0</v>
      </c>
      <c r="AI97" s="45">
        <f t="shared" si="11"/>
        <v>0</v>
      </c>
      <c r="AJ97" s="49">
        <f>SUM(AJ6:AJ96)</f>
        <v>0</v>
      </c>
      <c r="AK97" s="61">
        <f>SUM(AK6:AK96)</f>
        <v>0</v>
      </c>
      <c r="AL97" s="67">
        <f>SUM(AL6:AL96)</f>
        <v>21</v>
      </c>
      <c r="AM97" s="48" t="str">
        <f>IF(AL97=SUM(I97),"OK","NG")</f>
        <v>OK</v>
      </c>
    </row>
    <row r="100" spans="1:39">
      <c r="H100" s="86"/>
    </row>
    <row r="101" spans="1:39">
      <c r="L101" s="86"/>
    </row>
  </sheetData>
  <autoFilter ref="A5:AM97" xr:uid="{00000000-0001-0000-0800-000000000000}">
    <filterColumn colId="8">
      <filters>
        <filter val="1"/>
        <filter val="12"/>
        <filter val="2"/>
        <filter val="21"/>
        <filter val="3"/>
      </filters>
    </filterColumn>
  </autoFilter>
  <mergeCells count="37">
    <mergeCell ref="AM4:AM5"/>
    <mergeCell ref="AG4:AG5"/>
    <mergeCell ref="AH4:AH5"/>
    <mergeCell ref="AI4:AI5"/>
    <mergeCell ref="AJ4:AJ5"/>
    <mergeCell ref="AK4:AK5"/>
    <mergeCell ref="AL4:AL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B1:C1"/>
    <mergeCell ref="F1:G1"/>
    <mergeCell ref="H1:J3"/>
    <mergeCell ref="B2:C2"/>
    <mergeCell ref="AM2:AM3"/>
    <mergeCell ref="B3:C3"/>
  </mergeCells>
  <phoneticPr fontId="3" type="noConversion"/>
  <conditionalFormatting sqref="A4 AM6:AM97">
    <cfRule type="containsText" dxfId="61" priority="7" operator="containsText" text="NG">
      <formula>NOT(ISERROR(SEARCH("NG",A4)))</formula>
    </cfRule>
    <cfRule type="containsText" dxfId="60" priority="8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51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 filterMode="1">
    <pageSetUpPr fitToPage="1"/>
  </sheetPr>
  <dimension ref="A1:AM101"/>
  <sheetViews>
    <sheetView showGridLines="0" zoomScale="85" zoomScaleNormal="85" workbookViewId="0">
      <pane ySplit="5" topLeftCell="A6" activePane="bottomLeft" state="frozen"/>
      <selection activeCell="P19" sqref="P19"/>
      <selection pane="bottomLeft" activeCell="L30" sqref="L30"/>
    </sheetView>
  </sheetViews>
  <sheetFormatPr defaultColWidth="9" defaultRowHeight="16.5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16" width="8.75"/>
    <col min="17" max="20" width="9" customWidth="1"/>
    <col min="21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5" customHeight="1" thickBot="1">
      <c r="A1" s="37" t="s">
        <v>13</v>
      </c>
      <c r="B1" s="168">
        <f>H97</f>
        <v>25203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"/>
      <c r="N1" s="14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5" customHeight="1" thickBot="1">
      <c r="A2" s="37" t="s">
        <v>14</v>
      </c>
      <c r="B2" s="173">
        <f>I97</f>
        <v>15</v>
      </c>
      <c r="C2" s="174"/>
      <c r="D2" s="75"/>
      <c r="E2" s="71"/>
      <c r="F2" s="2"/>
      <c r="G2" s="2"/>
      <c r="H2" s="171"/>
      <c r="I2" s="171"/>
      <c r="J2" s="171"/>
      <c r="K2" s="3"/>
      <c r="L2" s="4">
        <f t="shared" ref="L2:AK2" si="0">SUBTOTAL(9,L6:L96)</f>
        <v>9</v>
      </c>
      <c r="M2" s="4">
        <f t="shared" si="0"/>
        <v>0</v>
      </c>
      <c r="N2" s="4">
        <f t="shared" si="0"/>
        <v>0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39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0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6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0</v>
      </c>
      <c r="AH2" s="5">
        <f t="shared" si="0"/>
        <v>0</v>
      </c>
      <c r="AI2" s="5">
        <f t="shared" si="0"/>
        <v>0</v>
      </c>
      <c r="AJ2" s="5">
        <f t="shared" si="0"/>
        <v>0</v>
      </c>
      <c r="AK2" s="59">
        <f t="shared" si="0"/>
        <v>0</v>
      </c>
      <c r="AL2" s="62">
        <f>SUBTOTAL(9,AL6:AL96)</f>
        <v>15</v>
      </c>
      <c r="AM2" s="175"/>
    </row>
    <row r="3" spans="1:39" customFormat="1" ht="22.5" customHeight="1" thickBot="1">
      <c r="A3" s="38" t="s">
        <v>15</v>
      </c>
      <c r="B3" s="177">
        <f>IF(ISERROR(B2/(B2+B1)*1000000),"",(B2/(B2+B1)*1000000))</f>
        <v>594.81322864620506</v>
      </c>
      <c r="C3" s="178"/>
      <c r="D3" s="73"/>
      <c r="E3" s="72"/>
      <c r="F3" s="32"/>
      <c r="G3" s="32"/>
      <c r="H3" s="172"/>
      <c r="I3" s="172"/>
      <c r="J3" s="172"/>
      <c r="K3" s="6"/>
      <c r="L3" s="7">
        <f t="shared" ref="L3:AK3" si="1">SUM(L6:L96)</f>
        <v>9</v>
      </c>
      <c r="M3" s="7">
        <f t="shared" si="1"/>
        <v>0</v>
      </c>
      <c r="N3" s="7">
        <f t="shared" si="1"/>
        <v>0</v>
      </c>
      <c r="O3" s="7">
        <f t="shared" si="1"/>
        <v>0</v>
      </c>
      <c r="P3" s="7">
        <f t="shared" si="1"/>
        <v>0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40">
        <f t="shared" si="1"/>
        <v>0</v>
      </c>
      <c r="U3" s="8">
        <f t="shared" si="1"/>
        <v>0</v>
      </c>
      <c r="V3" s="8">
        <f t="shared" si="1"/>
        <v>0</v>
      </c>
      <c r="W3" s="8">
        <f t="shared" si="1"/>
        <v>0</v>
      </c>
      <c r="X3" s="8">
        <f t="shared" si="1"/>
        <v>0</v>
      </c>
      <c r="Y3" s="8">
        <f t="shared" si="1"/>
        <v>0</v>
      </c>
      <c r="Z3" s="8">
        <f t="shared" si="1"/>
        <v>0</v>
      </c>
      <c r="AA3" s="8">
        <f t="shared" si="1"/>
        <v>0</v>
      </c>
      <c r="AB3" s="8">
        <f t="shared" si="1"/>
        <v>0</v>
      </c>
      <c r="AC3" s="8">
        <f t="shared" si="1"/>
        <v>6</v>
      </c>
      <c r="AD3" s="8">
        <f t="shared" si="1"/>
        <v>0</v>
      </c>
      <c r="AE3" s="8">
        <f t="shared" si="1"/>
        <v>0</v>
      </c>
      <c r="AF3" s="8">
        <f t="shared" si="1"/>
        <v>0</v>
      </c>
      <c r="AG3" s="8">
        <f t="shared" si="1"/>
        <v>0</v>
      </c>
      <c r="AH3" s="8">
        <f t="shared" si="1"/>
        <v>0</v>
      </c>
      <c r="AI3" s="8">
        <f t="shared" si="1"/>
        <v>0</v>
      </c>
      <c r="AJ3" s="8">
        <f t="shared" si="1"/>
        <v>0</v>
      </c>
      <c r="AK3" s="60">
        <f t="shared" si="1"/>
        <v>0</v>
      </c>
      <c r="AL3" s="63">
        <f>SUM(AL6:AL96)</f>
        <v>15</v>
      </c>
      <c r="AM3" s="176"/>
    </row>
    <row r="4" spans="1:39" customFormat="1" ht="43.5" customHeight="1">
      <c r="A4" s="163" t="str">
        <f>AM97</f>
        <v>OK</v>
      </c>
      <c r="B4" s="163"/>
      <c r="C4" s="163"/>
      <c r="D4" s="164"/>
      <c r="E4" s="165" t="s">
        <v>16</v>
      </c>
      <c r="F4" s="165"/>
      <c r="G4" s="165"/>
      <c r="H4" s="165" t="s">
        <v>17</v>
      </c>
      <c r="I4" s="165"/>
      <c r="J4" s="165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1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56" t="s">
        <v>12</v>
      </c>
      <c r="AL4" s="158" t="s">
        <v>36</v>
      </c>
      <c r="AM4" s="149" t="s">
        <v>37</v>
      </c>
    </row>
    <row r="5" spans="1:39" customFormat="1" ht="33.75" thickBot="1">
      <c r="A5" s="34" t="s">
        <v>3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137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6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3"/>
      <c r="AJ5" s="155"/>
      <c r="AK5" s="157"/>
      <c r="AL5" s="159"/>
      <c r="AM5" s="150"/>
    </row>
    <row r="6" spans="1:39" customFormat="1" ht="16.5" customHeight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34">
        <v>2280</v>
      </c>
      <c r="I6" s="15">
        <f>SUM(L6:AK6)</f>
        <v>0</v>
      </c>
      <c r="J6" s="15"/>
      <c r="K6" s="16"/>
      <c r="L6" s="15"/>
      <c r="M6" s="15"/>
      <c r="N6" s="15"/>
      <c r="O6" s="15"/>
      <c r="P6" s="15"/>
      <c r="Q6" s="15"/>
      <c r="R6" s="15"/>
      <c r="S6" s="15"/>
      <c r="T6" s="41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3"/>
      <c r="AJ6" s="56"/>
      <c r="AK6" s="53"/>
      <c r="AL6" s="64">
        <f>SUM(L6:AK6)</f>
        <v>0</v>
      </c>
      <c r="AM6" s="31" t="str">
        <f t="shared" ref="AM6:AM74" si="2">IF(AL6=I6,"OK","NG")</f>
        <v>OK</v>
      </c>
    </row>
    <row r="7" spans="1:39" customFormat="1" ht="16.5" hidden="1" customHeight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135"/>
      <c r="I7" s="21">
        <f t="shared" ref="I7:I70" si="3">SUM(L7:AK7)</f>
        <v>0</v>
      </c>
      <c r="J7" s="21"/>
      <c r="K7" s="16"/>
      <c r="L7" s="21"/>
      <c r="M7" s="21"/>
      <c r="N7" s="21"/>
      <c r="O7" s="21"/>
      <c r="P7" s="21"/>
      <c r="Q7" s="21"/>
      <c r="R7" s="21"/>
      <c r="S7" s="21"/>
      <c r="T7" s="42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4"/>
      <c r="AJ7" s="57"/>
      <c r="AK7" s="54"/>
      <c r="AL7" s="65">
        <f t="shared" ref="AL7:AL74" si="4">SUM(L7:AK7)</f>
        <v>0</v>
      </c>
      <c r="AM7" s="22" t="str">
        <f t="shared" si="2"/>
        <v>OK</v>
      </c>
    </row>
    <row r="8" spans="1:39" customFormat="1" ht="16.5" hidden="1" customHeight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36"/>
      <c r="I8" s="27">
        <f t="shared" si="3"/>
        <v>0</v>
      </c>
      <c r="J8" s="27"/>
      <c r="K8" s="16"/>
      <c r="L8" s="27"/>
      <c r="M8" s="27"/>
      <c r="N8" s="27"/>
      <c r="O8" s="27"/>
      <c r="P8" s="27"/>
      <c r="Q8" s="27"/>
      <c r="R8" s="27"/>
      <c r="S8" s="27"/>
      <c r="T8" s="4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5"/>
      <c r="AJ8" s="58"/>
      <c r="AK8" s="55"/>
      <c r="AL8" s="66">
        <f t="shared" si="4"/>
        <v>0</v>
      </c>
      <c r="AM8" s="28" t="str">
        <f t="shared" si="2"/>
        <v>OK</v>
      </c>
    </row>
    <row r="9" spans="1:39" customFormat="1" ht="16.5" hidden="1" customHeight="1">
      <c r="A9" s="17" t="s">
        <v>68</v>
      </c>
      <c r="B9" s="77">
        <v>10897</v>
      </c>
      <c r="C9" s="17" t="s">
        <v>62</v>
      </c>
      <c r="D9" s="69"/>
      <c r="E9" s="18"/>
      <c r="F9" s="18"/>
      <c r="G9" s="19"/>
      <c r="H9" s="135"/>
      <c r="I9" s="21">
        <f t="shared" si="3"/>
        <v>0</v>
      </c>
      <c r="J9" s="21"/>
      <c r="K9" s="16"/>
      <c r="L9" s="21"/>
      <c r="M9" s="21"/>
      <c r="N9" s="21"/>
      <c r="O9" s="21"/>
      <c r="P9" s="21"/>
      <c r="Q9" s="21"/>
      <c r="R9" s="21"/>
      <c r="S9" s="21"/>
      <c r="T9" s="42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4"/>
      <c r="AJ9" s="57"/>
      <c r="AK9" s="54"/>
      <c r="AL9" s="65">
        <f t="shared" si="4"/>
        <v>0</v>
      </c>
      <c r="AM9" s="22" t="str">
        <f t="shared" si="2"/>
        <v>OK</v>
      </c>
    </row>
    <row r="10" spans="1:39" customFormat="1" ht="16.5" hidden="1" customHeight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36"/>
      <c r="I10" s="27">
        <f t="shared" si="3"/>
        <v>0</v>
      </c>
      <c r="J10" s="27"/>
      <c r="K10" s="16"/>
      <c r="L10" s="27"/>
      <c r="M10" s="27"/>
      <c r="N10" s="27"/>
      <c r="O10" s="27"/>
      <c r="P10" s="27"/>
      <c r="Q10" s="27"/>
      <c r="R10" s="27"/>
      <c r="S10" s="27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5"/>
      <c r="AJ10" s="58"/>
      <c r="AK10" s="55"/>
      <c r="AL10" s="66">
        <f t="shared" si="4"/>
        <v>0</v>
      </c>
      <c r="AM10" s="28" t="str">
        <f t="shared" si="2"/>
        <v>OK</v>
      </c>
    </row>
    <row r="11" spans="1:39" customFormat="1" ht="16.5" hidden="1" customHeight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135"/>
      <c r="I11" s="21">
        <f t="shared" si="3"/>
        <v>0</v>
      </c>
      <c r="J11" s="21"/>
      <c r="K11" s="16"/>
      <c r="L11" s="21"/>
      <c r="M11" s="21"/>
      <c r="N11" s="21"/>
      <c r="O11" s="21"/>
      <c r="P11" s="21"/>
      <c r="Q11" s="21"/>
      <c r="R11" s="21"/>
      <c r="S11" s="21"/>
      <c r="T11" s="42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4"/>
      <c r="AJ11" s="57"/>
      <c r="AK11" s="54"/>
      <c r="AL11" s="65">
        <f t="shared" si="4"/>
        <v>0</v>
      </c>
      <c r="AM11" s="22" t="str">
        <f t="shared" si="2"/>
        <v>OK</v>
      </c>
    </row>
    <row r="12" spans="1:39" customFormat="1" ht="16.5" hidden="1" customHeight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36"/>
      <c r="I12" s="27">
        <f t="shared" si="3"/>
        <v>0</v>
      </c>
      <c r="J12" s="27"/>
      <c r="K12" s="16"/>
      <c r="L12" s="27"/>
      <c r="M12" s="27"/>
      <c r="N12" s="27"/>
      <c r="O12" s="27"/>
      <c r="P12" s="27"/>
      <c r="Q12" s="27"/>
      <c r="R12" s="27"/>
      <c r="S12" s="27"/>
      <c r="T12" s="43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8"/>
      <c r="AK12" s="55"/>
      <c r="AL12" s="66">
        <f t="shared" si="4"/>
        <v>0</v>
      </c>
      <c r="AM12" s="28" t="str">
        <f t="shared" si="2"/>
        <v>OK</v>
      </c>
    </row>
    <row r="13" spans="1:39" customFormat="1" ht="16.5" hidden="1" customHeight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135"/>
      <c r="I13" s="21">
        <f t="shared" si="3"/>
        <v>0</v>
      </c>
      <c r="J13" s="21"/>
      <c r="K13" s="16"/>
      <c r="L13" s="21"/>
      <c r="M13" s="21"/>
      <c r="N13" s="21"/>
      <c r="O13" s="21"/>
      <c r="P13" s="21"/>
      <c r="Q13" s="21"/>
      <c r="R13" s="21"/>
      <c r="S13" s="21"/>
      <c r="T13" s="4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4"/>
      <c r="AJ13" s="57"/>
      <c r="AK13" s="54"/>
      <c r="AL13" s="65">
        <f t="shared" si="4"/>
        <v>0</v>
      </c>
      <c r="AM13" s="22" t="str">
        <f t="shared" si="2"/>
        <v>OK</v>
      </c>
    </row>
    <row r="14" spans="1:39" customFormat="1" ht="16.5" hidden="1" customHeight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36"/>
      <c r="I14" s="27">
        <f t="shared" si="3"/>
        <v>0</v>
      </c>
      <c r="J14" s="27"/>
      <c r="K14" s="16"/>
      <c r="L14" s="27"/>
      <c r="M14" s="27"/>
      <c r="N14" s="27"/>
      <c r="O14" s="27"/>
      <c r="P14" s="27"/>
      <c r="Q14" s="27"/>
      <c r="R14" s="27"/>
      <c r="S14" s="27"/>
      <c r="T14" s="43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5"/>
      <c r="AJ14" s="58"/>
      <c r="AK14" s="55"/>
      <c r="AL14" s="66">
        <f t="shared" si="4"/>
        <v>0</v>
      </c>
      <c r="AM14" s="28" t="str">
        <f t="shared" si="2"/>
        <v>OK</v>
      </c>
    </row>
    <row r="15" spans="1:39" customFormat="1" ht="16.5" hidden="1" customHeight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135"/>
      <c r="I15" s="21">
        <f t="shared" si="3"/>
        <v>0</v>
      </c>
      <c r="J15" s="21"/>
      <c r="K15" s="16"/>
      <c r="L15" s="21"/>
      <c r="M15" s="21"/>
      <c r="N15" s="21"/>
      <c r="O15" s="21"/>
      <c r="P15" s="21"/>
      <c r="Q15" s="21"/>
      <c r="R15" s="21"/>
      <c r="S15" s="21"/>
      <c r="T15" s="42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4"/>
      <c r="AJ15" s="57"/>
      <c r="AK15" s="54"/>
      <c r="AL15" s="65">
        <f t="shared" si="4"/>
        <v>0</v>
      </c>
      <c r="AM15" s="22" t="str">
        <f t="shared" si="2"/>
        <v>OK</v>
      </c>
    </row>
    <row r="16" spans="1:39" customFormat="1" ht="16.5" hidden="1" customHeight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36"/>
      <c r="I16" s="27">
        <f t="shared" si="3"/>
        <v>0</v>
      </c>
      <c r="J16" s="27"/>
      <c r="K16" s="16"/>
      <c r="L16" s="27"/>
      <c r="M16" s="27"/>
      <c r="N16" s="27"/>
      <c r="O16" s="27"/>
      <c r="P16" s="27"/>
      <c r="Q16" s="27"/>
      <c r="R16" s="27"/>
      <c r="S16" s="27"/>
      <c r="T16" s="43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8"/>
      <c r="AK16" s="55"/>
      <c r="AL16" s="66">
        <f t="shared" si="4"/>
        <v>0</v>
      </c>
      <c r="AM16" s="28" t="str">
        <f t="shared" si="2"/>
        <v>OK</v>
      </c>
    </row>
    <row r="17" spans="1:39" customFormat="1" ht="16.5" hidden="1" customHeight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135"/>
      <c r="I17" s="21">
        <f t="shared" si="3"/>
        <v>0</v>
      </c>
      <c r="J17" s="21"/>
      <c r="K17" s="16"/>
      <c r="L17" s="21"/>
      <c r="M17" s="21"/>
      <c r="N17" s="21"/>
      <c r="O17" s="21"/>
      <c r="P17" s="21"/>
      <c r="Q17" s="21"/>
      <c r="R17" s="21"/>
      <c r="S17" s="21"/>
      <c r="T17" s="42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4"/>
      <c r="AJ17" s="57"/>
      <c r="AK17" s="54"/>
      <c r="AL17" s="65">
        <f t="shared" si="4"/>
        <v>0</v>
      </c>
      <c r="AM17" s="22" t="str">
        <f t="shared" si="2"/>
        <v>OK</v>
      </c>
    </row>
    <row r="18" spans="1:39" customFormat="1" ht="16.5" hidden="1" customHeight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36"/>
      <c r="I18" s="27">
        <f t="shared" si="3"/>
        <v>0</v>
      </c>
      <c r="J18" s="27"/>
      <c r="K18" s="16"/>
      <c r="L18" s="27"/>
      <c r="M18" s="27"/>
      <c r="N18" s="27"/>
      <c r="O18" s="27"/>
      <c r="P18" s="27"/>
      <c r="Q18" s="27"/>
      <c r="R18" s="27"/>
      <c r="S18" s="27"/>
      <c r="T18" s="43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8"/>
      <c r="AK18" s="55"/>
      <c r="AL18" s="66">
        <f t="shared" si="4"/>
        <v>0</v>
      </c>
      <c r="AM18" s="28" t="str">
        <f t="shared" si="2"/>
        <v>OK</v>
      </c>
    </row>
    <row r="19" spans="1:39" customFormat="1" hidden="1">
      <c r="A19" s="17" t="s">
        <v>91</v>
      </c>
      <c r="B19" s="77">
        <v>14988</v>
      </c>
      <c r="C19" s="17" t="s">
        <v>64</v>
      </c>
      <c r="D19" s="69"/>
      <c r="E19" s="18"/>
      <c r="F19" s="18"/>
      <c r="G19" s="19"/>
      <c r="H19" s="135"/>
      <c r="I19" s="21">
        <f t="shared" si="3"/>
        <v>0</v>
      </c>
      <c r="J19" s="21"/>
      <c r="K19" s="16"/>
      <c r="L19" s="21"/>
      <c r="M19" s="21"/>
      <c r="N19" s="21"/>
      <c r="O19" s="21"/>
      <c r="P19" s="21"/>
      <c r="Q19" s="21"/>
      <c r="R19" s="21"/>
      <c r="S19" s="21"/>
      <c r="T19" s="42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4"/>
      <c r="AJ19" s="57"/>
      <c r="AK19" s="54"/>
      <c r="AL19" s="65">
        <f t="shared" si="4"/>
        <v>0</v>
      </c>
      <c r="AM19" s="22" t="str">
        <f t="shared" si="2"/>
        <v>OK</v>
      </c>
    </row>
    <row r="20" spans="1:39" customFormat="1" ht="16.5" hidden="1" customHeight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136"/>
      <c r="I20" s="27">
        <f t="shared" si="3"/>
        <v>0</v>
      </c>
      <c r="J20" s="27"/>
      <c r="K20" s="16"/>
      <c r="L20" s="27"/>
      <c r="M20" s="27"/>
      <c r="N20" s="27"/>
      <c r="O20" s="27"/>
      <c r="P20" s="27"/>
      <c r="Q20" s="27"/>
      <c r="R20" s="27"/>
      <c r="S20" s="27"/>
      <c r="T20" s="43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8"/>
      <c r="AK20" s="55"/>
      <c r="AL20" s="66">
        <f t="shared" si="4"/>
        <v>0</v>
      </c>
      <c r="AM20" s="28" t="str">
        <f t="shared" si="2"/>
        <v>OK</v>
      </c>
    </row>
    <row r="21" spans="1:39" customFormat="1" ht="16.5" hidden="1" customHeight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135"/>
      <c r="I21" s="21">
        <f t="shared" si="3"/>
        <v>0</v>
      </c>
      <c r="J21" s="21"/>
      <c r="K21" s="16"/>
      <c r="L21" s="21"/>
      <c r="M21" s="21"/>
      <c r="N21" s="21"/>
      <c r="O21" s="21"/>
      <c r="P21" s="21"/>
      <c r="Q21" s="21"/>
      <c r="R21" s="21"/>
      <c r="S21" s="21"/>
      <c r="T21" s="4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4"/>
      <c r="AJ21" s="57"/>
      <c r="AK21" s="54"/>
      <c r="AL21" s="65">
        <f t="shared" si="4"/>
        <v>0</v>
      </c>
      <c r="AM21" s="22" t="str">
        <f t="shared" si="2"/>
        <v>OK</v>
      </c>
    </row>
    <row r="22" spans="1:39" customFormat="1" ht="16.5" customHeight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36">
        <v>3750</v>
      </c>
      <c r="I22" s="27">
        <f t="shared" si="3"/>
        <v>0</v>
      </c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43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5"/>
      <c r="AJ22" s="58"/>
      <c r="AK22" s="55"/>
      <c r="AL22" s="66">
        <f t="shared" si="4"/>
        <v>0</v>
      </c>
      <c r="AM22" s="28" t="str">
        <f t="shared" si="2"/>
        <v>OK</v>
      </c>
    </row>
    <row r="23" spans="1:39" customFormat="1" ht="16.5" hidden="1" customHeight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135"/>
      <c r="I23" s="21">
        <f t="shared" si="3"/>
        <v>0</v>
      </c>
      <c r="J23" s="21"/>
      <c r="K23" s="16"/>
      <c r="L23" s="21"/>
      <c r="M23" s="21"/>
      <c r="N23" s="21"/>
      <c r="O23" s="21"/>
      <c r="P23" s="21"/>
      <c r="Q23" s="21"/>
      <c r="R23" s="21"/>
      <c r="S23" s="21"/>
      <c r="T23" s="42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7"/>
      <c r="AK23" s="54"/>
      <c r="AL23" s="65">
        <f>SUM(L23:AK23)</f>
        <v>0</v>
      </c>
      <c r="AM23" s="22" t="str">
        <f t="shared" si="2"/>
        <v>OK</v>
      </c>
    </row>
    <row r="24" spans="1:39" customFormat="1">
      <c r="A24" s="68" t="s">
        <v>44</v>
      </c>
      <c r="B24" s="78">
        <v>10163</v>
      </c>
      <c r="C24" s="23" t="s">
        <v>45</v>
      </c>
      <c r="D24" s="24"/>
      <c r="E24" s="24"/>
      <c r="F24" s="24"/>
      <c r="G24" s="25"/>
      <c r="H24" s="136">
        <f>672+672</f>
        <v>1344</v>
      </c>
      <c r="I24" s="27">
        <f t="shared" si="3"/>
        <v>0</v>
      </c>
      <c r="J24" s="27"/>
      <c r="K24" s="16"/>
      <c r="L24" s="27"/>
      <c r="M24" s="27"/>
      <c r="N24" s="27"/>
      <c r="O24" s="27"/>
      <c r="P24" s="27"/>
      <c r="Q24" s="27"/>
      <c r="R24" s="27"/>
      <c r="S24" s="27"/>
      <c r="T24" s="43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5"/>
      <c r="AJ24" s="58"/>
      <c r="AK24" s="55"/>
      <c r="AL24" s="66">
        <f t="shared" si="4"/>
        <v>0</v>
      </c>
      <c r="AM24" s="28" t="str">
        <f t="shared" si="2"/>
        <v>OK</v>
      </c>
    </row>
    <row r="25" spans="1:39" customFormat="1" ht="16.5" hidden="1" customHeight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135"/>
      <c r="I25" s="21">
        <f t="shared" si="3"/>
        <v>0</v>
      </c>
      <c r="J25" s="21"/>
      <c r="K25" s="16"/>
      <c r="L25" s="21"/>
      <c r="M25" s="21"/>
      <c r="N25" s="21"/>
      <c r="O25" s="21"/>
      <c r="P25" s="21"/>
      <c r="Q25" s="21"/>
      <c r="R25" s="21"/>
      <c r="S25" s="21"/>
      <c r="T25" s="42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4"/>
      <c r="AJ25" s="57"/>
      <c r="AK25" s="54"/>
      <c r="AL25" s="65">
        <f t="shared" si="4"/>
        <v>0</v>
      </c>
      <c r="AM25" s="22" t="str">
        <f t="shared" si="2"/>
        <v>OK</v>
      </c>
    </row>
    <row r="26" spans="1:39" customFormat="1" ht="16.5" hidden="1" customHeight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36"/>
      <c r="I26" s="27">
        <f t="shared" si="3"/>
        <v>0</v>
      </c>
      <c r="J26" s="27"/>
      <c r="K26" s="16"/>
      <c r="L26" s="27"/>
      <c r="M26" s="27"/>
      <c r="N26" s="27"/>
      <c r="O26" s="27"/>
      <c r="P26" s="27"/>
      <c r="Q26" s="27"/>
      <c r="R26" s="27"/>
      <c r="S26" s="27"/>
      <c r="T26" s="43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8"/>
      <c r="AK26" s="55"/>
      <c r="AL26" s="66">
        <f t="shared" si="4"/>
        <v>0</v>
      </c>
      <c r="AM26" s="28" t="str">
        <f t="shared" si="2"/>
        <v>OK</v>
      </c>
    </row>
    <row r="27" spans="1:39" customFormat="1" ht="16.5" hidden="1" customHeight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135"/>
      <c r="I27" s="21">
        <f t="shared" si="3"/>
        <v>0</v>
      </c>
      <c r="J27" s="21"/>
      <c r="K27" s="16"/>
      <c r="L27" s="21"/>
      <c r="M27" s="21"/>
      <c r="N27" s="21"/>
      <c r="O27" s="21"/>
      <c r="P27" s="21"/>
      <c r="Q27" s="21"/>
      <c r="R27" s="21"/>
      <c r="S27" s="21"/>
      <c r="T27" s="4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7"/>
      <c r="AK27" s="54"/>
      <c r="AL27" s="65">
        <f t="shared" si="4"/>
        <v>0</v>
      </c>
      <c r="AM27" s="22" t="str">
        <f t="shared" si="2"/>
        <v>OK</v>
      </c>
    </row>
    <row r="28" spans="1:39" customFormat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136">
        <v>2184</v>
      </c>
      <c r="I28" s="27">
        <f t="shared" si="3"/>
        <v>0</v>
      </c>
      <c r="J28" s="27"/>
      <c r="K28" s="16"/>
      <c r="L28" s="27"/>
      <c r="M28" s="27"/>
      <c r="N28" s="27"/>
      <c r="O28" s="27"/>
      <c r="P28" s="27"/>
      <c r="Q28" s="27"/>
      <c r="R28" s="27"/>
      <c r="S28" s="27"/>
      <c r="T28" s="43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5"/>
      <c r="AJ28" s="58"/>
      <c r="AK28" s="55"/>
      <c r="AL28" s="66">
        <f t="shared" si="4"/>
        <v>0</v>
      </c>
      <c r="AM28" s="28" t="str">
        <f t="shared" si="2"/>
        <v>OK</v>
      </c>
    </row>
    <row r="29" spans="1:39" customFormat="1">
      <c r="A29" s="80" t="s">
        <v>71</v>
      </c>
      <c r="B29" s="77">
        <v>10151</v>
      </c>
      <c r="C29" s="17" t="s">
        <v>157</v>
      </c>
      <c r="D29" s="69"/>
      <c r="E29" s="18"/>
      <c r="F29" s="18"/>
      <c r="G29" s="19"/>
      <c r="H29" s="135">
        <f>660+1320</f>
        <v>1980</v>
      </c>
      <c r="I29" s="21">
        <f t="shared" si="3"/>
        <v>0</v>
      </c>
      <c r="J29" s="21"/>
      <c r="K29" s="16"/>
      <c r="L29" s="21"/>
      <c r="M29" s="21"/>
      <c r="N29" s="21"/>
      <c r="O29" s="21"/>
      <c r="P29" s="21"/>
      <c r="Q29" s="21"/>
      <c r="R29" s="21"/>
      <c r="S29" s="21"/>
      <c r="T29" s="42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4"/>
      <c r="AJ29" s="57"/>
      <c r="AK29" s="54"/>
      <c r="AL29" s="65">
        <f t="shared" si="4"/>
        <v>0</v>
      </c>
      <c r="AM29" s="22" t="str">
        <f t="shared" si="2"/>
        <v>OK</v>
      </c>
    </row>
    <row r="30" spans="1:39" customFormat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24">
        <v>1368</v>
      </c>
      <c r="I30" s="27">
        <f t="shared" si="3"/>
        <v>0</v>
      </c>
      <c r="J30" s="27"/>
      <c r="K30" s="16"/>
      <c r="L30" s="27"/>
      <c r="M30" s="27"/>
      <c r="N30" s="27"/>
      <c r="O30" s="27"/>
      <c r="P30" s="27"/>
      <c r="Q30" s="27"/>
      <c r="R30" s="27"/>
      <c r="S30" s="27"/>
      <c r="T30" s="43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5"/>
      <c r="AJ30" s="58"/>
      <c r="AK30" s="55"/>
      <c r="AL30" s="66">
        <f t="shared" si="4"/>
        <v>0</v>
      </c>
      <c r="AM30" s="28" t="str">
        <f t="shared" si="2"/>
        <v>OK</v>
      </c>
    </row>
    <row r="31" spans="1:39" customFormat="1" ht="16.5" hidden="1" customHeight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135"/>
      <c r="I31" s="21">
        <f t="shared" si="3"/>
        <v>0</v>
      </c>
      <c r="J31" s="21"/>
      <c r="K31" s="16"/>
      <c r="L31" s="21"/>
      <c r="M31" s="21"/>
      <c r="N31" s="21"/>
      <c r="O31" s="21"/>
      <c r="P31" s="21"/>
      <c r="Q31" s="21"/>
      <c r="R31" s="21"/>
      <c r="S31" s="21"/>
      <c r="T31" s="4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7"/>
      <c r="AK31" s="54"/>
      <c r="AL31" s="65">
        <f t="shared" si="4"/>
        <v>0</v>
      </c>
      <c r="AM31" s="22" t="str">
        <f t="shared" si="2"/>
        <v>OK</v>
      </c>
    </row>
    <row r="32" spans="1:39" customFormat="1" ht="16.5" hidden="1" customHeight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136"/>
      <c r="I32" s="27">
        <f t="shared" si="3"/>
        <v>0</v>
      </c>
      <c r="J32" s="27"/>
      <c r="K32" s="16"/>
      <c r="L32" s="27"/>
      <c r="M32" s="27"/>
      <c r="N32" s="27"/>
      <c r="O32" s="27"/>
      <c r="P32" s="27"/>
      <c r="Q32" s="27"/>
      <c r="R32" s="27"/>
      <c r="S32" s="27"/>
      <c r="T32" s="43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5"/>
      <c r="AJ32" s="58"/>
      <c r="AK32" s="55"/>
      <c r="AL32" s="66">
        <f t="shared" si="4"/>
        <v>0</v>
      </c>
      <c r="AM32" s="28" t="str">
        <f t="shared" si="2"/>
        <v>OK</v>
      </c>
    </row>
    <row r="33" spans="1:39" customFormat="1" hidden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135"/>
      <c r="I33" s="21">
        <f t="shared" si="3"/>
        <v>0</v>
      </c>
      <c r="J33" s="21"/>
      <c r="K33" s="16"/>
      <c r="L33" s="21"/>
      <c r="M33" s="21"/>
      <c r="N33" s="21"/>
      <c r="O33" s="21"/>
      <c r="P33" s="21"/>
      <c r="Q33" s="21"/>
      <c r="R33" s="21"/>
      <c r="S33" s="21"/>
      <c r="T33" s="42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4"/>
      <c r="AJ33" s="57"/>
      <c r="AK33" s="54"/>
      <c r="AL33" s="65">
        <f t="shared" si="4"/>
        <v>0</v>
      </c>
      <c r="AM33" s="22" t="str">
        <f t="shared" si="2"/>
        <v>OK</v>
      </c>
    </row>
    <row r="34" spans="1:39" customFormat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136">
        <f>300+1144</f>
        <v>1444</v>
      </c>
      <c r="I34" s="27">
        <f t="shared" si="3"/>
        <v>12</v>
      </c>
      <c r="J34" s="27"/>
      <c r="K34" s="16"/>
      <c r="L34" s="27">
        <v>8</v>
      </c>
      <c r="M34" s="27"/>
      <c r="N34" s="27"/>
      <c r="O34" s="27"/>
      <c r="P34" s="27"/>
      <c r="Q34" s="27"/>
      <c r="R34" s="27"/>
      <c r="S34" s="27"/>
      <c r="T34" s="43"/>
      <c r="U34" s="52"/>
      <c r="V34" s="52"/>
      <c r="W34" s="52"/>
      <c r="X34" s="52"/>
      <c r="Y34" s="52"/>
      <c r="Z34" s="52"/>
      <c r="AA34" s="52"/>
      <c r="AB34" s="52"/>
      <c r="AC34" s="52">
        <v>4</v>
      </c>
      <c r="AD34" s="52"/>
      <c r="AE34" s="52"/>
      <c r="AF34" s="52"/>
      <c r="AG34" s="52"/>
      <c r="AH34" s="52"/>
      <c r="AI34" s="55"/>
      <c r="AJ34" s="58"/>
      <c r="AK34" s="55"/>
      <c r="AL34" s="66">
        <f t="shared" si="4"/>
        <v>12</v>
      </c>
      <c r="AM34" s="28" t="str">
        <f t="shared" si="2"/>
        <v>OK</v>
      </c>
    </row>
    <row r="35" spans="1:39" customFormat="1" ht="16.5" hidden="1" customHeight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135"/>
      <c r="I35" s="21">
        <f t="shared" si="3"/>
        <v>0</v>
      </c>
      <c r="J35" s="21"/>
      <c r="K35" s="16"/>
      <c r="L35" s="21"/>
      <c r="M35" s="21"/>
      <c r="N35" s="21"/>
      <c r="O35" s="21"/>
      <c r="P35" s="21"/>
      <c r="Q35" s="21"/>
      <c r="R35" s="21"/>
      <c r="S35" s="21"/>
      <c r="T35" s="42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4"/>
      <c r="AJ35" s="57"/>
      <c r="AK35" s="54"/>
      <c r="AL35" s="65">
        <f t="shared" si="4"/>
        <v>0</v>
      </c>
      <c r="AM35" s="22" t="str">
        <f t="shared" si="2"/>
        <v>OK</v>
      </c>
    </row>
    <row r="36" spans="1:39" customFormat="1" ht="16.5" hidden="1" customHeight="1">
      <c r="A36" s="68" t="s">
        <v>76</v>
      </c>
      <c r="B36" s="78">
        <v>10135</v>
      </c>
      <c r="C36" s="23" t="s">
        <v>56</v>
      </c>
      <c r="D36" s="24"/>
      <c r="E36" s="24"/>
      <c r="F36" s="24"/>
      <c r="G36" s="25"/>
      <c r="H36" s="136"/>
      <c r="I36" s="27">
        <f t="shared" si="3"/>
        <v>0</v>
      </c>
      <c r="J36" s="27"/>
      <c r="K36" s="16"/>
      <c r="L36" s="27"/>
      <c r="M36" s="27"/>
      <c r="N36" s="27"/>
      <c r="O36" s="27"/>
      <c r="P36" s="27"/>
      <c r="Q36" s="27"/>
      <c r="R36" s="27"/>
      <c r="S36" s="27"/>
      <c r="T36" s="43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5"/>
      <c r="AJ36" s="58"/>
      <c r="AK36" s="55"/>
      <c r="AL36" s="66">
        <f t="shared" si="4"/>
        <v>0</v>
      </c>
      <c r="AM36" s="28" t="str">
        <f t="shared" si="2"/>
        <v>OK</v>
      </c>
    </row>
    <row r="37" spans="1:39" customFormat="1">
      <c r="A37" s="80" t="s">
        <v>77</v>
      </c>
      <c r="B37" s="77">
        <v>10133</v>
      </c>
      <c r="C37" s="17" t="s">
        <v>55</v>
      </c>
      <c r="D37" s="69"/>
      <c r="E37" s="18"/>
      <c r="F37" s="18"/>
      <c r="G37" s="19"/>
      <c r="H37" s="135">
        <v>850</v>
      </c>
      <c r="I37" s="21">
        <f t="shared" si="3"/>
        <v>0</v>
      </c>
      <c r="J37" s="21"/>
      <c r="K37" s="16"/>
      <c r="L37" s="21"/>
      <c r="M37" s="21"/>
      <c r="N37" s="21"/>
      <c r="O37" s="21"/>
      <c r="P37" s="21"/>
      <c r="Q37" s="21"/>
      <c r="R37" s="21"/>
      <c r="S37" s="21"/>
      <c r="T37" s="42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4"/>
      <c r="AJ37" s="57"/>
      <c r="AK37" s="54"/>
      <c r="AL37" s="65">
        <f t="shared" si="4"/>
        <v>0</v>
      </c>
      <c r="AM37" s="22" t="str">
        <f t="shared" si="2"/>
        <v>OK</v>
      </c>
    </row>
    <row r="38" spans="1:39" customFormat="1">
      <c r="A38" s="68" t="s">
        <v>78</v>
      </c>
      <c r="B38" s="78">
        <v>10131</v>
      </c>
      <c r="C38" s="23" t="s">
        <v>56</v>
      </c>
      <c r="D38" s="24"/>
      <c r="E38" s="24"/>
      <c r="F38" s="24"/>
      <c r="G38" s="25"/>
      <c r="H38" s="136">
        <f>1300+1540</f>
        <v>2840</v>
      </c>
      <c r="I38" s="27">
        <f t="shared" si="3"/>
        <v>3</v>
      </c>
      <c r="J38" s="27"/>
      <c r="K38" s="16"/>
      <c r="L38" s="27">
        <v>1</v>
      </c>
      <c r="M38" s="27"/>
      <c r="N38" s="27"/>
      <c r="O38" s="27"/>
      <c r="P38" s="27"/>
      <c r="Q38" s="27"/>
      <c r="R38" s="27"/>
      <c r="S38" s="27"/>
      <c r="T38" s="43"/>
      <c r="U38" s="52"/>
      <c r="V38" s="52"/>
      <c r="W38" s="52"/>
      <c r="X38" s="52"/>
      <c r="Y38" s="52"/>
      <c r="Z38" s="52"/>
      <c r="AA38" s="52"/>
      <c r="AB38" s="52"/>
      <c r="AC38" s="52">
        <v>2</v>
      </c>
      <c r="AD38" s="52"/>
      <c r="AE38" s="52"/>
      <c r="AF38" s="52"/>
      <c r="AG38" s="52"/>
      <c r="AH38" s="52"/>
      <c r="AI38" s="55"/>
      <c r="AJ38" s="58"/>
      <c r="AK38" s="55"/>
      <c r="AL38" s="66">
        <f t="shared" ref="AL38:AL50" si="5">SUM(L38:AK38)</f>
        <v>3</v>
      </c>
      <c r="AM38" s="28" t="str">
        <f t="shared" si="2"/>
        <v>OK</v>
      </c>
    </row>
    <row r="39" spans="1:39" customFormat="1" ht="16.5" customHeight="1">
      <c r="A39" s="17" t="s">
        <v>79</v>
      </c>
      <c r="B39" s="77">
        <v>10129</v>
      </c>
      <c r="C39" s="17" t="s">
        <v>57</v>
      </c>
      <c r="D39" s="69"/>
      <c r="E39" s="18"/>
      <c r="F39" s="18"/>
      <c r="G39" s="19"/>
      <c r="H39" s="135">
        <v>200</v>
      </c>
      <c r="I39" s="21">
        <f t="shared" si="3"/>
        <v>0</v>
      </c>
      <c r="J39" s="21"/>
      <c r="K39" s="16"/>
      <c r="L39" s="21"/>
      <c r="M39" s="21"/>
      <c r="N39" s="21"/>
      <c r="O39" s="21"/>
      <c r="P39" s="21"/>
      <c r="Q39" s="21"/>
      <c r="R39" s="21"/>
      <c r="S39" s="21"/>
      <c r="T39" s="42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4"/>
      <c r="AJ39" s="57"/>
      <c r="AK39" s="54"/>
      <c r="AL39" s="65">
        <f t="shared" si="5"/>
        <v>0</v>
      </c>
      <c r="AM39" s="22" t="str">
        <f t="shared" si="2"/>
        <v>OK</v>
      </c>
    </row>
    <row r="40" spans="1:39" customFormat="1" ht="16.5" hidden="1" customHeight="1">
      <c r="A40" s="68" t="s">
        <v>80</v>
      </c>
      <c r="B40" s="78">
        <v>10127</v>
      </c>
      <c r="C40" s="23" t="s">
        <v>58</v>
      </c>
      <c r="D40" s="24"/>
      <c r="E40" s="24"/>
      <c r="F40" s="24"/>
      <c r="G40" s="25"/>
      <c r="H40" s="136"/>
      <c r="I40" s="27">
        <f t="shared" si="3"/>
        <v>0</v>
      </c>
      <c r="J40" s="27"/>
      <c r="K40" s="16"/>
      <c r="L40" s="27"/>
      <c r="M40" s="27"/>
      <c r="N40" s="27"/>
      <c r="O40" s="27"/>
      <c r="P40" s="27"/>
      <c r="Q40" s="27"/>
      <c r="R40" s="27"/>
      <c r="S40" s="27"/>
      <c r="T40" s="43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5"/>
      <c r="AJ40" s="58"/>
      <c r="AK40" s="55"/>
      <c r="AL40" s="66">
        <f t="shared" si="5"/>
        <v>0</v>
      </c>
      <c r="AM40" s="28" t="str">
        <f t="shared" si="2"/>
        <v>OK</v>
      </c>
    </row>
    <row r="41" spans="1:39" customFormat="1" ht="16.5" hidden="1" customHeight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135"/>
      <c r="I41" s="21">
        <f t="shared" si="3"/>
        <v>0</v>
      </c>
      <c r="J41" s="21"/>
      <c r="K41" s="16"/>
      <c r="L41" s="21"/>
      <c r="M41" s="21"/>
      <c r="N41" s="21"/>
      <c r="O41" s="21"/>
      <c r="P41" s="21"/>
      <c r="Q41" s="21"/>
      <c r="R41" s="21"/>
      <c r="S41" s="21"/>
      <c r="T41" s="4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4"/>
      <c r="AJ41" s="57"/>
      <c r="AK41" s="54"/>
      <c r="AL41" s="65">
        <f t="shared" si="5"/>
        <v>0</v>
      </c>
      <c r="AM41" s="22" t="str">
        <f t="shared" si="2"/>
        <v>OK</v>
      </c>
    </row>
    <row r="42" spans="1:39" customFormat="1" ht="16.5" hidden="1" customHeight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136"/>
      <c r="I42" s="27">
        <f t="shared" si="3"/>
        <v>0</v>
      </c>
      <c r="J42" s="27"/>
      <c r="K42" s="16"/>
      <c r="L42" s="27"/>
      <c r="M42" s="27"/>
      <c r="N42" s="27"/>
      <c r="O42" s="27"/>
      <c r="P42" s="27"/>
      <c r="Q42" s="27"/>
      <c r="R42" s="27"/>
      <c r="S42" s="27"/>
      <c r="T42" s="43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5"/>
      <c r="AJ42" s="58"/>
      <c r="AK42" s="55"/>
      <c r="AL42" s="66">
        <f t="shared" si="5"/>
        <v>0</v>
      </c>
      <c r="AM42" s="28" t="str">
        <f t="shared" si="2"/>
        <v>OK</v>
      </c>
    </row>
    <row r="43" spans="1:39" customFormat="1" ht="16.5" hidden="1" customHeight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135"/>
      <c r="I43" s="21">
        <f t="shared" si="3"/>
        <v>0</v>
      </c>
      <c r="J43" s="21"/>
      <c r="K43" s="16"/>
      <c r="L43" s="21"/>
      <c r="M43" s="21"/>
      <c r="N43" s="21"/>
      <c r="O43" s="21"/>
      <c r="P43" s="21"/>
      <c r="Q43" s="21"/>
      <c r="R43" s="21"/>
      <c r="S43" s="21"/>
      <c r="T43" s="42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4"/>
      <c r="AJ43" s="57"/>
      <c r="AK43" s="54"/>
      <c r="AL43" s="65">
        <f t="shared" si="5"/>
        <v>0</v>
      </c>
      <c r="AM43" s="22" t="str">
        <f t="shared" si="2"/>
        <v>OK</v>
      </c>
    </row>
    <row r="44" spans="1:39" customFormat="1" ht="16.5" hidden="1" customHeight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136"/>
      <c r="I44" s="27">
        <f t="shared" si="3"/>
        <v>0</v>
      </c>
      <c r="J44" s="27"/>
      <c r="K44" s="16"/>
      <c r="L44" s="27"/>
      <c r="M44" s="27"/>
      <c r="N44" s="27"/>
      <c r="O44" s="27"/>
      <c r="P44" s="27"/>
      <c r="Q44" s="27"/>
      <c r="R44" s="27"/>
      <c r="S44" s="27"/>
      <c r="T44" s="43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5"/>
      <c r="AJ44" s="58"/>
      <c r="AK44" s="55"/>
      <c r="AL44" s="66">
        <f t="shared" si="5"/>
        <v>0</v>
      </c>
      <c r="AM44" s="28" t="str">
        <f t="shared" si="2"/>
        <v>OK</v>
      </c>
    </row>
    <row r="45" spans="1:39" customFormat="1" hidden="1">
      <c r="A45" s="17" t="s">
        <v>107</v>
      </c>
      <c r="B45" s="77">
        <v>13467</v>
      </c>
      <c r="C45" s="17" t="s">
        <v>87</v>
      </c>
      <c r="D45" s="69"/>
      <c r="E45" s="18"/>
      <c r="F45" s="18"/>
      <c r="G45" s="19"/>
      <c r="H45" s="135"/>
      <c r="I45" s="21">
        <f t="shared" si="3"/>
        <v>0</v>
      </c>
      <c r="J45" s="21"/>
      <c r="K45" s="16"/>
      <c r="L45" s="21"/>
      <c r="M45" s="21"/>
      <c r="N45" s="21"/>
      <c r="O45" s="21"/>
      <c r="P45" s="21"/>
      <c r="Q45" s="21"/>
      <c r="R45" s="21"/>
      <c r="S45" s="21"/>
      <c r="T45" s="4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4"/>
      <c r="AJ45" s="57"/>
      <c r="AK45" s="54"/>
      <c r="AL45" s="65">
        <f t="shared" si="5"/>
        <v>0</v>
      </c>
      <c r="AM45" s="22" t="str">
        <f t="shared" si="2"/>
        <v>OK</v>
      </c>
    </row>
    <row r="46" spans="1:39" customFormat="1" hidden="1">
      <c r="A46" s="68" t="s">
        <v>152</v>
      </c>
      <c r="B46" s="78">
        <v>15948</v>
      </c>
      <c r="C46" s="23" t="s">
        <v>87</v>
      </c>
      <c r="D46" s="24"/>
      <c r="E46" s="24"/>
      <c r="F46" s="24"/>
      <c r="G46" s="25"/>
      <c r="H46" s="136"/>
      <c r="I46" s="27">
        <f t="shared" si="3"/>
        <v>0</v>
      </c>
      <c r="J46" s="27"/>
      <c r="K46" s="16"/>
      <c r="L46" s="27"/>
      <c r="M46" s="27"/>
      <c r="N46" s="27"/>
      <c r="O46" s="27"/>
      <c r="P46" s="27"/>
      <c r="Q46" s="27"/>
      <c r="R46" s="27"/>
      <c r="S46" s="27"/>
      <c r="T46" s="43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5"/>
      <c r="AJ46" s="58"/>
      <c r="AK46" s="55"/>
      <c r="AL46" s="66">
        <f t="shared" si="5"/>
        <v>0</v>
      </c>
      <c r="AM46" s="28" t="str">
        <f t="shared" si="2"/>
        <v>OK</v>
      </c>
    </row>
    <row r="47" spans="1:39" customFormat="1" hidden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135"/>
      <c r="I47" s="21">
        <f t="shared" si="3"/>
        <v>0</v>
      </c>
      <c r="J47" s="21"/>
      <c r="K47" s="16"/>
      <c r="L47" s="21"/>
      <c r="M47" s="21"/>
      <c r="N47" s="21"/>
      <c r="O47" s="21"/>
      <c r="P47" s="21"/>
      <c r="Q47" s="21"/>
      <c r="R47" s="21"/>
      <c r="S47" s="21"/>
      <c r="T47" s="42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4"/>
      <c r="AJ47" s="57"/>
      <c r="AK47" s="54"/>
      <c r="AL47" s="65">
        <f t="shared" si="5"/>
        <v>0</v>
      </c>
      <c r="AM47" s="22" t="str">
        <f t="shared" si="2"/>
        <v>OK</v>
      </c>
    </row>
    <row r="48" spans="1:39" customFormat="1" ht="16.5" hidden="1" customHeight="1">
      <c r="A48" s="68" t="s">
        <v>121</v>
      </c>
      <c r="B48" s="78">
        <v>16598</v>
      </c>
      <c r="C48" s="23" t="s">
        <v>87</v>
      </c>
      <c r="D48" s="24"/>
      <c r="E48" s="24"/>
      <c r="F48" s="24"/>
      <c r="G48" s="25"/>
      <c r="H48" s="136"/>
      <c r="I48" s="27">
        <f t="shared" si="3"/>
        <v>0</v>
      </c>
      <c r="J48" s="27"/>
      <c r="K48" s="16"/>
      <c r="L48" s="27"/>
      <c r="M48" s="27"/>
      <c r="N48" s="27"/>
      <c r="O48" s="27"/>
      <c r="P48" s="27"/>
      <c r="Q48" s="27"/>
      <c r="R48" s="27"/>
      <c r="S48" s="27"/>
      <c r="T48" s="43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5"/>
      <c r="AJ48" s="58"/>
      <c r="AK48" s="55"/>
      <c r="AL48" s="66">
        <f t="shared" si="5"/>
        <v>0</v>
      </c>
      <c r="AM48" s="28" t="str">
        <f t="shared" si="2"/>
        <v>OK</v>
      </c>
    </row>
    <row r="49" spans="1:39" customFormat="1" ht="16.5" hidden="1" customHeight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135"/>
      <c r="I49" s="21">
        <f t="shared" si="3"/>
        <v>0</v>
      </c>
      <c r="J49" s="21"/>
      <c r="K49" s="16"/>
      <c r="L49" s="21"/>
      <c r="M49" s="21"/>
      <c r="N49" s="21"/>
      <c r="O49" s="21"/>
      <c r="P49" s="21"/>
      <c r="Q49" s="21"/>
      <c r="R49" s="21"/>
      <c r="S49" s="21"/>
      <c r="T49" s="4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4"/>
      <c r="AJ49" s="57"/>
      <c r="AK49" s="54"/>
      <c r="AL49" s="65">
        <f t="shared" si="5"/>
        <v>0</v>
      </c>
      <c r="AM49" s="22" t="str">
        <f t="shared" si="2"/>
        <v>OK</v>
      </c>
    </row>
    <row r="50" spans="1:39" customFormat="1" ht="16.5" hidden="1" customHeight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136"/>
      <c r="I50" s="27">
        <f t="shared" si="3"/>
        <v>0</v>
      </c>
      <c r="J50" s="27"/>
      <c r="K50" s="16"/>
      <c r="L50" s="27"/>
      <c r="M50" s="27"/>
      <c r="N50" s="27"/>
      <c r="O50" s="27"/>
      <c r="P50" s="27"/>
      <c r="Q50" s="27"/>
      <c r="R50" s="27"/>
      <c r="S50" s="27"/>
      <c r="T50" s="43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8"/>
      <c r="AK50" s="55"/>
      <c r="AL50" s="66">
        <f t="shared" si="5"/>
        <v>0</v>
      </c>
      <c r="AM50" s="28" t="str">
        <f t="shared" si="2"/>
        <v>OK</v>
      </c>
    </row>
    <row r="51" spans="1:39" customFormat="1" ht="16.5" hidden="1" customHeight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135"/>
      <c r="I51" s="21">
        <f t="shared" si="3"/>
        <v>0</v>
      </c>
      <c r="J51" s="21"/>
      <c r="K51" s="16"/>
      <c r="L51" s="21"/>
      <c r="M51" s="21"/>
      <c r="N51" s="21"/>
      <c r="O51" s="21"/>
      <c r="P51" s="21"/>
      <c r="Q51" s="21"/>
      <c r="R51" s="21"/>
      <c r="S51" s="21"/>
      <c r="T51" s="4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4"/>
      <c r="AJ51" s="57"/>
      <c r="AK51" s="54"/>
      <c r="AL51" s="65">
        <f>SUM(L51:AK51)</f>
        <v>0</v>
      </c>
      <c r="AM51" s="22" t="str">
        <f t="shared" si="2"/>
        <v>OK</v>
      </c>
    </row>
    <row r="52" spans="1:39" customFormat="1" ht="16.5" hidden="1" customHeight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136"/>
      <c r="I52" s="27">
        <f t="shared" si="3"/>
        <v>0</v>
      </c>
      <c r="J52" s="27"/>
      <c r="K52" s="16"/>
      <c r="L52" s="27"/>
      <c r="M52" s="27"/>
      <c r="N52" s="27"/>
      <c r="O52" s="27"/>
      <c r="P52" s="27"/>
      <c r="Q52" s="27"/>
      <c r="R52" s="27"/>
      <c r="S52" s="27"/>
      <c r="T52" s="43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5"/>
      <c r="AJ52" s="58"/>
      <c r="AK52" s="55"/>
      <c r="AL52" s="66">
        <f t="shared" ref="AL52:AL64" si="6">SUM(L52:AK52)</f>
        <v>0</v>
      </c>
      <c r="AM52" s="28" t="str">
        <f t="shared" si="2"/>
        <v>OK</v>
      </c>
    </row>
    <row r="53" spans="1:39" customFormat="1" ht="16.5" hidden="1" customHeight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135"/>
      <c r="I53" s="21">
        <f t="shared" si="3"/>
        <v>0</v>
      </c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42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4"/>
      <c r="AJ53" s="57"/>
      <c r="AK53" s="54"/>
      <c r="AL53" s="65">
        <f t="shared" si="6"/>
        <v>0</v>
      </c>
      <c r="AM53" s="22" t="str">
        <f t="shared" si="2"/>
        <v>OK</v>
      </c>
    </row>
    <row r="54" spans="1:39" customFormat="1" ht="16.5" hidden="1" customHeight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136"/>
      <c r="I54" s="27">
        <f t="shared" si="3"/>
        <v>0</v>
      </c>
      <c r="J54" s="27"/>
      <c r="K54" s="16"/>
      <c r="L54" s="27"/>
      <c r="M54" s="27"/>
      <c r="N54" s="27"/>
      <c r="O54" s="27"/>
      <c r="P54" s="27"/>
      <c r="Q54" s="27"/>
      <c r="R54" s="27"/>
      <c r="S54" s="27"/>
      <c r="T54" s="43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5"/>
      <c r="AJ54" s="58"/>
      <c r="AK54" s="55"/>
      <c r="AL54" s="66">
        <f t="shared" si="6"/>
        <v>0</v>
      </c>
      <c r="AM54" s="28" t="str">
        <f t="shared" si="2"/>
        <v>OK</v>
      </c>
    </row>
    <row r="55" spans="1:39" customFormat="1" ht="16.5" hidden="1" customHeight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135"/>
      <c r="I55" s="21">
        <f t="shared" si="3"/>
        <v>0</v>
      </c>
      <c r="J55" s="21"/>
      <c r="K55" s="16"/>
      <c r="L55" s="21"/>
      <c r="M55" s="21"/>
      <c r="N55" s="21"/>
      <c r="O55" s="21"/>
      <c r="P55" s="21"/>
      <c r="Q55" s="21"/>
      <c r="R55" s="21"/>
      <c r="S55" s="21"/>
      <c r="T55" s="42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4"/>
      <c r="AJ55" s="57"/>
      <c r="AK55" s="54"/>
      <c r="AL55" s="65">
        <f t="shared" si="6"/>
        <v>0</v>
      </c>
      <c r="AM55" s="22" t="str">
        <f t="shared" si="2"/>
        <v>OK</v>
      </c>
    </row>
    <row r="56" spans="1:39" customFormat="1" ht="16.5" hidden="1" customHeight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136"/>
      <c r="I56" s="27">
        <f t="shared" si="3"/>
        <v>0</v>
      </c>
      <c r="J56" s="27"/>
      <c r="K56" s="16"/>
      <c r="L56" s="27"/>
      <c r="M56" s="27"/>
      <c r="N56" s="27"/>
      <c r="O56" s="27"/>
      <c r="P56" s="27"/>
      <c r="Q56" s="27"/>
      <c r="R56" s="27"/>
      <c r="S56" s="27"/>
      <c r="T56" s="43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5"/>
      <c r="AJ56" s="58"/>
      <c r="AK56" s="55"/>
      <c r="AL56" s="66">
        <f t="shared" si="6"/>
        <v>0</v>
      </c>
      <c r="AM56" s="28" t="str">
        <f t="shared" si="2"/>
        <v>OK</v>
      </c>
    </row>
    <row r="57" spans="1:39" customFormat="1" ht="16.5" hidden="1" customHeight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135"/>
      <c r="I57" s="21">
        <f t="shared" si="3"/>
        <v>0</v>
      </c>
      <c r="J57" s="21"/>
      <c r="K57" s="16"/>
      <c r="L57" s="21"/>
      <c r="M57" s="21"/>
      <c r="N57" s="21"/>
      <c r="O57" s="21"/>
      <c r="P57" s="21"/>
      <c r="Q57" s="21"/>
      <c r="R57" s="21"/>
      <c r="S57" s="21"/>
      <c r="T57" s="42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4"/>
      <c r="AJ57" s="57"/>
      <c r="AK57" s="54"/>
      <c r="AL57" s="65">
        <f t="shared" si="6"/>
        <v>0</v>
      </c>
      <c r="AM57" s="22" t="str">
        <f t="shared" si="2"/>
        <v>OK</v>
      </c>
    </row>
    <row r="58" spans="1:39" customFormat="1" ht="16.5" hidden="1" customHeight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136"/>
      <c r="I58" s="27">
        <f t="shared" si="3"/>
        <v>0</v>
      </c>
      <c r="J58" s="27"/>
      <c r="K58" s="16"/>
      <c r="L58" s="27"/>
      <c r="M58" s="27"/>
      <c r="N58" s="27"/>
      <c r="O58" s="27"/>
      <c r="P58" s="27"/>
      <c r="Q58" s="27"/>
      <c r="R58" s="27"/>
      <c r="S58" s="27"/>
      <c r="T58" s="43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5"/>
      <c r="AJ58" s="58"/>
      <c r="AK58" s="55"/>
      <c r="AL58" s="66">
        <f t="shared" si="6"/>
        <v>0</v>
      </c>
      <c r="AM58" s="28" t="str">
        <f t="shared" si="2"/>
        <v>OK</v>
      </c>
    </row>
    <row r="59" spans="1:39" customFormat="1" ht="16.5" hidden="1" customHeight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135"/>
      <c r="I59" s="21">
        <f t="shared" si="3"/>
        <v>0</v>
      </c>
      <c r="J59" s="21"/>
      <c r="K59" s="16"/>
      <c r="L59" s="21"/>
      <c r="M59" s="21"/>
      <c r="N59" s="21"/>
      <c r="O59" s="21"/>
      <c r="P59" s="21"/>
      <c r="Q59" s="21"/>
      <c r="R59" s="21"/>
      <c r="S59" s="21"/>
      <c r="T59" s="4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4"/>
      <c r="AJ59" s="57"/>
      <c r="AK59" s="54"/>
      <c r="AL59" s="65">
        <f t="shared" si="6"/>
        <v>0</v>
      </c>
      <c r="AM59" s="22" t="str">
        <f t="shared" si="2"/>
        <v>OK</v>
      </c>
    </row>
    <row r="60" spans="1:39" customFormat="1" hidden="1">
      <c r="A60" s="68" t="s">
        <v>84</v>
      </c>
      <c r="B60" s="78">
        <v>11380</v>
      </c>
      <c r="C60" s="23" t="s">
        <v>60</v>
      </c>
      <c r="D60" s="24"/>
      <c r="E60" s="24"/>
      <c r="F60" s="24"/>
      <c r="G60" s="25"/>
      <c r="H60" s="136"/>
      <c r="I60" s="27">
        <f t="shared" si="3"/>
        <v>0</v>
      </c>
      <c r="J60" s="27"/>
      <c r="K60" s="16"/>
      <c r="L60" s="27"/>
      <c r="M60" s="27"/>
      <c r="N60" s="27"/>
      <c r="O60" s="27"/>
      <c r="P60" s="27"/>
      <c r="Q60" s="27"/>
      <c r="R60" s="27"/>
      <c r="S60" s="27"/>
      <c r="T60" s="43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5"/>
      <c r="AJ60" s="58"/>
      <c r="AK60" s="55"/>
      <c r="AL60" s="66">
        <f t="shared" si="6"/>
        <v>0</v>
      </c>
      <c r="AM60" s="28" t="str">
        <f t="shared" si="2"/>
        <v>OK</v>
      </c>
    </row>
    <row r="61" spans="1:39" customFormat="1" ht="16.5" customHeight="1">
      <c r="A61" s="80" t="s">
        <v>112</v>
      </c>
      <c r="B61" s="77">
        <v>18518</v>
      </c>
      <c r="C61" s="17" t="s">
        <v>87</v>
      </c>
      <c r="D61" s="69"/>
      <c r="E61" s="18"/>
      <c r="F61" s="18"/>
      <c r="G61" s="19"/>
      <c r="H61" s="135">
        <f>784+540</f>
        <v>1324</v>
      </c>
      <c r="I61" s="21">
        <f t="shared" si="3"/>
        <v>0</v>
      </c>
      <c r="J61" s="21"/>
      <c r="K61" s="16"/>
      <c r="L61" s="21"/>
      <c r="M61" s="21"/>
      <c r="N61" s="21"/>
      <c r="O61" s="21"/>
      <c r="P61" s="21"/>
      <c r="Q61" s="21"/>
      <c r="R61" s="21"/>
      <c r="S61" s="21"/>
      <c r="T61" s="4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4"/>
      <c r="AJ61" s="57"/>
      <c r="AK61" s="54"/>
      <c r="AL61" s="65">
        <f t="shared" si="6"/>
        <v>0</v>
      </c>
      <c r="AM61" s="22" t="str">
        <f t="shared" si="2"/>
        <v>OK</v>
      </c>
    </row>
    <row r="62" spans="1:39" customFormat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136">
        <f>840+1006</f>
        <v>1846</v>
      </c>
      <c r="I62" s="27">
        <f t="shared" si="3"/>
        <v>0</v>
      </c>
      <c r="J62" s="27"/>
      <c r="K62" s="16"/>
      <c r="L62" s="27"/>
      <c r="M62" s="27"/>
      <c r="N62" s="27"/>
      <c r="O62" s="27"/>
      <c r="P62" s="27"/>
      <c r="Q62" s="27"/>
      <c r="R62" s="27"/>
      <c r="S62" s="27"/>
      <c r="T62" s="43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5"/>
      <c r="AJ62" s="58"/>
      <c r="AK62" s="55"/>
      <c r="AL62" s="66">
        <f t="shared" si="6"/>
        <v>0</v>
      </c>
      <c r="AM62" s="28" t="str">
        <f t="shared" si="2"/>
        <v>OK</v>
      </c>
    </row>
    <row r="63" spans="1:39" customFormat="1" ht="16.5" hidden="1" customHeight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135"/>
      <c r="I63" s="21">
        <f t="shared" si="3"/>
        <v>0</v>
      </c>
      <c r="J63" s="21"/>
      <c r="K63" s="16"/>
      <c r="L63" s="21"/>
      <c r="M63" s="21"/>
      <c r="N63" s="21"/>
      <c r="O63" s="21"/>
      <c r="P63" s="21"/>
      <c r="Q63" s="21"/>
      <c r="R63" s="21"/>
      <c r="S63" s="21"/>
      <c r="T63" s="4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4"/>
      <c r="AJ63" s="57"/>
      <c r="AK63" s="54"/>
      <c r="AL63" s="65">
        <f t="shared" si="6"/>
        <v>0</v>
      </c>
      <c r="AM63" s="22" t="str">
        <f t="shared" si="2"/>
        <v>OK</v>
      </c>
    </row>
    <row r="64" spans="1:39" customFormat="1" ht="16.5" hidden="1" customHeight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136"/>
      <c r="I64" s="27">
        <f t="shared" si="3"/>
        <v>0</v>
      </c>
      <c r="J64" s="27"/>
      <c r="K64" s="16"/>
      <c r="L64" s="27"/>
      <c r="M64" s="27"/>
      <c r="N64" s="27"/>
      <c r="O64" s="27"/>
      <c r="P64" s="27"/>
      <c r="Q64" s="27"/>
      <c r="R64" s="27"/>
      <c r="S64" s="27"/>
      <c r="T64" s="43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5"/>
      <c r="AJ64" s="58"/>
      <c r="AK64" s="55"/>
      <c r="AL64" s="66">
        <f t="shared" si="6"/>
        <v>0</v>
      </c>
      <c r="AM64" s="28" t="str">
        <f t="shared" si="2"/>
        <v>OK</v>
      </c>
    </row>
    <row r="65" spans="1:39" customFormat="1" ht="16.5" hidden="1" customHeight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135"/>
      <c r="I65" s="21">
        <f t="shared" si="3"/>
        <v>0</v>
      </c>
      <c r="J65" s="21"/>
      <c r="K65" s="16"/>
      <c r="L65" s="21"/>
      <c r="M65" s="21"/>
      <c r="N65" s="21"/>
      <c r="O65" s="21"/>
      <c r="P65" s="21"/>
      <c r="Q65" s="21"/>
      <c r="R65" s="21"/>
      <c r="S65" s="21"/>
      <c r="T65" s="4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4"/>
      <c r="AJ65" s="57"/>
      <c r="AK65" s="54"/>
      <c r="AL65" s="65">
        <f t="shared" si="4"/>
        <v>0</v>
      </c>
      <c r="AM65" s="22" t="str">
        <f t="shared" si="2"/>
        <v>OK</v>
      </c>
    </row>
    <row r="66" spans="1:39" customFormat="1" ht="16.5" hidden="1" customHeight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136"/>
      <c r="I66" s="27">
        <f t="shared" si="3"/>
        <v>0</v>
      </c>
      <c r="J66" s="27"/>
      <c r="K66" s="16"/>
      <c r="L66" s="27"/>
      <c r="M66" s="27"/>
      <c r="N66" s="27"/>
      <c r="O66" s="27"/>
      <c r="P66" s="27"/>
      <c r="Q66" s="27"/>
      <c r="R66" s="27"/>
      <c r="S66" s="27"/>
      <c r="T66" s="43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5"/>
      <c r="AJ66" s="58"/>
      <c r="AK66" s="55"/>
      <c r="AL66" s="66">
        <f t="shared" si="4"/>
        <v>0</v>
      </c>
      <c r="AM66" s="28" t="str">
        <f t="shared" si="2"/>
        <v>OK</v>
      </c>
    </row>
    <row r="67" spans="1:39" customFormat="1" ht="16.5" customHeight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135">
        <v>300</v>
      </c>
      <c r="I67" s="21">
        <f t="shared" si="3"/>
        <v>0</v>
      </c>
      <c r="J67" s="21"/>
      <c r="K67" s="16"/>
      <c r="L67" s="21"/>
      <c r="M67" s="21"/>
      <c r="N67" s="21"/>
      <c r="O67" s="21"/>
      <c r="P67" s="21"/>
      <c r="Q67" s="21"/>
      <c r="R67" s="21"/>
      <c r="S67" s="21"/>
      <c r="T67" s="4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4"/>
      <c r="AJ67" s="57"/>
      <c r="AK67" s="54"/>
      <c r="AL67" s="65">
        <f t="shared" si="4"/>
        <v>0</v>
      </c>
      <c r="AM67" s="22" t="str">
        <f t="shared" si="2"/>
        <v>OK</v>
      </c>
    </row>
    <row r="68" spans="1:39" customFormat="1" ht="16.5" hidden="1" customHeight="1">
      <c r="A68" s="81" t="s">
        <v>132</v>
      </c>
      <c r="B68" s="78">
        <v>20269</v>
      </c>
      <c r="C68" s="23" t="s">
        <v>131</v>
      </c>
      <c r="D68" s="24"/>
      <c r="E68" s="24"/>
      <c r="F68" s="24"/>
      <c r="G68" s="25"/>
      <c r="H68" s="136"/>
      <c r="I68" s="27">
        <f t="shared" si="3"/>
        <v>0</v>
      </c>
      <c r="J68" s="27"/>
      <c r="K68" s="16"/>
      <c r="L68" s="27"/>
      <c r="M68" s="27"/>
      <c r="N68" s="27"/>
      <c r="O68" s="27"/>
      <c r="P68" s="27"/>
      <c r="Q68" s="27"/>
      <c r="R68" s="27"/>
      <c r="S68" s="27"/>
      <c r="T68" s="43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5"/>
      <c r="AJ68" s="58"/>
      <c r="AK68" s="55"/>
      <c r="AL68" s="66">
        <f t="shared" si="4"/>
        <v>0</v>
      </c>
      <c r="AM68" s="28" t="str">
        <f t="shared" si="2"/>
        <v>OK</v>
      </c>
    </row>
    <row r="69" spans="1:39" customFormat="1" hidden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142"/>
      <c r="I69" s="21">
        <f t="shared" si="3"/>
        <v>0</v>
      </c>
      <c r="J69" s="21"/>
      <c r="K69" s="16"/>
      <c r="L69" s="21"/>
      <c r="M69" s="21"/>
      <c r="N69" s="21"/>
      <c r="O69" s="21"/>
      <c r="P69" s="21"/>
      <c r="Q69" s="21"/>
      <c r="R69" s="21"/>
      <c r="S69" s="21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7"/>
      <c r="AK69" s="54"/>
      <c r="AL69" s="65">
        <f t="shared" si="4"/>
        <v>0</v>
      </c>
      <c r="AM69" s="22" t="str">
        <f t="shared" si="2"/>
        <v>OK</v>
      </c>
    </row>
    <row r="70" spans="1:39" customFormat="1" ht="16.5" hidden="1" customHeight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136"/>
      <c r="I70" s="27">
        <f t="shared" si="3"/>
        <v>0</v>
      </c>
      <c r="J70" s="27"/>
      <c r="K70" s="16"/>
      <c r="L70" s="27"/>
      <c r="M70" s="27"/>
      <c r="N70" s="27"/>
      <c r="O70" s="27"/>
      <c r="P70" s="27"/>
      <c r="Q70" s="27"/>
      <c r="R70" s="27"/>
      <c r="S70" s="27"/>
      <c r="T70" s="43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5"/>
      <c r="AJ70" s="58"/>
      <c r="AK70" s="55"/>
      <c r="AL70" s="66">
        <f t="shared" si="4"/>
        <v>0</v>
      </c>
      <c r="AM70" s="28" t="str">
        <f t="shared" si="2"/>
        <v>OK</v>
      </c>
    </row>
    <row r="71" spans="1:39" customFormat="1" ht="16.5" customHeight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135">
        <v>130</v>
      </c>
      <c r="I71" s="21">
        <f t="shared" ref="I71:I96" si="7">SUM(L71:AK71)</f>
        <v>0</v>
      </c>
      <c r="J71" s="21"/>
      <c r="K71" s="16"/>
      <c r="L71" s="21"/>
      <c r="M71" s="21"/>
      <c r="N71" s="21"/>
      <c r="O71" s="21"/>
      <c r="P71" s="21"/>
      <c r="Q71" s="21"/>
      <c r="R71" s="21"/>
      <c r="S71" s="21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4"/>
      <c r="AJ71" s="57"/>
      <c r="AK71" s="54"/>
      <c r="AL71" s="65">
        <f t="shared" si="4"/>
        <v>0</v>
      </c>
      <c r="AM71" s="22" t="str">
        <f t="shared" si="2"/>
        <v>OK</v>
      </c>
    </row>
    <row r="72" spans="1:39" customFormat="1" hidden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136"/>
      <c r="I72" s="27">
        <f t="shared" si="7"/>
        <v>0</v>
      </c>
      <c r="J72" s="27"/>
      <c r="K72" s="16"/>
      <c r="L72" s="27"/>
      <c r="M72" s="27"/>
      <c r="N72" s="27"/>
      <c r="O72" s="27"/>
      <c r="P72" s="27"/>
      <c r="Q72" s="27"/>
      <c r="R72" s="27"/>
      <c r="S72" s="27"/>
      <c r="T72" s="43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5"/>
      <c r="AJ72" s="58"/>
      <c r="AK72" s="55"/>
      <c r="AL72" s="66">
        <f t="shared" si="4"/>
        <v>0</v>
      </c>
      <c r="AM72" s="28" t="str">
        <f t="shared" si="2"/>
        <v>OK</v>
      </c>
    </row>
    <row r="73" spans="1:39" customFormat="1" ht="16.5" hidden="1" customHeight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138"/>
      <c r="I73" s="101">
        <f t="shared" si="7"/>
        <v>0</v>
      </c>
      <c r="J73" s="21"/>
      <c r="K73" s="16"/>
      <c r="L73" s="21"/>
      <c r="M73" s="21"/>
      <c r="N73" s="21"/>
      <c r="O73" s="21"/>
      <c r="P73" s="21"/>
      <c r="Q73" s="21"/>
      <c r="R73" s="21"/>
      <c r="S73" s="21"/>
      <c r="T73" s="42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4"/>
      <c r="AJ73" s="57"/>
      <c r="AK73" s="54"/>
      <c r="AL73" s="65">
        <f t="shared" si="4"/>
        <v>0</v>
      </c>
      <c r="AM73" s="22" t="str">
        <f t="shared" si="2"/>
        <v>OK</v>
      </c>
    </row>
    <row r="74" spans="1:39" customFormat="1" ht="16.5" hidden="1" customHeight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139"/>
      <c r="I74" s="103">
        <f t="shared" si="7"/>
        <v>0</v>
      </c>
      <c r="J74" s="27"/>
      <c r="K74" s="16"/>
      <c r="L74" s="100"/>
      <c r="M74" s="100"/>
      <c r="N74" s="100"/>
      <c r="O74" s="100"/>
      <c r="P74" s="100"/>
      <c r="Q74" s="100"/>
      <c r="R74" s="100"/>
      <c r="S74" s="100"/>
      <c r="T74" s="109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1"/>
      <c r="AJ74" s="112"/>
      <c r="AK74" s="111"/>
      <c r="AL74" s="66">
        <f t="shared" si="4"/>
        <v>0</v>
      </c>
      <c r="AM74" s="28" t="str">
        <f t="shared" si="2"/>
        <v>OK</v>
      </c>
    </row>
    <row r="75" spans="1:39" ht="16.5" hidden="1" customHeight="1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40"/>
      <c r="I75" s="105">
        <f t="shared" si="7"/>
        <v>0</v>
      </c>
      <c r="J75" s="90"/>
      <c r="K75" s="91"/>
      <c r="L75" s="113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5"/>
      <c r="AL75" s="92">
        <f t="shared" ref="AL75:AL80" si="8">SUM(L75:AK75)</f>
        <v>0</v>
      </c>
      <c r="AM75" s="122" t="str">
        <f t="shared" ref="AM75:AM96" si="9">IF(AL75=I75,"OK","NG")</f>
        <v>OK</v>
      </c>
    </row>
    <row r="76" spans="1:39" ht="16.5" customHeight="1" thickBot="1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139">
        <f>1200+1700+463</f>
        <v>3363</v>
      </c>
      <c r="I76" s="106">
        <f t="shared" si="7"/>
        <v>0</v>
      </c>
      <c r="J76" s="85"/>
      <c r="K76" s="16"/>
      <c r="L76" s="1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8"/>
      <c r="AL76" s="66">
        <f t="shared" si="8"/>
        <v>0</v>
      </c>
      <c r="AM76" s="28" t="str">
        <f t="shared" si="9"/>
        <v>OK</v>
      </c>
    </row>
    <row r="77" spans="1:39" ht="16.5" hidden="1" customHeight="1">
      <c r="A77" s="87" t="s">
        <v>165</v>
      </c>
      <c r="B77" s="93">
        <v>13007</v>
      </c>
      <c r="C77" s="94" t="s">
        <v>164</v>
      </c>
      <c r="D77" s="88"/>
      <c r="E77" s="88"/>
      <c r="F77" s="88"/>
      <c r="G77" s="89"/>
      <c r="H77" s="104"/>
      <c r="I77" s="105">
        <f t="shared" si="7"/>
        <v>0</v>
      </c>
      <c r="J77" s="90"/>
      <c r="K77" s="91"/>
      <c r="L77" s="113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5"/>
      <c r="AL77" s="92">
        <f t="shared" si="8"/>
        <v>0</v>
      </c>
      <c r="AM77" s="122" t="str">
        <f t="shared" si="9"/>
        <v>OK</v>
      </c>
    </row>
    <row r="78" spans="1:39" ht="16.5" hidden="1" customHeight="1">
      <c r="A78" s="68"/>
      <c r="B78" s="78"/>
      <c r="C78" s="95"/>
      <c r="D78" s="83"/>
      <c r="E78" s="83"/>
      <c r="F78" s="83"/>
      <c r="G78" s="84"/>
      <c r="H78" s="102"/>
      <c r="I78" s="106">
        <f t="shared" si="7"/>
        <v>0</v>
      </c>
      <c r="J78" s="85"/>
      <c r="K78" s="16"/>
      <c r="L78" s="1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66">
        <f t="shared" si="8"/>
        <v>0</v>
      </c>
      <c r="AM78" s="28" t="str">
        <f t="shared" si="9"/>
        <v>OK</v>
      </c>
    </row>
    <row r="79" spans="1:39" ht="16.5" hidden="1" customHeight="1">
      <c r="A79" s="87"/>
      <c r="B79" s="93"/>
      <c r="C79" s="94"/>
      <c r="D79" s="88"/>
      <c r="E79" s="88"/>
      <c r="F79" s="88"/>
      <c r="G79" s="89"/>
      <c r="H79" s="104"/>
      <c r="I79" s="105">
        <f t="shared" si="7"/>
        <v>0</v>
      </c>
      <c r="J79" s="90"/>
      <c r="K79" s="91"/>
      <c r="L79" s="113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5"/>
      <c r="AL79" s="92">
        <f t="shared" si="8"/>
        <v>0</v>
      </c>
      <c r="AM79" s="122" t="str">
        <f t="shared" si="9"/>
        <v>OK</v>
      </c>
    </row>
    <row r="80" spans="1:39" ht="16.5" hidden="1" customHeight="1">
      <c r="A80" s="68"/>
      <c r="B80" s="78"/>
      <c r="C80" s="95"/>
      <c r="D80" s="83"/>
      <c r="E80" s="83"/>
      <c r="F80" s="83"/>
      <c r="G80" s="84"/>
      <c r="H80" s="102"/>
      <c r="I80" s="106">
        <f t="shared" si="7"/>
        <v>0</v>
      </c>
      <c r="J80" s="85"/>
      <c r="K80" s="16"/>
      <c r="L80" s="116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66">
        <f t="shared" si="8"/>
        <v>0</v>
      </c>
      <c r="AM80" s="28" t="str">
        <f t="shared" si="9"/>
        <v>OK</v>
      </c>
    </row>
    <row r="81" spans="1:39" ht="16.5" hidden="1" customHeight="1">
      <c r="A81" s="87"/>
      <c r="B81" s="93"/>
      <c r="C81" s="94"/>
      <c r="D81" s="88"/>
      <c r="E81" s="88"/>
      <c r="F81" s="88"/>
      <c r="G81" s="89"/>
      <c r="H81" s="104"/>
      <c r="I81" s="105">
        <f t="shared" si="7"/>
        <v>0</v>
      </c>
      <c r="J81" s="90"/>
      <c r="K81" s="91"/>
      <c r="L81" s="113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5"/>
      <c r="AL81" s="92">
        <f t="shared" ref="AL81:AL96" si="10">SUM(L81:AK81)</f>
        <v>0</v>
      </c>
      <c r="AM81" s="122" t="str">
        <f t="shared" si="9"/>
        <v>OK</v>
      </c>
    </row>
    <row r="82" spans="1:39" ht="16.5" hidden="1" customHeight="1">
      <c r="A82" s="68"/>
      <c r="B82" s="78"/>
      <c r="C82" s="95"/>
      <c r="D82" s="83"/>
      <c r="E82" s="83"/>
      <c r="F82" s="83"/>
      <c r="G82" s="84"/>
      <c r="H82" s="102"/>
      <c r="I82" s="106">
        <f t="shared" si="7"/>
        <v>0</v>
      </c>
      <c r="J82" s="85"/>
      <c r="K82" s="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66">
        <f t="shared" si="10"/>
        <v>0</v>
      </c>
      <c r="AM82" s="28" t="str">
        <f t="shared" si="9"/>
        <v>OK</v>
      </c>
    </row>
    <row r="83" spans="1:39" ht="16.5" hidden="1" customHeight="1">
      <c r="A83" s="96"/>
      <c r="B83" s="93"/>
      <c r="C83" s="94"/>
      <c r="D83" s="88"/>
      <c r="E83" s="88"/>
      <c r="F83" s="88"/>
      <c r="G83" s="89"/>
      <c r="H83" s="104"/>
      <c r="I83" s="105">
        <f t="shared" si="7"/>
        <v>0</v>
      </c>
      <c r="J83" s="90"/>
      <c r="K83" s="91"/>
      <c r="L83" s="113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5"/>
      <c r="AL83" s="92">
        <f t="shared" si="10"/>
        <v>0</v>
      </c>
      <c r="AM83" s="122" t="str">
        <f t="shared" si="9"/>
        <v>OK</v>
      </c>
    </row>
    <row r="84" spans="1:39" ht="16.5" hidden="1" customHeight="1">
      <c r="A84" s="68"/>
      <c r="B84" s="78"/>
      <c r="C84" s="95"/>
      <c r="D84" s="83"/>
      <c r="E84" s="83"/>
      <c r="F84" s="83"/>
      <c r="G84" s="84"/>
      <c r="H84" s="102"/>
      <c r="I84" s="106">
        <f t="shared" si="7"/>
        <v>0</v>
      </c>
      <c r="J84" s="85"/>
      <c r="K84" s="16"/>
      <c r="L84" s="116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66">
        <f t="shared" si="10"/>
        <v>0</v>
      </c>
      <c r="AM84" s="28" t="str">
        <f t="shared" si="9"/>
        <v>OK</v>
      </c>
    </row>
    <row r="85" spans="1:39" ht="16.5" hidden="1" customHeight="1">
      <c r="A85" s="87"/>
      <c r="B85" s="93"/>
      <c r="C85" s="94"/>
      <c r="D85" s="88"/>
      <c r="E85" s="88"/>
      <c r="F85" s="88"/>
      <c r="G85" s="89"/>
      <c r="H85" s="104"/>
      <c r="I85" s="105">
        <f t="shared" si="7"/>
        <v>0</v>
      </c>
      <c r="J85" s="90"/>
      <c r="K85" s="91"/>
      <c r="L85" s="113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5"/>
      <c r="AL85" s="92">
        <f t="shared" si="10"/>
        <v>0</v>
      </c>
      <c r="AM85" s="122" t="str">
        <f t="shared" si="9"/>
        <v>OK</v>
      </c>
    </row>
    <row r="86" spans="1:39" ht="16.5" hidden="1" customHeight="1">
      <c r="A86" s="68"/>
      <c r="B86" s="78"/>
      <c r="C86" s="95"/>
      <c r="D86" s="83"/>
      <c r="E86" s="83"/>
      <c r="F86" s="83"/>
      <c r="G86" s="84"/>
      <c r="H86" s="102"/>
      <c r="I86" s="106">
        <f t="shared" si="7"/>
        <v>0</v>
      </c>
      <c r="J86" s="85"/>
      <c r="K86" s="16"/>
      <c r="L86" s="116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66">
        <f t="shared" si="10"/>
        <v>0</v>
      </c>
      <c r="AM86" s="28" t="str">
        <f t="shared" si="9"/>
        <v>OK</v>
      </c>
    </row>
    <row r="87" spans="1:39" ht="16.5" hidden="1" customHeight="1">
      <c r="A87" s="87"/>
      <c r="B87" s="93"/>
      <c r="C87" s="94"/>
      <c r="D87" s="88"/>
      <c r="E87" s="88"/>
      <c r="F87" s="88"/>
      <c r="G87" s="89"/>
      <c r="H87" s="104"/>
      <c r="I87" s="105">
        <f t="shared" si="7"/>
        <v>0</v>
      </c>
      <c r="J87" s="90"/>
      <c r="K87" s="91"/>
      <c r="L87" s="113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5"/>
      <c r="AL87" s="92">
        <f t="shared" si="10"/>
        <v>0</v>
      </c>
      <c r="AM87" s="122" t="str">
        <f t="shared" si="9"/>
        <v>OK</v>
      </c>
    </row>
    <row r="88" spans="1:39" ht="16.5" hidden="1" customHeight="1">
      <c r="A88" s="68"/>
      <c r="B88" s="78"/>
      <c r="C88" s="95"/>
      <c r="D88" s="83"/>
      <c r="E88" s="83"/>
      <c r="F88" s="83"/>
      <c r="G88" s="84"/>
      <c r="H88" s="102"/>
      <c r="I88" s="106">
        <f t="shared" si="7"/>
        <v>0</v>
      </c>
      <c r="J88" s="85"/>
      <c r="K88" s="16"/>
      <c r="L88" s="116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66">
        <f t="shared" si="10"/>
        <v>0</v>
      </c>
      <c r="AM88" s="28" t="str">
        <f t="shared" si="9"/>
        <v>OK</v>
      </c>
    </row>
    <row r="89" spans="1:39" ht="16.5" hidden="1" customHeight="1">
      <c r="A89" s="87"/>
      <c r="B89" s="93"/>
      <c r="C89" s="94"/>
      <c r="D89" s="88"/>
      <c r="E89" s="88"/>
      <c r="F89" s="88"/>
      <c r="G89" s="89"/>
      <c r="H89" s="104"/>
      <c r="I89" s="105">
        <f t="shared" si="7"/>
        <v>0</v>
      </c>
      <c r="J89" s="90"/>
      <c r="K89" s="91"/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5"/>
      <c r="AL89" s="92">
        <f t="shared" si="10"/>
        <v>0</v>
      </c>
      <c r="AM89" s="122" t="str">
        <f t="shared" si="9"/>
        <v>OK</v>
      </c>
    </row>
    <row r="90" spans="1:39" ht="16.5" hidden="1" customHeight="1">
      <c r="A90" s="68"/>
      <c r="B90" s="78"/>
      <c r="C90" s="95"/>
      <c r="D90" s="83"/>
      <c r="E90" s="83"/>
      <c r="F90" s="83"/>
      <c r="G90" s="84"/>
      <c r="H90" s="102"/>
      <c r="I90" s="106">
        <f t="shared" si="7"/>
        <v>0</v>
      </c>
      <c r="J90" s="85"/>
      <c r="K90" s="16"/>
      <c r="L90" s="116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66">
        <f t="shared" si="10"/>
        <v>0</v>
      </c>
      <c r="AM90" s="28" t="str">
        <f t="shared" si="9"/>
        <v>OK</v>
      </c>
    </row>
    <row r="91" spans="1:39" ht="16.5" hidden="1" customHeight="1">
      <c r="A91" s="87"/>
      <c r="B91" s="93"/>
      <c r="C91" s="94"/>
      <c r="D91" s="88"/>
      <c r="E91" s="88"/>
      <c r="F91" s="88"/>
      <c r="G91" s="89"/>
      <c r="H91" s="104"/>
      <c r="I91" s="105">
        <f t="shared" si="7"/>
        <v>0</v>
      </c>
      <c r="J91" s="90"/>
      <c r="K91" s="91"/>
      <c r="L91" s="113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5"/>
      <c r="AL91" s="92">
        <f t="shared" si="10"/>
        <v>0</v>
      </c>
      <c r="AM91" s="122" t="str">
        <f t="shared" si="9"/>
        <v>OK</v>
      </c>
    </row>
    <row r="92" spans="1:39" ht="16.5" hidden="1" customHeight="1">
      <c r="A92" s="68"/>
      <c r="B92" s="78"/>
      <c r="C92" s="95"/>
      <c r="D92" s="83"/>
      <c r="E92" s="83"/>
      <c r="F92" s="83"/>
      <c r="G92" s="84"/>
      <c r="H92" s="102"/>
      <c r="I92" s="106">
        <f t="shared" si="7"/>
        <v>0</v>
      </c>
      <c r="J92" s="85"/>
      <c r="K92" s="16"/>
      <c r="L92" s="116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66">
        <f t="shared" si="10"/>
        <v>0</v>
      </c>
      <c r="AM92" s="28" t="str">
        <f t="shared" si="9"/>
        <v>OK</v>
      </c>
    </row>
    <row r="93" spans="1:39" ht="16.5" hidden="1" customHeight="1">
      <c r="A93" s="87"/>
      <c r="B93" s="93"/>
      <c r="C93" s="94"/>
      <c r="D93" s="88"/>
      <c r="E93" s="88"/>
      <c r="F93" s="88"/>
      <c r="G93" s="89"/>
      <c r="H93" s="104"/>
      <c r="I93" s="105">
        <f t="shared" si="7"/>
        <v>0</v>
      </c>
      <c r="J93" s="90"/>
      <c r="K93" s="91"/>
      <c r="L93" s="113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5"/>
      <c r="AL93" s="92">
        <f t="shared" si="10"/>
        <v>0</v>
      </c>
      <c r="AM93" s="122" t="str">
        <f t="shared" si="9"/>
        <v>OK</v>
      </c>
    </row>
    <row r="94" spans="1:39" ht="16.5" hidden="1" customHeight="1">
      <c r="A94" s="68"/>
      <c r="B94" s="78"/>
      <c r="C94" s="95"/>
      <c r="D94" s="83"/>
      <c r="E94" s="83"/>
      <c r="F94" s="83"/>
      <c r="G94" s="84"/>
      <c r="H94" s="102"/>
      <c r="I94" s="106">
        <f t="shared" si="7"/>
        <v>0</v>
      </c>
      <c r="J94" s="85"/>
      <c r="K94" s="16"/>
      <c r="L94" s="116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66">
        <f t="shared" si="10"/>
        <v>0</v>
      </c>
      <c r="AM94" s="28" t="str">
        <f t="shared" si="9"/>
        <v>OK</v>
      </c>
    </row>
    <row r="95" spans="1:39" ht="16.5" hidden="1" customHeight="1">
      <c r="A95" s="87"/>
      <c r="B95" s="93"/>
      <c r="C95" s="94"/>
      <c r="D95" s="88"/>
      <c r="E95" s="88"/>
      <c r="F95" s="88"/>
      <c r="G95" s="89"/>
      <c r="H95" s="104"/>
      <c r="I95" s="105">
        <f t="shared" si="7"/>
        <v>0</v>
      </c>
      <c r="J95" s="90"/>
      <c r="K95" s="91"/>
      <c r="L95" s="113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5"/>
      <c r="AL95" s="92">
        <f t="shared" si="10"/>
        <v>0</v>
      </c>
      <c r="AM95" s="122" t="str">
        <f t="shared" si="9"/>
        <v>OK</v>
      </c>
    </row>
    <row r="96" spans="1:39" ht="17.25" hidden="1" customHeight="1" thickBot="1">
      <c r="A96" s="97"/>
      <c r="B96" s="98"/>
      <c r="C96" s="99"/>
      <c r="D96" s="83"/>
      <c r="E96" s="83"/>
      <c r="F96" s="83"/>
      <c r="G96" s="84"/>
      <c r="H96" s="107"/>
      <c r="I96" s="108">
        <f t="shared" si="7"/>
        <v>0</v>
      </c>
      <c r="J96" s="85"/>
      <c r="K96" s="16"/>
      <c r="L96" s="119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1"/>
      <c r="AL96" s="66">
        <f t="shared" si="10"/>
        <v>0</v>
      </c>
      <c r="AM96" s="28" t="str">
        <f t="shared" si="9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25203</v>
      </c>
      <c r="I97" s="46">
        <f>SUM(I6:I96)</f>
        <v>15</v>
      </c>
      <c r="J97" s="47">
        <f>SUM(J6:J74)</f>
        <v>0</v>
      </c>
      <c r="K97" s="9"/>
      <c r="L97" s="45">
        <f>SUM(L6:L96)</f>
        <v>9</v>
      </c>
      <c r="M97" s="45">
        <f t="shared" ref="M97:AI97" si="11">SUM(M6:M96)</f>
        <v>0</v>
      </c>
      <c r="N97" s="45">
        <f t="shared" si="11"/>
        <v>0</v>
      </c>
      <c r="O97" s="45">
        <f t="shared" si="11"/>
        <v>0</v>
      </c>
      <c r="P97" s="45">
        <f t="shared" si="11"/>
        <v>0</v>
      </c>
      <c r="Q97" s="45">
        <f t="shared" si="11"/>
        <v>0</v>
      </c>
      <c r="R97" s="45">
        <f t="shared" si="11"/>
        <v>0</v>
      </c>
      <c r="S97" s="45">
        <f t="shared" si="11"/>
        <v>0</v>
      </c>
      <c r="T97" s="45">
        <f t="shared" si="11"/>
        <v>0</v>
      </c>
      <c r="U97" s="45">
        <f t="shared" si="11"/>
        <v>0</v>
      </c>
      <c r="V97" s="45">
        <f t="shared" si="11"/>
        <v>0</v>
      </c>
      <c r="W97" s="45">
        <f t="shared" si="11"/>
        <v>0</v>
      </c>
      <c r="X97" s="45">
        <f t="shared" si="11"/>
        <v>0</v>
      </c>
      <c r="Y97" s="45">
        <f t="shared" si="11"/>
        <v>0</v>
      </c>
      <c r="Z97" s="45">
        <f t="shared" si="11"/>
        <v>0</v>
      </c>
      <c r="AA97" s="45">
        <f t="shared" si="11"/>
        <v>0</v>
      </c>
      <c r="AB97" s="45">
        <f t="shared" si="11"/>
        <v>0</v>
      </c>
      <c r="AC97" s="45">
        <f t="shared" si="11"/>
        <v>6</v>
      </c>
      <c r="AD97" s="45">
        <f t="shared" si="11"/>
        <v>0</v>
      </c>
      <c r="AE97" s="45">
        <f t="shared" si="11"/>
        <v>0</v>
      </c>
      <c r="AF97" s="45">
        <f t="shared" si="11"/>
        <v>0</v>
      </c>
      <c r="AG97" s="45">
        <f t="shared" si="11"/>
        <v>0</v>
      </c>
      <c r="AH97" s="45">
        <f t="shared" si="11"/>
        <v>0</v>
      </c>
      <c r="AI97" s="45">
        <f t="shared" si="11"/>
        <v>0</v>
      </c>
      <c r="AJ97" s="49">
        <f>SUM(AJ6:AJ96)</f>
        <v>0</v>
      </c>
      <c r="AK97" s="61">
        <f>SUM(AK6:AK96)</f>
        <v>0</v>
      </c>
      <c r="AL97" s="67">
        <f>SUM(AL6:AL96)</f>
        <v>15</v>
      </c>
      <c r="AM97" s="48" t="str">
        <f>IF(AL97=SUM(I97),"OK","NG")</f>
        <v>OK</v>
      </c>
    </row>
    <row r="99" spans="1:39">
      <c r="M99" s="86"/>
    </row>
    <row r="101" spans="1:39">
      <c r="I101" s="86"/>
    </row>
  </sheetData>
  <autoFilter ref="A5:AM97" xr:uid="{00000000-0001-0000-0900-000000000000}">
    <filterColumn colId="7">
      <customFilters>
        <customFilter operator="notEqual" val=" "/>
      </customFilters>
    </filterColumn>
  </autoFilter>
  <mergeCells count="37">
    <mergeCell ref="AM4:AM5"/>
    <mergeCell ref="AG4:AG5"/>
    <mergeCell ref="AH4:AH5"/>
    <mergeCell ref="AI4:AI5"/>
    <mergeCell ref="AJ4:AJ5"/>
    <mergeCell ref="AK4:AK5"/>
    <mergeCell ref="AL4:AL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B1:C1"/>
    <mergeCell ref="F1:G1"/>
    <mergeCell ref="H1:J3"/>
    <mergeCell ref="B2:C2"/>
    <mergeCell ref="AM2:AM3"/>
    <mergeCell ref="B3:C3"/>
  </mergeCells>
  <phoneticPr fontId="3" type="noConversion"/>
  <conditionalFormatting sqref="A4 AM6:AM97">
    <cfRule type="containsText" dxfId="59" priority="7" operator="containsText" text="NG">
      <formula>NOT(ISERROR(SEARCH("NG",A4)))</formula>
    </cfRule>
    <cfRule type="containsText" dxfId="58" priority="8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51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 filterMode="1">
    <pageSetUpPr fitToPage="1"/>
  </sheetPr>
  <dimension ref="A1:AM102"/>
  <sheetViews>
    <sheetView showGridLines="0" zoomScale="85" zoomScaleNormal="85" workbookViewId="0">
      <pane ySplit="5" topLeftCell="A38" activePane="bottomLeft" state="frozen"/>
      <selection activeCell="P19" sqref="P19"/>
      <selection pane="bottomLeft" activeCell="L100" sqref="L100"/>
    </sheetView>
  </sheetViews>
  <sheetFormatPr defaultColWidth="9" defaultRowHeight="16.5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16" width="8.75"/>
    <col min="17" max="20" width="9" customWidth="1"/>
    <col min="21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5" customHeight="1" thickBot="1">
      <c r="A1" s="37" t="s">
        <v>13</v>
      </c>
      <c r="B1" s="168">
        <f>H97</f>
        <v>7230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5" customHeight="1" thickBot="1">
      <c r="A2" s="37" t="s">
        <v>14</v>
      </c>
      <c r="B2" s="173">
        <f>I97</f>
        <v>3</v>
      </c>
      <c r="C2" s="174"/>
      <c r="D2" s="75"/>
      <c r="E2" s="71"/>
      <c r="F2" s="2"/>
      <c r="G2" s="2"/>
      <c r="H2" s="171"/>
      <c r="I2" s="171"/>
      <c r="J2" s="171"/>
      <c r="K2" s="3"/>
      <c r="L2" s="4">
        <f t="shared" ref="L2:AK2" si="0">SUBTOTAL(9,L6:L96)</f>
        <v>0</v>
      </c>
      <c r="M2" s="4">
        <f t="shared" si="0"/>
        <v>0</v>
      </c>
      <c r="N2" s="4">
        <f t="shared" si="0"/>
        <v>0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39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0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0</v>
      </c>
      <c r="AH2" s="5">
        <f t="shared" si="0"/>
        <v>0</v>
      </c>
      <c r="AI2" s="5">
        <f t="shared" si="0"/>
        <v>3</v>
      </c>
      <c r="AJ2" s="5">
        <f t="shared" si="0"/>
        <v>0</v>
      </c>
      <c r="AK2" s="59">
        <f t="shared" si="0"/>
        <v>0</v>
      </c>
      <c r="AL2" s="62">
        <f>SUBTOTAL(9,AL6:AL96)</f>
        <v>3</v>
      </c>
      <c r="AM2" s="175"/>
    </row>
    <row r="3" spans="1:39" customFormat="1" ht="22.5" customHeight="1" thickBot="1">
      <c r="A3" s="38" t="s">
        <v>15</v>
      </c>
      <c r="B3" s="177">
        <f>IF(ISERROR(B2/(B2+B1)*1000000),"",(B2/(B2+B1)*1000000))</f>
        <v>414.76565740356693</v>
      </c>
      <c r="C3" s="178"/>
      <c r="D3" s="73"/>
      <c r="E3" s="72"/>
      <c r="F3" s="32"/>
      <c r="G3" s="32"/>
      <c r="H3" s="172"/>
      <c r="I3" s="172"/>
      <c r="J3" s="172"/>
      <c r="K3" s="6"/>
      <c r="L3" s="7">
        <f t="shared" ref="L3:AK3" si="1">SUM(L6:L96)</f>
        <v>0</v>
      </c>
      <c r="M3" s="7">
        <f t="shared" si="1"/>
        <v>0</v>
      </c>
      <c r="N3" s="7">
        <f t="shared" si="1"/>
        <v>0</v>
      </c>
      <c r="O3" s="7">
        <f t="shared" si="1"/>
        <v>0</v>
      </c>
      <c r="P3" s="7">
        <f t="shared" si="1"/>
        <v>0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40">
        <f t="shared" si="1"/>
        <v>0</v>
      </c>
      <c r="U3" s="8">
        <f t="shared" si="1"/>
        <v>0</v>
      </c>
      <c r="V3" s="8">
        <f t="shared" si="1"/>
        <v>0</v>
      </c>
      <c r="W3" s="8">
        <f t="shared" si="1"/>
        <v>0</v>
      </c>
      <c r="X3" s="8">
        <f t="shared" si="1"/>
        <v>0</v>
      </c>
      <c r="Y3" s="8">
        <f t="shared" si="1"/>
        <v>0</v>
      </c>
      <c r="Z3" s="8">
        <f t="shared" si="1"/>
        <v>0</v>
      </c>
      <c r="AA3" s="8">
        <f t="shared" si="1"/>
        <v>0</v>
      </c>
      <c r="AB3" s="8">
        <f t="shared" si="1"/>
        <v>0</v>
      </c>
      <c r="AC3" s="8">
        <f t="shared" si="1"/>
        <v>0</v>
      </c>
      <c r="AD3" s="8">
        <f t="shared" si="1"/>
        <v>0</v>
      </c>
      <c r="AE3" s="8">
        <f t="shared" si="1"/>
        <v>0</v>
      </c>
      <c r="AF3" s="8">
        <f t="shared" si="1"/>
        <v>0</v>
      </c>
      <c r="AG3" s="8">
        <f t="shared" si="1"/>
        <v>0</v>
      </c>
      <c r="AH3" s="8">
        <f t="shared" si="1"/>
        <v>0</v>
      </c>
      <c r="AI3" s="8">
        <f t="shared" si="1"/>
        <v>3</v>
      </c>
      <c r="AJ3" s="8">
        <f t="shared" si="1"/>
        <v>0</v>
      </c>
      <c r="AK3" s="60">
        <f t="shared" si="1"/>
        <v>0</v>
      </c>
      <c r="AL3" s="63">
        <f>SUM(AL6:AL96)</f>
        <v>3</v>
      </c>
      <c r="AM3" s="176"/>
    </row>
    <row r="4" spans="1:39" customFormat="1" ht="43.5" customHeight="1">
      <c r="A4" s="163" t="str">
        <f>AM97</f>
        <v>OK</v>
      </c>
      <c r="B4" s="163"/>
      <c r="C4" s="163"/>
      <c r="D4" s="164"/>
      <c r="E4" s="165" t="s">
        <v>16</v>
      </c>
      <c r="F4" s="165"/>
      <c r="G4" s="165"/>
      <c r="H4" s="165" t="s">
        <v>17</v>
      </c>
      <c r="I4" s="165"/>
      <c r="J4" s="165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1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56" t="s">
        <v>12</v>
      </c>
      <c r="AL4" s="158" t="s">
        <v>36</v>
      </c>
      <c r="AM4" s="149" t="s">
        <v>37</v>
      </c>
    </row>
    <row r="5" spans="1:39" customFormat="1" ht="33.75" thickBot="1">
      <c r="A5" s="34" t="s">
        <v>3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137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6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3"/>
      <c r="AJ5" s="155"/>
      <c r="AK5" s="157"/>
      <c r="AL5" s="159"/>
      <c r="AM5" s="150"/>
    </row>
    <row r="6" spans="1:39" customFormat="1" hidden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34"/>
      <c r="I6" s="15">
        <f>SUM(L6:AK6)</f>
        <v>0</v>
      </c>
      <c r="J6" s="15"/>
      <c r="K6" s="16"/>
      <c r="L6" s="15"/>
      <c r="M6" s="15"/>
      <c r="N6" s="15"/>
      <c r="O6" s="15"/>
      <c r="P6" s="15"/>
      <c r="Q6" s="15"/>
      <c r="R6" s="15"/>
      <c r="S6" s="15"/>
      <c r="T6" s="41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3"/>
      <c r="AJ6" s="56"/>
      <c r="AK6" s="53"/>
      <c r="AL6" s="64">
        <f>SUM(L6:AK6)</f>
        <v>0</v>
      </c>
      <c r="AM6" s="31" t="str">
        <f t="shared" ref="AM6:AM74" si="2">IF(AL6=I6,"OK","NG")</f>
        <v>OK</v>
      </c>
    </row>
    <row r="7" spans="1:39" customFormat="1" hidden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135"/>
      <c r="I7" s="21">
        <f t="shared" ref="I7:I70" si="3">SUM(L7:AK7)</f>
        <v>0</v>
      </c>
      <c r="J7" s="21"/>
      <c r="K7" s="16"/>
      <c r="L7" s="21"/>
      <c r="M7" s="21"/>
      <c r="N7" s="21"/>
      <c r="O7" s="21"/>
      <c r="P7" s="21"/>
      <c r="Q7" s="21"/>
      <c r="R7" s="21"/>
      <c r="S7" s="21"/>
      <c r="T7" s="42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4"/>
      <c r="AJ7" s="57"/>
      <c r="AK7" s="54"/>
      <c r="AL7" s="65">
        <f t="shared" ref="AL7:AL74" si="4">SUM(L7:AK7)</f>
        <v>0</v>
      </c>
      <c r="AM7" s="22" t="str">
        <f t="shared" si="2"/>
        <v>OK</v>
      </c>
    </row>
    <row r="8" spans="1:39" customFormat="1" hidden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36"/>
      <c r="I8" s="27">
        <f t="shared" si="3"/>
        <v>0</v>
      </c>
      <c r="J8" s="27"/>
      <c r="K8" s="16"/>
      <c r="L8" s="27"/>
      <c r="M8" s="27"/>
      <c r="N8" s="27"/>
      <c r="O8" s="27"/>
      <c r="P8" s="27"/>
      <c r="Q8" s="27"/>
      <c r="R8" s="27"/>
      <c r="S8" s="27"/>
      <c r="T8" s="4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5"/>
      <c r="AJ8" s="58"/>
      <c r="AK8" s="55"/>
      <c r="AL8" s="66">
        <f t="shared" si="4"/>
        <v>0</v>
      </c>
      <c r="AM8" s="28" t="str">
        <f t="shared" si="2"/>
        <v>OK</v>
      </c>
    </row>
    <row r="9" spans="1:39" customFormat="1" hidden="1">
      <c r="A9" s="17" t="s">
        <v>68</v>
      </c>
      <c r="B9" s="77">
        <v>10897</v>
      </c>
      <c r="C9" s="17" t="s">
        <v>62</v>
      </c>
      <c r="D9" s="69"/>
      <c r="E9" s="18"/>
      <c r="F9" s="18"/>
      <c r="G9" s="19"/>
      <c r="H9" s="135"/>
      <c r="I9" s="21">
        <f t="shared" si="3"/>
        <v>0</v>
      </c>
      <c r="J9" s="21"/>
      <c r="K9" s="16"/>
      <c r="L9" s="21"/>
      <c r="M9" s="21"/>
      <c r="N9" s="21"/>
      <c r="O9" s="21"/>
      <c r="P9" s="21"/>
      <c r="Q9" s="21"/>
      <c r="R9" s="21"/>
      <c r="S9" s="21"/>
      <c r="T9" s="42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4"/>
      <c r="AJ9" s="57"/>
      <c r="AK9" s="54"/>
      <c r="AL9" s="65">
        <f t="shared" si="4"/>
        <v>0</v>
      </c>
      <c r="AM9" s="22" t="str">
        <f t="shared" si="2"/>
        <v>OK</v>
      </c>
    </row>
    <row r="10" spans="1:39" customFormat="1" hidden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36"/>
      <c r="I10" s="27">
        <f t="shared" si="3"/>
        <v>0</v>
      </c>
      <c r="J10" s="27"/>
      <c r="K10" s="16"/>
      <c r="L10" s="27"/>
      <c r="M10" s="27"/>
      <c r="N10" s="27"/>
      <c r="O10" s="27"/>
      <c r="P10" s="27"/>
      <c r="Q10" s="27"/>
      <c r="R10" s="27"/>
      <c r="S10" s="27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5"/>
      <c r="AJ10" s="58"/>
      <c r="AK10" s="55"/>
      <c r="AL10" s="66">
        <f t="shared" si="4"/>
        <v>0</v>
      </c>
      <c r="AM10" s="28" t="str">
        <f t="shared" si="2"/>
        <v>OK</v>
      </c>
    </row>
    <row r="11" spans="1:39" customFormat="1" hidden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135"/>
      <c r="I11" s="21">
        <f t="shared" si="3"/>
        <v>0</v>
      </c>
      <c r="J11" s="21"/>
      <c r="K11" s="16"/>
      <c r="L11" s="21"/>
      <c r="M11" s="21"/>
      <c r="N11" s="21"/>
      <c r="O11" s="21"/>
      <c r="P11" s="21"/>
      <c r="Q11" s="21"/>
      <c r="R11" s="21"/>
      <c r="S11" s="21"/>
      <c r="T11" s="42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4"/>
      <c r="AJ11" s="57"/>
      <c r="AK11" s="54"/>
      <c r="AL11" s="65">
        <f t="shared" si="4"/>
        <v>0</v>
      </c>
      <c r="AM11" s="22" t="str">
        <f t="shared" si="2"/>
        <v>OK</v>
      </c>
    </row>
    <row r="12" spans="1:39" customFormat="1" hidden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36"/>
      <c r="I12" s="27">
        <f t="shared" si="3"/>
        <v>0</v>
      </c>
      <c r="J12" s="27"/>
      <c r="K12" s="16"/>
      <c r="L12" s="27"/>
      <c r="M12" s="27"/>
      <c r="N12" s="27"/>
      <c r="O12" s="27"/>
      <c r="P12" s="27"/>
      <c r="Q12" s="27"/>
      <c r="R12" s="27"/>
      <c r="S12" s="27"/>
      <c r="T12" s="43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8"/>
      <c r="AK12" s="55"/>
      <c r="AL12" s="66">
        <f t="shared" si="4"/>
        <v>0</v>
      </c>
      <c r="AM12" s="28" t="str">
        <f t="shared" si="2"/>
        <v>OK</v>
      </c>
    </row>
    <row r="13" spans="1:39" customFormat="1" hidden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135"/>
      <c r="I13" s="21">
        <f t="shared" si="3"/>
        <v>0</v>
      </c>
      <c r="J13" s="21"/>
      <c r="K13" s="16"/>
      <c r="L13" s="21"/>
      <c r="M13" s="21"/>
      <c r="N13" s="21"/>
      <c r="O13" s="21"/>
      <c r="P13" s="21"/>
      <c r="Q13" s="21"/>
      <c r="R13" s="21"/>
      <c r="S13" s="21"/>
      <c r="T13" s="4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4"/>
      <c r="AJ13" s="57"/>
      <c r="AK13" s="54"/>
      <c r="AL13" s="65">
        <f t="shared" si="4"/>
        <v>0</v>
      </c>
      <c r="AM13" s="22" t="str">
        <f t="shared" si="2"/>
        <v>OK</v>
      </c>
    </row>
    <row r="14" spans="1:39" customFormat="1" hidden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36"/>
      <c r="I14" s="27">
        <f t="shared" si="3"/>
        <v>0</v>
      </c>
      <c r="J14" s="27"/>
      <c r="K14" s="16"/>
      <c r="L14" s="27"/>
      <c r="M14" s="27"/>
      <c r="N14" s="27"/>
      <c r="O14" s="27"/>
      <c r="P14" s="27"/>
      <c r="Q14" s="27"/>
      <c r="R14" s="27"/>
      <c r="S14" s="27"/>
      <c r="T14" s="43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5"/>
      <c r="AJ14" s="58"/>
      <c r="AK14" s="55"/>
      <c r="AL14" s="66">
        <f t="shared" si="4"/>
        <v>0</v>
      </c>
      <c r="AM14" s="28" t="str">
        <f t="shared" si="2"/>
        <v>OK</v>
      </c>
    </row>
    <row r="15" spans="1:39" customFormat="1" hidden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135"/>
      <c r="I15" s="21">
        <f t="shared" si="3"/>
        <v>0</v>
      </c>
      <c r="J15" s="21"/>
      <c r="K15" s="16"/>
      <c r="L15" s="21"/>
      <c r="M15" s="21"/>
      <c r="N15" s="21"/>
      <c r="O15" s="21"/>
      <c r="P15" s="21"/>
      <c r="Q15" s="21"/>
      <c r="R15" s="21"/>
      <c r="S15" s="21"/>
      <c r="T15" s="42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4"/>
      <c r="AJ15" s="57"/>
      <c r="AK15" s="54"/>
      <c r="AL15" s="65">
        <f t="shared" si="4"/>
        <v>0</v>
      </c>
      <c r="AM15" s="22" t="str">
        <f t="shared" si="2"/>
        <v>OK</v>
      </c>
    </row>
    <row r="16" spans="1:39" customFormat="1" hidden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36"/>
      <c r="I16" s="27">
        <f t="shared" si="3"/>
        <v>0</v>
      </c>
      <c r="J16" s="27"/>
      <c r="K16" s="16"/>
      <c r="L16" s="27"/>
      <c r="M16" s="27"/>
      <c r="N16" s="27"/>
      <c r="O16" s="27"/>
      <c r="P16" s="27"/>
      <c r="Q16" s="27"/>
      <c r="R16" s="27"/>
      <c r="S16" s="27"/>
      <c r="T16" s="43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8"/>
      <c r="AK16" s="55"/>
      <c r="AL16" s="66">
        <f t="shared" si="4"/>
        <v>0</v>
      </c>
      <c r="AM16" s="28" t="str">
        <f t="shared" si="2"/>
        <v>OK</v>
      </c>
    </row>
    <row r="17" spans="1:39" customFormat="1" hidden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135"/>
      <c r="I17" s="21">
        <f t="shared" si="3"/>
        <v>0</v>
      </c>
      <c r="J17" s="21"/>
      <c r="K17" s="16"/>
      <c r="L17" s="21"/>
      <c r="M17" s="21"/>
      <c r="N17" s="21"/>
      <c r="O17" s="21"/>
      <c r="P17" s="21"/>
      <c r="Q17" s="21"/>
      <c r="R17" s="21"/>
      <c r="S17" s="21"/>
      <c r="T17" s="42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4"/>
      <c r="AJ17" s="57"/>
      <c r="AK17" s="54"/>
      <c r="AL17" s="65">
        <f t="shared" si="4"/>
        <v>0</v>
      </c>
      <c r="AM17" s="22" t="str">
        <f t="shared" si="2"/>
        <v>OK</v>
      </c>
    </row>
    <row r="18" spans="1:39" customFormat="1" hidden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36"/>
      <c r="I18" s="27">
        <f t="shared" si="3"/>
        <v>0</v>
      </c>
      <c r="J18" s="27"/>
      <c r="K18" s="16"/>
      <c r="L18" s="27"/>
      <c r="M18" s="27"/>
      <c r="N18" s="27"/>
      <c r="O18" s="27"/>
      <c r="P18" s="27"/>
      <c r="Q18" s="27"/>
      <c r="R18" s="27"/>
      <c r="S18" s="27"/>
      <c r="T18" s="43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8"/>
      <c r="AK18" s="55"/>
      <c r="AL18" s="66">
        <f t="shared" si="4"/>
        <v>0</v>
      </c>
      <c r="AM18" s="28" t="str">
        <f t="shared" si="2"/>
        <v>OK</v>
      </c>
    </row>
    <row r="19" spans="1:39" customFormat="1" hidden="1">
      <c r="A19" s="17" t="s">
        <v>91</v>
      </c>
      <c r="B19" s="77">
        <v>14988</v>
      </c>
      <c r="C19" s="17" t="s">
        <v>64</v>
      </c>
      <c r="D19" s="69"/>
      <c r="E19" s="18"/>
      <c r="F19" s="18"/>
      <c r="G19" s="19"/>
      <c r="H19" s="135"/>
      <c r="I19" s="21">
        <f t="shared" si="3"/>
        <v>0</v>
      </c>
      <c r="J19" s="21"/>
      <c r="K19" s="16"/>
      <c r="L19" s="21"/>
      <c r="M19" s="21"/>
      <c r="N19" s="21"/>
      <c r="O19" s="21"/>
      <c r="P19" s="21"/>
      <c r="Q19" s="21"/>
      <c r="R19" s="21"/>
      <c r="S19" s="21"/>
      <c r="T19" s="42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4"/>
      <c r="AJ19" s="57"/>
      <c r="AK19" s="54"/>
      <c r="AL19" s="65">
        <f t="shared" si="4"/>
        <v>0</v>
      </c>
      <c r="AM19" s="22" t="str">
        <f t="shared" si="2"/>
        <v>OK</v>
      </c>
    </row>
    <row r="20" spans="1:39" customFormat="1" hidden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136"/>
      <c r="I20" s="27">
        <f t="shared" si="3"/>
        <v>0</v>
      </c>
      <c r="J20" s="27"/>
      <c r="K20" s="16"/>
      <c r="L20" s="27"/>
      <c r="M20" s="27"/>
      <c r="N20" s="27"/>
      <c r="O20" s="27"/>
      <c r="P20" s="27"/>
      <c r="Q20" s="27"/>
      <c r="R20" s="27"/>
      <c r="S20" s="27"/>
      <c r="T20" s="43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8"/>
      <c r="AK20" s="55"/>
      <c r="AL20" s="66">
        <f t="shared" si="4"/>
        <v>0</v>
      </c>
      <c r="AM20" s="28" t="str">
        <f t="shared" si="2"/>
        <v>OK</v>
      </c>
    </row>
    <row r="21" spans="1:39" customFormat="1" hidden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135"/>
      <c r="I21" s="21">
        <f t="shared" si="3"/>
        <v>0</v>
      </c>
      <c r="J21" s="21"/>
      <c r="K21" s="16"/>
      <c r="L21" s="21"/>
      <c r="M21" s="21"/>
      <c r="N21" s="21"/>
      <c r="O21" s="21"/>
      <c r="P21" s="21"/>
      <c r="Q21" s="21"/>
      <c r="R21" s="21"/>
      <c r="S21" s="21"/>
      <c r="T21" s="4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4"/>
      <c r="AJ21" s="57"/>
      <c r="AK21" s="54"/>
      <c r="AL21" s="65">
        <f t="shared" si="4"/>
        <v>0</v>
      </c>
      <c r="AM21" s="22" t="str">
        <f t="shared" si="2"/>
        <v>OK</v>
      </c>
    </row>
    <row r="22" spans="1:39" customFormat="1" hidden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36"/>
      <c r="I22" s="27">
        <f t="shared" si="3"/>
        <v>0</v>
      </c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43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5"/>
      <c r="AJ22" s="58"/>
      <c r="AK22" s="55"/>
      <c r="AL22" s="66">
        <f t="shared" si="4"/>
        <v>0</v>
      </c>
      <c r="AM22" s="28" t="str">
        <f t="shared" si="2"/>
        <v>OK</v>
      </c>
    </row>
    <row r="23" spans="1:39" customFormat="1" hidden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135"/>
      <c r="I23" s="21">
        <f t="shared" si="3"/>
        <v>0</v>
      </c>
      <c r="J23" s="21"/>
      <c r="K23" s="16"/>
      <c r="L23" s="21"/>
      <c r="M23" s="21"/>
      <c r="N23" s="21"/>
      <c r="O23" s="21"/>
      <c r="P23" s="21"/>
      <c r="Q23" s="21"/>
      <c r="R23" s="21"/>
      <c r="S23" s="21"/>
      <c r="T23" s="42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7"/>
      <c r="AK23" s="54"/>
      <c r="AL23" s="65">
        <f>SUM(L23:AK23)</f>
        <v>0</v>
      </c>
      <c r="AM23" s="22" t="str">
        <f t="shared" si="2"/>
        <v>OK</v>
      </c>
    </row>
    <row r="24" spans="1:39" customFormat="1" hidden="1">
      <c r="A24" s="68" t="s">
        <v>44</v>
      </c>
      <c r="B24" s="78">
        <v>10163</v>
      </c>
      <c r="C24" s="23" t="s">
        <v>45</v>
      </c>
      <c r="D24" s="24"/>
      <c r="E24" s="24"/>
      <c r="F24" s="24"/>
      <c r="G24" s="25"/>
      <c r="H24" s="136"/>
      <c r="I24" s="27">
        <f t="shared" si="3"/>
        <v>0</v>
      </c>
      <c r="J24" s="27"/>
      <c r="K24" s="16"/>
      <c r="L24" s="27"/>
      <c r="M24" s="27"/>
      <c r="N24" s="27"/>
      <c r="O24" s="27"/>
      <c r="P24" s="27"/>
      <c r="Q24" s="27"/>
      <c r="R24" s="27"/>
      <c r="S24" s="27"/>
      <c r="T24" s="43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5"/>
      <c r="AJ24" s="58"/>
      <c r="AK24" s="55"/>
      <c r="AL24" s="66">
        <f t="shared" si="4"/>
        <v>0</v>
      </c>
      <c r="AM24" s="28" t="str">
        <f t="shared" si="2"/>
        <v>OK</v>
      </c>
    </row>
    <row r="25" spans="1:39" customFormat="1" hidden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135"/>
      <c r="I25" s="21">
        <f t="shared" si="3"/>
        <v>0</v>
      </c>
      <c r="J25" s="21"/>
      <c r="K25" s="16"/>
      <c r="L25" s="21"/>
      <c r="M25" s="21"/>
      <c r="N25" s="21"/>
      <c r="O25" s="21"/>
      <c r="P25" s="21"/>
      <c r="Q25" s="21"/>
      <c r="R25" s="21"/>
      <c r="S25" s="21"/>
      <c r="T25" s="42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4"/>
      <c r="AJ25" s="57"/>
      <c r="AK25" s="54"/>
      <c r="AL25" s="65">
        <f t="shared" si="4"/>
        <v>0</v>
      </c>
      <c r="AM25" s="22" t="str">
        <f t="shared" si="2"/>
        <v>OK</v>
      </c>
    </row>
    <row r="26" spans="1:39" customFormat="1" hidden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36"/>
      <c r="I26" s="27">
        <f t="shared" si="3"/>
        <v>0</v>
      </c>
      <c r="J26" s="27"/>
      <c r="K26" s="16"/>
      <c r="L26" s="27"/>
      <c r="M26" s="27"/>
      <c r="N26" s="27"/>
      <c r="O26" s="27"/>
      <c r="P26" s="27"/>
      <c r="Q26" s="27"/>
      <c r="R26" s="27"/>
      <c r="S26" s="27"/>
      <c r="T26" s="43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8"/>
      <c r="AK26" s="55"/>
      <c r="AL26" s="66">
        <f t="shared" si="4"/>
        <v>0</v>
      </c>
      <c r="AM26" s="28" t="str">
        <f t="shared" si="2"/>
        <v>OK</v>
      </c>
    </row>
    <row r="27" spans="1:39" customFormat="1" hidden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135"/>
      <c r="I27" s="21">
        <f t="shared" si="3"/>
        <v>0</v>
      </c>
      <c r="J27" s="21"/>
      <c r="K27" s="16"/>
      <c r="L27" s="21"/>
      <c r="M27" s="21"/>
      <c r="N27" s="21"/>
      <c r="O27" s="21"/>
      <c r="P27" s="21"/>
      <c r="Q27" s="21"/>
      <c r="R27" s="21"/>
      <c r="S27" s="21"/>
      <c r="T27" s="4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7"/>
      <c r="AK27" s="54"/>
      <c r="AL27" s="65">
        <f t="shared" si="4"/>
        <v>0</v>
      </c>
      <c r="AM27" s="22" t="str">
        <f t="shared" si="2"/>
        <v>OK</v>
      </c>
    </row>
    <row r="28" spans="1:39" customFormat="1" hidden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136"/>
      <c r="I28" s="27">
        <f t="shared" si="3"/>
        <v>0</v>
      </c>
      <c r="J28" s="27"/>
      <c r="K28" s="16"/>
      <c r="L28" s="27"/>
      <c r="M28" s="27"/>
      <c r="N28" s="27"/>
      <c r="O28" s="27"/>
      <c r="P28" s="27"/>
      <c r="Q28" s="27"/>
      <c r="R28" s="27"/>
      <c r="S28" s="27"/>
      <c r="T28" s="43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5"/>
      <c r="AJ28" s="58"/>
      <c r="AK28" s="55"/>
      <c r="AL28" s="66">
        <f t="shared" si="4"/>
        <v>0</v>
      </c>
      <c r="AM28" s="28" t="str">
        <f t="shared" si="2"/>
        <v>OK</v>
      </c>
    </row>
    <row r="29" spans="1:39" customFormat="1" hidden="1">
      <c r="A29" s="80" t="s">
        <v>71</v>
      </c>
      <c r="B29" s="77">
        <v>10151</v>
      </c>
      <c r="C29" s="17" t="s">
        <v>51</v>
      </c>
      <c r="D29" s="69"/>
      <c r="E29" s="18"/>
      <c r="F29" s="18"/>
      <c r="G29" s="19"/>
      <c r="H29" s="135"/>
      <c r="I29" s="21">
        <f t="shared" si="3"/>
        <v>0</v>
      </c>
      <c r="J29" s="21"/>
      <c r="K29" s="16"/>
      <c r="L29" s="21"/>
      <c r="M29" s="21"/>
      <c r="N29" s="21"/>
      <c r="O29" s="21"/>
      <c r="P29" s="21"/>
      <c r="Q29" s="21"/>
      <c r="R29" s="21"/>
      <c r="S29" s="21"/>
      <c r="T29" s="42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4"/>
      <c r="AJ29" s="57"/>
      <c r="AK29" s="54"/>
      <c r="AL29" s="65">
        <f t="shared" si="4"/>
        <v>0</v>
      </c>
      <c r="AM29" s="22" t="str">
        <f t="shared" si="2"/>
        <v>OK</v>
      </c>
    </row>
    <row r="30" spans="1:39" customFormat="1" hidden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136"/>
      <c r="I30" s="27">
        <f t="shared" si="3"/>
        <v>0</v>
      </c>
      <c r="J30" s="27"/>
      <c r="K30" s="16"/>
      <c r="L30" s="27"/>
      <c r="M30" s="27"/>
      <c r="N30" s="27"/>
      <c r="O30" s="27"/>
      <c r="P30" s="27"/>
      <c r="Q30" s="27"/>
      <c r="R30" s="27"/>
      <c r="S30" s="27"/>
      <c r="T30" s="43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5"/>
      <c r="AJ30" s="58"/>
      <c r="AK30" s="55"/>
      <c r="AL30" s="66">
        <f t="shared" si="4"/>
        <v>0</v>
      </c>
      <c r="AM30" s="28" t="str">
        <f t="shared" si="2"/>
        <v>OK</v>
      </c>
    </row>
    <row r="31" spans="1:39" customFormat="1" hidden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135"/>
      <c r="I31" s="21">
        <f t="shared" si="3"/>
        <v>0</v>
      </c>
      <c r="J31" s="21"/>
      <c r="K31" s="16"/>
      <c r="L31" s="21"/>
      <c r="M31" s="21"/>
      <c r="N31" s="21"/>
      <c r="O31" s="21"/>
      <c r="P31" s="21"/>
      <c r="Q31" s="21"/>
      <c r="R31" s="21"/>
      <c r="S31" s="21"/>
      <c r="T31" s="4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7"/>
      <c r="AK31" s="54"/>
      <c r="AL31" s="65">
        <f t="shared" si="4"/>
        <v>0</v>
      </c>
      <c r="AM31" s="22" t="str">
        <f t="shared" si="2"/>
        <v>OK</v>
      </c>
    </row>
    <row r="32" spans="1:39" customFormat="1" hidden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136"/>
      <c r="I32" s="27">
        <f t="shared" si="3"/>
        <v>0</v>
      </c>
      <c r="J32" s="27"/>
      <c r="K32" s="16"/>
      <c r="L32" s="27"/>
      <c r="M32" s="27"/>
      <c r="N32" s="27"/>
      <c r="O32" s="27"/>
      <c r="P32" s="27"/>
      <c r="Q32" s="27"/>
      <c r="R32" s="27"/>
      <c r="S32" s="27"/>
      <c r="T32" s="43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5"/>
      <c r="AJ32" s="58"/>
      <c r="AK32" s="55"/>
      <c r="AL32" s="66">
        <f t="shared" si="4"/>
        <v>0</v>
      </c>
      <c r="AM32" s="28" t="str">
        <f t="shared" si="2"/>
        <v>OK</v>
      </c>
    </row>
    <row r="33" spans="1:39" customFormat="1" hidden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135"/>
      <c r="I33" s="21">
        <f t="shared" si="3"/>
        <v>0</v>
      </c>
      <c r="J33" s="21"/>
      <c r="K33" s="16"/>
      <c r="L33" s="21"/>
      <c r="M33" s="21"/>
      <c r="N33" s="21"/>
      <c r="O33" s="21"/>
      <c r="P33" s="21"/>
      <c r="Q33" s="21"/>
      <c r="R33" s="21"/>
      <c r="S33" s="21"/>
      <c r="T33" s="42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4"/>
      <c r="AJ33" s="57"/>
      <c r="AK33" s="54"/>
      <c r="AL33" s="65">
        <f t="shared" si="4"/>
        <v>0</v>
      </c>
      <c r="AM33" s="22" t="str">
        <f t="shared" si="2"/>
        <v>OK</v>
      </c>
    </row>
    <row r="34" spans="1:39" customFormat="1" hidden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136"/>
      <c r="I34" s="27">
        <f t="shared" si="3"/>
        <v>0</v>
      </c>
      <c r="J34" s="27"/>
      <c r="K34" s="16"/>
      <c r="L34" s="27"/>
      <c r="M34" s="27"/>
      <c r="N34" s="27"/>
      <c r="O34" s="27"/>
      <c r="P34" s="27"/>
      <c r="Q34" s="27"/>
      <c r="R34" s="27"/>
      <c r="S34" s="27"/>
      <c r="T34" s="43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5"/>
      <c r="AJ34" s="58"/>
      <c r="AK34" s="55"/>
      <c r="AL34" s="66">
        <f t="shared" si="4"/>
        <v>0</v>
      </c>
      <c r="AM34" s="28" t="str">
        <f t="shared" si="2"/>
        <v>OK</v>
      </c>
    </row>
    <row r="35" spans="1:39" customFormat="1" hidden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135"/>
      <c r="I35" s="21">
        <f t="shared" si="3"/>
        <v>0</v>
      </c>
      <c r="J35" s="21"/>
      <c r="K35" s="16"/>
      <c r="L35" s="21"/>
      <c r="M35" s="21"/>
      <c r="N35" s="21"/>
      <c r="O35" s="21"/>
      <c r="P35" s="21"/>
      <c r="Q35" s="21"/>
      <c r="R35" s="21"/>
      <c r="S35" s="21"/>
      <c r="T35" s="42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4"/>
      <c r="AJ35" s="57"/>
      <c r="AK35" s="54"/>
      <c r="AL35" s="65">
        <f t="shared" si="4"/>
        <v>0</v>
      </c>
      <c r="AM35" s="22" t="str">
        <f t="shared" si="2"/>
        <v>OK</v>
      </c>
    </row>
    <row r="36" spans="1:39" customFormat="1" hidden="1">
      <c r="A36" s="68" t="s">
        <v>76</v>
      </c>
      <c r="B36" s="78">
        <v>10135</v>
      </c>
      <c r="C36" s="23" t="s">
        <v>56</v>
      </c>
      <c r="D36" s="24"/>
      <c r="E36" s="24"/>
      <c r="F36" s="24"/>
      <c r="G36" s="25"/>
      <c r="H36" s="136"/>
      <c r="I36" s="27">
        <f t="shared" si="3"/>
        <v>0</v>
      </c>
      <c r="J36" s="27"/>
      <c r="K36" s="16"/>
      <c r="L36" s="27"/>
      <c r="M36" s="27"/>
      <c r="N36" s="27"/>
      <c r="O36" s="27"/>
      <c r="P36" s="27"/>
      <c r="Q36" s="27"/>
      <c r="R36" s="27"/>
      <c r="S36" s="27"/>
      <c r="T36" s="43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5"/>
      <c r="AJ36" s="58"/>
      <c r="AK36" s="55"/>
      <c r="AL36" s="66">
        <f t="shared" si="4"/>
        <v>0</v>
      </c>
      <c r="AM36" s="28" t="str">
        <f t="shared" si="2"/>
        <v>OK</v>
      </c>
    </row>
    <row r="37" spans="1:39" customFormat="1" hidden="1">
      <c r="A37" s="80" t="s">
        <v>77</v>
      </c>
      <c r="B37" s="77">
        <v>10133</v>
      </c>
      <c r="C37" s="17" t="s">
        <v>55</v>
      </c>
      <c r="D37" s="69"/>
      <c r="E37" s="18"/>
      <c r="F37" s="18"/>
      <c r="G37" s="19"/>
      <c r="H37" s="135"/>
      <c r="I37" s="21">
        <f t="shared" si="3"/>
        <v>0</v>
      </c>
      <c r="J37" s="21"/>
      <c r="K37" s="16"/>
      <c r="L37" s="21"/>
      <c r="M37" s="21"/>
      <c r="N37" s="21"/>
      <c r="O37" s="21"/>
      <c r="P37" s="21"/>
      <c r="Q37" s="21"/>
      <c r="R37" s="21"/>
      <c r="S37" s="21"/>
      <c r="T37" s="42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4"/>
      <c r="AJ37" s="57"/>
      <c r="AK37" s="54"/>
      <c r="AL37" s="65">
        <f t="shared" si="4"/>
        <v>0</v>
      </c>
      <c r="AM37" s="22" t="str">
        <f t="shared" si="2"/>
        <v>OK</v>
      </c>
    </row>
    <row r="38" spans="1:39" customFormat="1">
      <c r="A38" s="68" t="s">
        <v>78</v>
      </c>
      <c r="B38" s="78">
        <v>10131</v>
      </c>
      <c r="C38" s="23" t="s">
        <v>56</v>
      </c>
      <c r="D38" s="24"/>
      <c r="E38" s="24"/>
      <c r="F38" s="24"/>
      <c r="G38" s="25"/>
      <c r="H38" s="136">
        <f>1424+1200</f>
        <v>2624</v>
      </c>
      <c r="I38" s="27">
        <f t="shared" si="3"/>
        <v>0</v>
      </c>
      <c r="J38" s="27"/>
      <c r="K38" s="16"/>
      <c r="L38" s="27"/>
      <c r="M38" s="27"/>
      <c r="N38" s="27"/>
      <c r="O38" s="27"/>
      <c r="P38" s="27"/>
      <c r="Q38" s="27"/>
      <c r="R38" s="27"/>
      <c r="S38" s="27"/>
      <c r="T38" s="43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5"/>
      <c r="AJ38" s="58"/>
      <c r="AK38" s="55"/>
      <c r="AL38" s="66">
        <f t="shared" ref="AL38:AL50" si="5">SUM(L38:AK38)</f>
        <v>0</v>
      </c>
      <c r="AM38" s="28" t="str">
        <f t="shared" si="2"/>
        <v>OK</v>
      </c>
    </row>
    <row r="39" spans="1:39" customFormat="1" hidden="1">
      <c r="A39" s="17" t="s">
        <v>79</v>
      </c>
      <c r="B39" s="77">
        <v>10129</v>
      </c>
      <c r="C39" s="17" t="s">
        <v>57</v>
      </c>
      <c r="D39" s="69"/>
      <c r="E39" s="18"/>
      <c r="F39" s="18"/>
      <c r="G39" s="19"/>
      <c r="H39" s="135"/>
      <c r="I39" s="21">
        <f t="shared" si="3"/>
        <v>0</v>
      </c>
      <c r="J39" s="21"/>
      <c r="K39" s="16"/>
      <c r="L39" s="21"/>
      <c r="M39" s="21"/>
      <c r="N39" s="21"/>
      <c r="O39" s="21"/>
      <c r="P39" s="21"/>
      <c r="Q39" s="21"/>
      <c r="R39" s="21"/>
      <c r="S39" s="21"/>
      <c r="T39" s="42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4"/>
      <c r="AJ39" s="57"/>
      <c r="AK39" s="54"/>
      <c r="AL39" s="65">
        <f t="shared" si="5"/>
        <v>0</v>
      </c>
      <c r="AM39" s="22" t="str">
        <f t="shared" si="2"/>
        <v>OK</v>
      </c>
    </row>
    <row r="40" spans="1:39" customFormat="1" hidden="1">
      <c r="A40" s="68" t="s">
        <v>80</v>
      </c>
      <c r="B40" s="78">
        <v>10127</v>
      </c>
      <c r="C40" s="23" t="s">
        <v>158</v>
      </c>
      <c r="D40" s="24"/>
      <c r="E40" s="24"/>
      <c r="F40" s="24"/>
      <c r="G40" s="25"/>
      <c r="H40" s="136"/>
      <c r="I40" s="27">
        <f t="shared" si="3"/>
        <v>0</v>
      </c>
      <c r="J40" s="27"/>
      <c r="K40" s="16"/>
      <c r="L40" s="27"/>
      <c r="M40" s="27"/>
      <c r="N40" s="27"/>
      <c r="O40" s="27"/>
      <c r="P40" s="27"/>
      <c r="Q40" s="27"/>
      <c r="R40" s="27"/>
      <c r="S40" s="27"/>
      <c r="T40" s="43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5"/>
      <c r="AJ40" s="58"/>
      <c r="AK40" s="55"/>
      <c r="AL40" s="66">
        <f t="shared" si="5"/>
        <v>0</v>
      </c>
      <c r="AM40" s="28" t="str">
        <f t="shared" si="2"/>
        <v>OK</v>
      </c>
    </row>
    <row r="41" spans="1:39" customFormat="1" hidden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135"/>
      <c r="I41" s="21">
        <f t="shared" si="3"/>
        <v>0</v>
      </c>
      <c r="J41" s="21"/>
      <c r="K41" s="16"/>
      <c r="L41" s="21"/>
      <c r="M41" s="21"/>
      <c r="N41" s="21"/>
      <c r="O41" s="21"/>
      <c r="P41" s="21"/>
      <c r="Q41" s="21"/>
      <c r="R41" s="21"/>
      <c r="S41" s="21"/>
      <c r="T41" s="4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4"/>
      <c r="AJ41" s="57"/>
      <c r="AK41" s="54"/>
      <c r="AL41" s="65">
        <f t="shared" si="5"/>
        <v>0</v>
      </c>
      <c r="AM41" s="22" t="str">
        <f t="shared" si="2"/>
        <v>OK</v>
      </c>
    </row>
    <row r="42" spans="1:39" customFormat="1" hidden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136"/>
      <c r="I42" s="27">
        <f t="shared" si="3"/>
        <v>0</v>
      </c>
      <c r="J42" s="27"/>
      <c r="K42" s="16"/>
      <c r="L42" s="27"/>
      <c r="M42" s="27"/>
      <c r="N42" s="27"/>
      <c r="O42" s="27"/>
      <c r="P42" s="27"/>
      <c r="Q42" s="27"/>
      <c r="R42" s="27"/>
      <c r="S42" s="27"/>
      <c r="T42" s="43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5"/>
      <c r="AJ42" s="58"/>
      <c r="AK42" s="55"/>
      <c r="AL42" s="66">
        <f t="shared" si="5"/>
        <v>0</v>
      </c>
      <c r="AM42" s="28" t="str">
        <f t="shared" si="2"/>
        <v>OK</v>
      </c>
    </row>
    <row r="43" spans="1:39" customFormat="1" hidden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135"/>
      <c r="I43" s="21">
        <f t="shared" si="3"/>
        <v>0</v>
      </c>
      <c r="J43" s="21"/>
      <c r="K43" s="16"/>
      <c r="L43" s="21"/>
      <c r="M43" s="21"/>
      <c r="N43" s="21"/>
      <c r="O43" s="21"/>
      <c r="P43" s="21"/>
      <c r="Q43" s="21"/>
      <c r="R43" s="21"/>
      <c r="S43" s="21"/>
      <c r="T43" s="42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4"/>
      <c r="AJ43" s="57"/>
      <c r="AK43" s="54"/>
      <c r="AL43" s="65">
        <f t="shared" si="5"/>
        <v>0</v>
      </c>
      <c r="AM43" s="22" t="str">
        <f t="shared" si="2"/>
        <v>OK</v>
      </c>
    </row>
    <row r="44" spans="1:39" customFormat="1" hidden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136"/>
      <c r="I44" s="27">
        <f t="shared" si="3"/>
        <v>0</v>
      </c>
      <c r="J44" s="27"/>
      <c r="K44" s="16"/>
      <c r="L44" s="27"/>
      <c r="M44" s="27"/>
      <c r="N44" s="27"/>
      <c r="O44" s="27"/>
      <c r="P44" s="27"/>
      <c r="Q44" s="27"/>
      <c r="R44" s="27"/>
      <c r="S44" s="27"/>
      <c r="T44" s="43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5"/>
      <c r="AJ44" s="58"/>
      <c r="AK44" s="55"/>
      <c r="AL44" s="66">
        <f t="shared" si="5"/>
        <v>0</v>
      </c>
      <c r="AM44" s="28" t="str">
        <f t="shared" si="2"/>
        <v>OK</v>
      </c>
    </row>
    <row r="45" spans="1:39" customFormat="1">
      <c r="A45" s="17" t="s">
        <v>107</v>
      </c>
      <c r="B45" s="77">
        <v>13467</v>
      </c>
      <c r="C45" s="17" t="s">
        <v>87</v>
      </c>
      <c r="D45" s="69"/>
      <c r="E45" s="18"/>
      <c r="F45" s="18"/>
      <c r="G45" s="19"/>
      <c r="H45" s="135">
        <v>896</v>
      </c>
      <c r="I45" s="21">
        <f t="shared" si="3"/>
        <v>3</v>
      </c>
      <c r="J45" s="21"/>
      <c r="K45" s="16"/>
      <c r="L45" s="21"/>
      <c r="M45" s="21"/>
      <c r="N45" s="21"/>
      <c r="O45" s="21"/>
      <c r="P45" s="21"/>
      <c r="Q45" s="21"/>
      <c r="R45" s="21"/>
      <c r="S45" s="21"/>
      <c r="T45" s="4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4">
        <v>3</v>
      </c>
      <c r="AJ45" s="57"/>
      <c r="AK45" s="54"/>
      <c r="AL45" s="65">
        <f t="shared" si="5"/>
        <v>3</v>
      </c>
      <c r="AM45" s="22" t="str">
        <f t="shared" si="2"/>
        <v>OK</v>
      </c>
    </row>
    <row r="46" spans="1:39" customFormat="1" hidden="1">
      <c r="A46" s="68" t="s">
        <v>111</v>
      </c>
      <c r="B46" s="78">
        <v>15948</v>
      </c>
      <c r="C46" s="23" t="s">
        <v>87</v>
      </c>
      <c r="D46" s="24"/>
      <c r="E46" s="24"/>
      <c r="F46" s="24"/>
      <c r="G46" s="25"/>
      <c r="H46" s="136"/>
      <c r="I46" s="27">
        <f t="shared" si="3"/>
        <v>0</v>
      </c>
      <c r="J46" s="27"/>
      <c r="K46" s="16"/>
      <c r="L46" s="27"/>
      <c r="M46" s="27"/>
      <c r="N46" s="27"/>
      <c r="O46" s="27"/>
      <c r="P46" s="27"/>
      <c r="Q46" s="27"/>
      <c r="R46" s="27"/>
      <c r="S46" s="27"/>
      <c r="T46" s="43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5"/>
      <c r="AJ46" s="58"/>
      <c r="AK46" s="55"/>
      <c r="AL46" s="66">
        <f t="shared" si="5"/>
        <v>0</v>
      </c>
      <c r="AM46" s="28" t="str">
        <f t="shared" si="2"/>
        <v>OK</v>
      </c>
    </row>
    <row r="47" spans="1:39" customFormat="1" hidden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135"/>
      <c r="I47" s="21">
        <f t="shared" si="3"/>
        <v>0</v>
      </c>
      <c r="J47" s="21"/>
      <c r="K47" s="16"/>
      <c r="L47" s="21"/>
      <c r="M47" s="21"/>
      <c r="N47" s="21"/>
      <c r="O47" s="21"/>
      <c r="P47" s="21"/>
      <c r="Q47" s="21"/>
      <c r="R47" s="21"/>
      <c r="S47" s="21"/>
      <c r="T47" s="42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7"/>
      <c r="AJ47" s="57"/>
      <c r="AK47" s="54"/>
      <c r="AL47" s="65">
        <f t="shared" si="5"/>
        <v>0</v>
      </c>
      <c r="AM47" s="22" t="str">
        <f t="shared" si="2"/>
        <v>OK</v>
      </c>
    </row>
    <row r="48" spans="1:39" customFormat="1">
      <c r="A48" s="68" t="s">
        <v>121</v>
      </c>
      <c r="B48" s="78">
        <v>16598</v>
      </c>
      <c r="C48" s="23" t="s">
        <v>87</v>
      </c>
      <c r="D48" s="24"/>
      <c r="E48" s="24"/>
      <c r="F48" s="24"/>
      <c r="G48" s="25"/>
      <c r="H48" s="136">
        <v>1040</v>
      </c>
      <c r="I48" s="27">
        <f t="shared" si="3"/>
        <v>0</v>
      </c>
      <c r="J48" s="27"/>
      <c r="K48" s="16"/>
      <c r="L48" s="27"/>
      <c r="M48" s="27"/>
      <c r="N48" s="27"/>
      <c r="O48" s="27"/>
      <c r="P48" s="27"/>
      <c r="Q48" s="27"/>
      <c r="R48" s="27"/>
      <c r="S48" s="27"/>
      <c r="T48" s="43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5"/>
      <c r="AJ48" s="58"/>
      <c r="AK48" s="55"/>
      <c r="AL48" s="66">
        <f t="shared" si="5"/>
        <v>0</v>
      </c>
      <c r="AM48" s="28" t="str">
        <f t="shared" si="2"/>
        <v>OK</v>
      </c>
    </row>
    <row r="49" spans="1:39" customFormat="1" hidden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135"/>
      <c r="I49" s="21">
        <f t="shared" si="3"/>
        <v>0</v>
      </c>
      <c r="J49" s="21"/>
      <c r="K49" s="16"/>
      <c r="L49" s="21"/>
      <c r="M49" s="21"/>
      <c r="N49" s="21"/>
      <c r="O49" s="21"/>
      <c r="P49" s="21"/>
      <c r="Q49" s="21"/>
      <c r="R49" s="21"/>
      <c r="S49" s="21"/>
      <c r="T49" s="4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4"/>
      <c r="AJ49" s="57"/>
      <c r="AK49" s="54"/>
      <c r="AL49" s="65">
        <f t="shared" si="5"/>
        <v>0</v>
      </c>
      <c r="AM49" s="22" t="str">
        <f t="shared" si="2"/>
        <v>OK</v>
      </c>
    </row>
    <row r="50" spans="1:39" customFormat="1" hidden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136"/>
      <c r="I50" s="27">
        <f t="shared" si="3"/>
        <v>0</v>
      </c>
      <c r="J50" s="27"/>
      <c r="K50" s="16"/>
      <c r="L50" s="27"/>
      <c r="M50" s="27"/>
      <c r="N50" s="27"/>
      <c r="O50" s="27"/>
      <c r="P50" s="27"/>
      <c r="Q50" s="27"/>
      <c r="R50" s="27"/>
      <c r="S50" s="27"/>
      <c r="T50" s="43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8"/>
      <c r="AK50" s="55"/>
      <c r="AL50" s="66">
        <f t="shared" si="5"/>
        <v>0</v>
      </c>
      <c r="AM50" s="28" t="str">
        <f t="shared" si="2"/>
        <v>OK</v>
      </c>
    </row>
    <row r="51" spans="1:39" customFormat="1" hidden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135"/>
      <c r="I51" s="21">
        <f t="shared" si="3"/>
        <v>0</v>
      </c>
      <c r="J51" s="21"/>
      <c r="K51" s="16"/>
      <c r="L51" s="21"/>
      <c r="M51" s="21"/>
      <c r="N51" s="21"/>
      <c r="O51" s="21"/>
      <c r="P51" s="21"/>
      <c r="Q51" s="21"/>
      <c r="R51" s="21"/>
      <c r="S51" s="21"/>
      <c r="T51" s="4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4"/>
      <c r="AJ51" s="57"/>
      <c r="AK51" s="54"/>
      <c r="AL51" s="65">
        <f>SUM(L51:AK51)</f>
        <v>0</v>
      </c>
      <c r="AM51" s="22" t="str">
        <f t="shared" si="2"/>
        <v>OK</v>
      </c>
    </row>
    <row r="52" spans="1:39" customFormat="1" hidden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136"/>
      <c r="I52" s="27">
        <f t="shared" si="3"/>
        <v>0</v>
      </c>
      <c r="J52" s="27"/>
      <c r="K52" s="16"/>
      <c r="L52" s="27"/>
      <c r="M52" s="27"/>
      <c r="N52" s="27"/>
      <c r="O52" s="27"/>
      <c r="P52" s="27"/>
      <c r="Q52" s="27"/>
      <c r="R52" s="27"/>
      <c r="S52" s="27"/>
      <c r="T52" s="43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5"/>
      <c r="AJ52" s="58"/>
      <c r="AK52" s="55"/>
      <c r="AL52" s="66">
        <f t="shared" ref="AL52:AL64" si="6">SUM(L52:AK52)</f>
        <v>0</v>
      </c>
      <c r="AM52" s="28" t="str">
        <f t="shared" si="2"/>
        <v>OK</v>
      </c>
    </row>
    <row r="53" spans="1:39" customFormat="1" hidden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135"/>
      <c r="I53" s="21">
        <f t="shared" si="3"/>
        <v>0</v>
      </c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42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4"/>
      <c r="AJ53" s="57"/>
      <c r="AK53" s="54"/>
      <c r="AL53" s="65">
        <f t="shared" si="6"/>
        <v>0</v>
      </c>
      <c r="AM53" s="22" t="str">
        <f t="shared" si="2"/>
        <v>OK</v>
      </c>
    </row>
    <row r="54" spans="1:39" customFormat="1" hidden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136"/>
      <c r="I54" s="27">
        <f t="shared" si="3"/>
        <v>0</v>
      </c>
      <c r="J54" s="27"/>
      <c r="K54" s="16"/>
      <c r="L54" s="27"/>
      <c r="M54" s="27"/>
      <c r="N54" s="27"/>
      <c r="O54" s="27"/>
      <c r="P54" s="27"/>
      <c r="Q54" s="27"/>
      <c r="R54" s="27"/>
      <c r="S54" s="27"/>
      <c r="T54" s="43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5"/>
      <c r="AJ54" s="58"/>
      <c r="AK54" s="55"/>
      <c r="AL54" s="66">
        <f t="shared" si="6"/>
        <v>0</v>
      </c>
      <c r="AM54" s="28" t="str">
        <f t="shared" si="2"/>
        <v>OK</v>
      </c>
    </row>
    <row r="55" spans="1:39" customFormat="1" hidden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135"/>
      <c r="I55" s="21">
        <f t="shared" si="3"/>
        <v>0</v>
      </c>
      <c r="J55" s="21"/>
      <c r="K55" s="16"/>
      <c r="L55" s="21"/>
      <c r="M55" s="21"/>
      <c r="N55" s="21"/>
      <c r="O55" s="21"/>
      <c r="P55" s="21"/>
      <c r="Q55" s="21"/>
      <c r="R55" s="21"/>
      <c r="S55" s="21"/>
      <c r="T55" s="42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4"/>
      <c r="AJ55" s="57"/>
      <c r="AK55" s="54"/>
      <c r="AL55" s="65">
        <f t="shared" si="6"/>
        <v>0</v>
      </c>
      <c r="AM55" s="22" t="str">
        <f t="shared" si="2"/>
        <v>OK</v>
      </c>
    </row>
    <row r="56" spans="1:39" customFormat="1" hidden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136"/>
      <c r="I56" s="27">
        <f t="shared" si="3"/>
        <v>0</v>
      </c>
      <c r="J56" s="27"/>
      <c r="K56" s="16"/>
      <c r="L56" s="27"/>
      <c r="M56" s="27"/>
      <c r="N56" s="27"/>
      <c r="O56" s="27"/>
      <c r="P56" s="27"/>
      <c r="Q56" s="27"/>
      <c r="R56" s="27"/>
      <c r="S56" s="27"/>
      <c r="T56" s="43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5"/>
      <c r="AJ56" s="58"/>
      <c r="AK56" s="55"/>
      <c r="AL56" s="66">
        <f t="shared" si="6"/>
        <v>0</v>
      </c>
      <c r="AM56" s="28" t="str">
        <f t="shared" si="2"/>
        <v>OK</v>
      </c>
    </row>
    <row r="57" spans="1:39" customFormat="1" hidden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135"/>
      <c r="I57" s="21">
        <f t="shared" si="3"/>
        <v>0</v>
      </c>
      <c r="J57" s="21"/>
      <c r="K57" s="16"/>
      <c r="L57" s="21"/>
      <c r="M57" s="21"/>
      <c r="N57" s="21"/>
      <c r="O57" s="21"/>
      <c r="P57" s="21"/>
      <c r="Q57" s="21"/>
      <c r="R57" s="21"/>
      <c r="S57" s="21"/>
      <c r="T57" s="42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4"/>
      <c r="AJ57" s="57"/>
      <c r="AK57" s="54"/>
      <c r="AL57" s="65">
        <f>SUM(L57:AK57)</f>
        <v>0</v>
      </c>
      <c r="AM57" s="22" t="str">
        <f t="shared" si="2"/>
        <v>OK</v>
      </c>
    </row>
    <row r="58" spans="1:39" customFormat="1" hidden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136"/>
      <c r="I58" s="27">
        <f t="shared" si="3"/>
        <v>0</v>
      </c>
      <c r="J58" s="27"/>
      <c r="K58" s="16"/>
      <c r="L58" s="27"/>
      <c r="M58" s="27"/>
      <c r="N58" s="27"/>
      <c r="O58" s="27"/>
      <c r="P58" s="27"/>
      <c r="Q58" s="27"/>
      <c r="R58" s="27"/>
      <c r="S58" s="27"/>
      <c r="T58" s="43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5"/>
      <c r="AJ58" s="58"/>
      <c r="AK58" s="55"/>
      <c r="AL58" s="66">
        <f t="shared" si="6"/>
        <v>0</v>
      </c>
      <c r="AM58" s="28" t="str">
        <f t="shared" si="2"/>
        <v>OK</v>
      </c>
    </row>
    <row r="59" spans="1:39" customFormat="1" hidden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135"/>
      <c r="I59" s="21">
        <f t="shared" si="3"/>
        <v>0</v>
      </c>
      <c r="J59" s="21"/>
      <c r="K59" s="16"/>
      <c r="L59" s="21"/>
      <c r="M59" s="21"/>
      <c r="N59" s="21"/>
      <c r="O59" s="21"/>
      <c r="P59" s="21"/>
      <c r="Q59" s="21"/>
      <c r="R59" s="21"/>
      <c r="S59" s="21"/>
      <c r="T59" s="4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4"/>
      <c r="AJ59" s="57"/>
      <c r="AK59" s="54"/>
      <c r="AL59" s="65">
        <f t="shared" si="6"/>
        <v>0</v>
      </c>
      <c r="AM59" s="22" t="str">
        <f t="shared" si="2"/>
        <v>OK</v>
      </c>
    </row>
    <row r="60" spans="1:39" customFormat="1" hidden="1">
      <c r="A60" s="68" t="s">
        <v>84</v>
      </c>
      <c r="B60" s="78">
        <v>11380</v>
      </c>
      <c r="C60" s="23" t="s">
        <v>60</v>
      </c>
      <c r="D60" s="24"/>
      <c r="E60" s="24"/>
      <c r="F60" s="24"/>
      <c r="G60" s="25"/>
      <c r="H60" s="136"/>
      <c r="I60" s="27">
        <f t="shared" si="3"/>
        <v>0</v>
      </c>
      <c r="J60" s="27"/>
      <c r="K60" s="16"/>
      <c r="L60" s="27"/>
      <c r="M60" s="27"/>
      <c r="N60" s="27"/>
      <c r="O60" s="27"/>
      <c r="P60" s="27"/>
      <c r="Q60" s="27"/>
      <c r="R60" s="27"/>
      <c r="S60" s="27"/>
      <c r="T60" s="43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5"/>
      <c r="AJ60" s="58"/>
      <c r="AK60" s="55"/>
      <c r="AL60" s="66">
        <f t="shared" si="6"/>
        <v>0</v>
      </c>
      <c r="AM60" s="28" t="str">
        <f t="shared" si="2"/>
        <v>OK</v>
      </c>
    </row>
    <row r="61" spans="1:39" customFormat="1">
      <c r="A61" s="80" t="s">
        <v>112</v>
      </c>
      <c r="B61" s="77">
        <v>18518</v>
      </c>
      <c r="C61" s="17" t="s">
        <v>87</v>
      </c>
      <c r="D61" s="69"/>
      <c r="E61" s="18"/>
      <c r="F61" s="18"/>
      <c r="G61" s="19"/>
      <c r="H61" s="135">
        <v>170</v>
      </c>
      <c r="I61" s="21">
        <f t="shared" si="3"/>
        <v>0</v>
      </c>
      <c r="J61" s="21"/>
      <c r="K61" s="16"/>
      <c r="L61" s="21"/>
      <c r="M61" s="21"/>
      <c r="N61" s="21"/>
      <c r="O61" s="21"/>
      <c r="P61" s="21"/>
      <c r="Q61" s="21"/>
      <c r="R61" s="21"/>
      <c r="S61" s="21"/>
      <c r="T61" s="4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4"/>
      <c r="AJ61" s="57"/>
      <c r="AK61" s="54"/>
      <c r="AL61" s="65">
        <f t="shared" si="6"/>
        <v>0</v>
      </c>
      <c r="AM61" s="22" t="str">
        <f t="shared" si="2"/>
        <v>OK</v>
      </c>
    </row>
    <row r="62" spans="1:39" customFormat="1" hidden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136"/>
      <c r="I62" s="27">
        <f t="shared" si="3"/>
        <v>0</v>
      </c>
      <c r="J62" s="27"/>
      <c r="K62" s="16"/>
      <c r="L62" s="27"/>
      <c r="M62" s="27"/>
      <c r="N62" s="27"/>
      <c r="O62" s="27"/>
      <c r="P62" s="27"/>
      <c r="Q62" s="27"/>
      <c r="R62" s="27"/>
      <c r="S62" s="27"/>
      <c r="T62" s="43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5"/>
      <c r="AJ62" s="58"/>
      <c r="AK62" s="55"/>
      <c r="AL62" s="66">
        <f t="shared" si="6"/>
        <v>0</v>
      </c>
      <c r="AM62" s="28" t="str">
        <f t="shared" si="2"/>
        <v>OK</v>
      </c>
    </row>
    <row r="63" spans="1:39" customFormat="1" hidden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135"/>
      <c r="I63" s="21">
        <f t="shared" si="3"/>
        <v>0</v>
      </c>
      <c r="J63" s="21"/>
      <c r="K63" s="16"/>
      <c r="L63" s="21"/>
      <c r="M63" s="21"/>
      <c r="N63" s="21"/>
      <c r="O63" s="21"/>
      <c r="P63" s="21"/>
      <c r="Q63" s="21"/>
      <c r="R63" s="21"/>
      <c r="S63" s="21"/>
      <c r="T63" s="4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4"/>
      <c r="AJ63" s="57"/>
      <c r="AK63" s="54"/>
      <c r="AL63" s="65">
        <f t="shared" si="6"/>
        <v>0</v>
      </c>
      <c r="AM63" s="22" t="str">
        <f t="shared" si="2"/>
        <v>OK</v>
      </c>
    </row>
    <row r="64" spans="1:39" customFormat="1" hidden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136"/>
      <c r="I64" s="27">
        <f t="shared" si="3"/>
        <v>0</v>
      </c>
      <c r="J64" s="27"/>
      <c r="K64" s="16"/>
      <c r="L64" s="27"/>
      <c r="M64" s="27"/>
      <c r="N64" s="27"/>
      <c r="O64" s="27"/>
      <c r="P64" s="27"/>
      <c r="Q64" s="27"/>
      <c r="R64" s="27"/>
      <c r="S64" s="27"/>
      <c r="T64" s="43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5"/>
      <c r="AJ64" s="58"/>
      <c r="AK64" s="55"/>
      <c r="AL64" s="66">
        <f t="shared" si="6"/>
        <v>0</v>
      </c>
      <c r="AM64" s="28" t="str">
        <f t="shared" si="2"/>
        <v>OK</v>
      </c>
    </row>
    <row r="65" spans="1:39" customFormat="1" hidden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135"/>
      <c r="I65" s="21">
        <f t="shared" si="3"/>
        <v>0</v>
      </c>
      <c r="J65" s="21"/>
      <c r="K65" s="16"/>
      <c r="L65" s="21"/>
      <c r="M65" s="21"/>
      <c r="N65" s="21"/>
      <c r="O65" s="21"/>
      <c r="P65" s="21"/>
      <c r="Q65" s="21"/>
      <c r="R65" s="21"/>
      <c r="S65" s="21"/>
      <c r="T65" s="4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4"/>
      <c r="AJ65" s="57"/>
      <c r="AK65" s="54"/>
      <c r="AL65" s="65">
        <f t="shared" si="4"/>
        <v>0</v>
      </c>
      <c r="AM65" s="22" t="str">
        <f t="shared" si="2"/>
        <v>OK</v>
      </c>
    </row>
    <row r="66" spans="1:39" customFormat="1" hidden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136"/>
      <c r="I66" s="27">
        <f t="shared" si="3"/>
        <v>0</v>
      </c>
      <c r="J66" s="27"/>
      <c r="K66" s="16"/>
      <c r="L66" s="27"/>
      <c r="M66" s="27"/>
      <c r="N66" s="27"/>
      <c r="O66" s="27"/>
      <c r="P66" s="27"/>
      <c r="Q66" s="27"/>
      <c r="R66" s="27"/>
      <c r="S66" s="27"/>
      <c r="T66" s="43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5"/>
      <c r="AJ66" s="58"/>
      <c r="AK66" s="55"/>
      <c r="AL66" s="66">
        <f t="shared" si="4"/>
        <v>0</v>
      </c>
      <c r="AM66" s="28" t="str">
        <f t="shared" si="2"/>
        <v>OK</v>
      </c>
    </row>
    <row r="67" spans="1:39" customFormat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135">
        <v>1400</v>
      </c>
      <c r="I67" s="21">
        <f t="shared" si="3"/>
        <v>0</v>
      </c>
      <c r="J67" s="21"/>
      <c r="K67" s="16"/>
      <c r="L67" s="21"/>
      <c r="M67" s="21"/>
      <c r="N67" s="21"/>
      <c r="O67" s="21"/>
      <c r="P67" s="21"/>
      <c r="Q67" s="21"/>
      <c r="R67" s="21"/>
      <c r="S67" s="21"/>
      <c r="T67" s="4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4"/>
      <c r="AJ67" s="57"/>
      <c r="AK67" s="54"/>
      <c r="AL67" s="65">
        <f t="shared" si="4"/>
        <v>0</v>
      </c>
      <c r="AM67" s="22" t="str">
        <f t="shared" si="2"/>
        <v>OK</v>
      </c>
    </row>
    <row r="68" spans="1:39" customFormat="1" hidden="1">
      <c r="A68" s="81" t="s">
        <v>132</v>
      </c>
      <c r="B68" s="78">
        <v>20269</v>
      </c>
      <c r="C68" s="23" t="s">
        <v>131</v>
      </c>
      <c r="D68" s="24"/>
      <c r="E68" s="24"/>
      <c r="F68" s="24"/>
      <c r="G68" s="25"/>
      <c r="H68" s="136"/>
      <c r="I68" s="27">
        <f t="shared" si="3"/>
        <v>0</v>
      </c>
      <c r="J68" s="27"/>
      <c r="K68" s="16"/>
      <c r="L68" s="27"/>
      <c r="M68" s="27"/>
      <c r="N68" s="27"/>
      <c r="O68" s="27"/>
      <c r="P68" s="27"/>
      <c r="Q68" s="27"/>
      <c r="R68" s="27"/>
      <c r="S68" s="27"/>
      <c r="T68" s="43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5"/>
      <c r="AJ68" s="58"/>
      <c r="AK68" s="55"/>
      <c r="AL68" s="66">
        <f t="shared" si="4"/>
        <v>0</v>
      </c>
      <c r="AM68" s="28" t="str">
        <f t="shared" si="2"/>
        <v>OK</v>
      </c>
    </row>
    <row r="69" spans="1:39" customFormat="1" hidden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135"/>
      <c r="I69" s="21">
        <f t="shared" si="3"/>
        <v>0</v>
      </c>
      <c r="J69" s="21"/>
      <c r="K69" s="16"/>
      <c r="L69" s="21"/>
      <c r="M69" s="21"/>
      <c r="N69" s="21"/>
      <c r="O69" s="21"/>
      <c r="P69" s="21"/>
      <c r="Q69" s="21"/>
      <c r="R69" s="21"/>
      <c r="S69" s="21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7"/>
      <c r="AK69" s="54"/>
      <c r="AL69" s="65">
        <f t="shared" si="4"/>
        <v>0</v>
      </c>
      <c r="AM69" s="22" t="str">
        <f t="shared" si="2"/>
        <v>OK</v>
      </c>
    </row>
    <row r="70" spans="1:39" customFormat="1" hidden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136"/>
      <c r="I70" s="27">
        <f t="shared" si="3"/>
        <v>0</v>
      </c>
      <c r="J70" s="27"/>
      <c r="K70" s="16"/>
      <c r="L70" s="27"/>
      <c r="M70" s="27"/>
      <c r="N70" s="27"/>
      <c r="O70" s="27"/>
      <c r="P70" s="27"/>
      <c r="Q70" s="27"/>
      <c r="R70" s="27"/>
      <c r="S70" s="27"/>
      <c r="T70" s="43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5"/>
      <c r="AJ70" s="58"/>
      <c r="AK70" s="55"/>
      <c r="AL70" s="66">
        <f t="shared" si="4"/>
        <v>0</v>
      </c>
      <c r="AM70" s="28" t="str">
        <f t="shared" si="2"/>
        <v>OK</v>
      </c>
    </row>
    <row r="71" spans="1:39" customFormat="1" ht="17.25" thickBot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135">
        <v>1100</v>
      </c>
      <c r="I71" s="21">
        <f t="shared" ref="I71:I96" si="7">SUM(L71:AK71)</f>
        <v>0</v>
      </c>
      <c r="J71" s="21"/>
      <c r="K71" s="16"/>
      <c r="L71" s="21"/>
      <c r="M71" s="21"/>
      <c r="N71" s="21"/>
      <c r="O71" s="21"/>
      <c r="P71" s="21"/>
      <c r="Q71" s="21"/>
      <c r="R71" s="21"/>
      <c r="S71" s="21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4"/>
      <c r="AJ71" s="57"/>
      <c r="AK71" s="54"/>
      <c r="AL71" s="65">
        <f t="shared" si="4"/>
        <v>0</v>
      </c>
      <c r="AM71" s="22" t="str">
        <f t="shared" si="2"/>
        <v>OK</v>
      </c>
    </row>
    <row r="72" spans="1:39" customFormat="1" ht="17.25" hidden="1" thickBot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136"/>
      <c r="I72" s="27">
        <f t="shared" si="7"/>
        <v>0</v>
      </c>
      <c r="J72" s="27"/>
      <c r="K72" s="16"/>
      <c r="L72" s="27"/>
      <c r="M72" s="27"/>
      <c r="N72" s="27"/>
      <c r="O72" s="27"/>
      <c r="P72" s="27"/>
      <c r="Q72" s="27"/>
      <c r="R72" s="27"/>
      <c r="S72" s="27"/>
      <c r="T72" s="43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5"/>
      <c r="AJ72" s="58"/>
      <c r="AK72" s="55"/>
      <c r="AL72" s="66">
        <f t="shared" si="4"/>
        <v>0</v>
      </c>
      <c r="AM72" s="28" t="str">
        <f t="shared" si="2"/>
        <v>OK</v>
      </c>
    </row>
    <row r="73" spans="1:39" customFormat="1" ht="17.25" hidden="1" thickBot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138"/>
      <c r="I73" s="101">
        <f t="shared" si="7"/>
        <v>0</v>
      </c>
      <c r="J73" s="21"/>
      <c r="K73" s="16"/>
      <c r="L73" s="21"/>
      <c r="M73" s="21"/>
      <c r="N73" s="21"/>
      <c r="O73" s="21"/>
      <c r="P73" s="21"/>
      <c r="Q73" s="21"/>
      <c r="R73" s="21"/>
      <c r="S73" s="21"/>
      <c r="T73" s="42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4"/>
      <c r="AJ73" s="57"/>
      <c r="AK73" s="54"/>
      <c r="AL73" s="65">
        <f t="shared" si="4"/>
        <v>0</v>
      </c>
      <c r="AM73" s="22" t="str">
        <f t="shared" si="2"/>
        <v>OK</v>
      </c>
    </row>
    <row r="74" spans="1:39" customFormat="1" ht="17.25" hidden="1" thickBot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139"/>
      <c r="I74" s="103">
        <f t="shared" si="7"/>
        <v>0</v>
      </c>
      <c r="J74" s="27"/>
      <c r="K74" s="16"/>
      <c r="L74" s="100"/>
      <c r="M74" s="100"/>
      <c r="N74" s="100"/>
      <c r="O74" s="100"/>
      <c r="P74" s="100"/>
      <c r="Q74" s="100"/>
      <c r="R74" s="100"/>
      <c r="S74" s="100"/>
      <c r="T74" s="109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1"/>
      <c r="AJ74" s="112"/>
      <c r="AK74" s="111"/>
      <c r="AL74" s="66">
        <f t="shared" si="4"/>
        <v>0</v>
      </c>
      <c r="AM74" s="28" t="str">
        <f t="shared" si="2"/>
        <v>OK</v>
      </c>
    </row>
    <row r="75" spans="1:39" ht="17.25" hidden="1" thickBot="1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40"/>
      <c r="I75" s="105">
        <f t="shared" si="7"/>
        <v>0</v>
      </c>
      <c r="J75" s="90"/>
      <c r="K75" s="91"/>
      <c r="L75" s="113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5"/>
      <c r="AL75" s="92">
        <f t="shared" ref="AL75:AL80" si="8">SUM(L75:AK75)</f>
        <v>0</v>
      </c>
      <c r="AM75" s="122" t="str">
        <f t="shared" ref="AM75:AM96" si="9">IF(AL75=I75,"OK","NG")</f>
        <v>OK</v>
      </c>
    </row>
    <row r="76" spans="1:39" ht="17.25" hidden="1" thickBot="1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139"/>
      <c r="I76" s="106">
        <f t="shared" si="7"/>
        <v>0</v>
      </c>
      <c r="J76" s="85"/>
      <c r="K76" s="16"/>
      <c r="L76" s="1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8"/>
      <c r="AL76" s="66">
        <f t="shared" si="8"/>
        <v>0</v>
      </c>
      <c r="AM76" s="28" t="str">
        <f t="shared" si="9"/>
        <v>OK</v>
      </c>
    </row>
    <row r="77" spans="1:39" ht="17.25" hidden="1" thickBot="1">
      <c r="A77" s="87" t="s">
        <v>165</v>
      </c>
      <c r="B77" s="93">
        <v>13007</v>
      </c>
      <c r="C77" s="94" t="s">
        <v>164</v>
      </c>
      <c r="D77" s="88"/>
      <c r="E77" s="88"/>
      <c r="F77" s="88"/>
      <c r="G77" s="89"/>
      <c r="H77" s="104"/>
      <c r="I77" s="105">
        <f t="shared" si="7"/>
        <v>0</v>
      </c>
      <c r="J77" s="90"/>
      <c r="K77" s="91"/>
      <c r="L77" s="113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5"/>
      <c r="AL77" s="92">
        <f t="shared" si="8"/>
        <v>0</v>
      </c>
      <c r="AM77" s="122" t="str">
        <f t="shared" si="9"/>
        <v>OK</v>
      </c>
    </row>
    <row r="78" spans="1:39" ht="17.25" hidden="1" thickBot="1">
      <c r="A78" s="68"/>
      <c r="B78" s="78"/>
      <c r="C78" s="95"/>
      <c r="D78" s="83"/>
      <c r="E78" s="83"/>
      <c r="F78" s="83"/>
      <c r="G78" s="84"/>
      <c r="H78" s="102"/>
      <c r="I78" s="106">
        <f t="shared" si="7"/>
        <v>0</v>
      </c>
      <c r="J78" s="85"/>
      <c r="K78" s="16"/>
      <c r="L78" s="1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66">
        <f t="shared" si="8"/>
        <v>0</v>
      </c>
      <c r="AM78" s="28" t="str">
        <f t="shared" si="9"/>
        <v>OK</v>
      </c>
    </row>
    <row r="79" spans="1:39" ht="17.25" hidden="1" thickBot="1">
      <c r="A79" s="87"/>
      <c r="B79" s="93"/>
      <c r="C79" s="94"/>
      <c r="D79" s="88"/>
      <c r="E79" s="88"/>
      <c r="F79" s="88"/>
      <c r="G79" s="89"/>
      <c r="H79" s="104"/>
      <c r="I79" s="105">
        <f t="shared" si="7"/>
        <v>0</v>
      </c>
      <c r="J79" s="90"/>
      <c r="K79" s="91"/>
      <c r="L79" s="113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5"/>
      <c r="AL79" s="92">
        <f t="shared" si="8"/>
        <v>0</v>
      </c>
      <c r="AM79" s="122" t="str">
        <f t="shared" si="9"/>
        <v>OK</v>
      </c>
    </row>
    <row r="80" spans="1:39" ht="17.25" hidden="1" thickBot="1">
      <c r="A80" s="68"/>
      <c r="B80" s="78"/>
      <c r="C80" s="95"/>
      <c r="D80" s="83"/>
      <c r="E80" s="83"/>
      <c r="F80" s="83"/>
      <c r="G80" s="84"/>
      <c r="H80" s="102"/>
      <c r="I80" s="106">
        <f t="shared" si="7"/>
        <v>0</v>
      </c>
      <c r="J80" s="85"/>
      <c r="K80" s="16"/>
      <c r="L80" s="116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66">
        <f t="shared" si="8"/>
        <v>0</v>
      </c>
      <c r="AM80" s="28" t="str">
        <f t="shared" si="9"/>
        <v>OK</v>
      </c>
    </row>
    <row r="81" spans="1:39" ht="17.25" hidden="1" thickBot="1">
      <c r="A81" s="87"/>
      <c r="B81" s="93"/>
      <c r="C81" s="94"/>
      <c r="D81" s="88"/>
      <c r="E81" s="88"/>
      <c r="F81" s="88"/>
      <c r="G81" s="89"/>
      <c r="H81" s="104"/>
      <c r="I81" s="105">
        <f t="shared" si="7"/>
        <v>0</v>
      </c>
      <c r="J81" s="90"/>
      <c r="K81" s="91"/>
      <c r="L81" s="113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5"/>
      <c r="AL81" s="92">
        <f t="shared" ref="AL81:AL96" si="10">SUM(L81:AK81)</f>
        <v>0</v>
      </c>
      <c r="AM81" s="122" t="str">
        <f t="shared" si="9"/>
        <v>OK</v>
      </c>
    </row>
    <row r="82" spans="1:39" ht="17.25" hidden="1" thickBot="1">
      <c r="A82" s="68"/>
      <c r="B82" s="78"/>
      <c r="C82" s="95"/>
      <c r="D82" s="83"/>
      <c r="E82" s="83"/>
      <c r="F82" s="83"/>
      <c r="G82" s="84"/>
      <c r="H82" s="102"/>
      <c r="I82" s="106">
        <f t="shared" si="7"/>
        <v>0</v>
      </c>
      <c r="J82" s="85"/>
      <c r="K82" s="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66">
        <f t="shared" si="10"/>
        <v>0</v>
      </c>
      <c r="AM82" s="28" t="str">
        <f t="shared" si="9"/>
        <v>OK</v>
      </c>
    </row>
    <row r="83" spans="1:39" ht="17.25" hidden="1" thickBot="1">
      <c r="A83" s="96"/>
      <c r="B83" s="93"/>
      <c r="C83" s="94"/>
      <c r="D83" s="88"/>
      <c r="E83" s="88"/>
      <c r="F83" s="88"/>
      <c r="G83" s="89"/>
      <c r="H83" s="104"/>
      <c r="I83" s="105">
        <f t="shared" si="7"/>
        <v>0</v>
      </c>
      <c r="J83" s="90"/>
      <c r="K83" s="91"/>
      <c r="L83" s="113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5"/>
      <c r="AL83" s="92">
        <f t="shared" si="10"/>
        <v>0</v>
      </c>
      <c r="AM83" s="122" t="str">
        <f t="shared" si="9"/>
        <v>OK</v>
      </c>
    </row>
    <row r="84" spans="1:39" ht="17.25" hidden="1" thickBot="1">
      <c r="A84" s="68"/>
      <c r="B84" s="78"/>
      <c r="C84" s="95"/>
      <c r="D84" s="83"/>
      <c r="E84" s="83"/>
      <c r="F84" s="83"/>
      <c r="G84" s="84"/>
      <c r="H84" s="102"/>
      <c r="I84" s="106">
        <f t="shared" si="7"/>
        <v>0</v>
      </c>
      <c r="J84" s="85"/>
      <c r="K84" s="16"/>
      <c r="L84" s="116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66">
        <f t="shared" si="10"/>
        <v>0</v>
      </c>
      <c r="AM84" s="28" t="str">
        <f t="shared" si="9"/>
        <v>OK</v>
      </c>
    </row>
    <row r="85" spans="1:39" ht="17.25" hidden="1" thickBot="1">
      <c r="A85" s="87"/>
      <c r="B85" s="93"/>
      <c r="C85" s="94"/>
      <c r="D85" s="88"/>
      <c r="E85" s="88"/>
      <c r="F85" s="88"/>
      <c r="G85" s="89"/>
      <c r="H85" s="104"/>
      <c r="I85" s="105">
        <f t="shared" si="7"/>
        <v>0</v>
      </c>
      <c r="J85" s="90"/>
      <c r="K85" s="91"/>
      <c r="L85" s="113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5"/>
      <c r="AL85" s="92">
        <f t="shared" si="10"/>
        <v>0</v>
      </c>
      <c r="AM85" s="122" t="str">
        <f t="shared" si="9"/>
        <v>OK</v>
      </c>
    </row>
    <row r="86" spans="1:39" ht="17.25" hidden="1" thickBot="1">
      <c r="A86" s="68"/>
      <c r="B86" s="78"/>
      <c r="C86" s="95"/>
      <c r="D86" s="83"/>
      <c r="E86" s="83"/>
      <c r="F86" s="83"/>
      <c r="G86" s="84"/>
      <c r="H86" s="102"/>
      <c r="I86" s="106">
        <f t="shared" si="7"/>
        <v>0</v>
      </c>
      <c r="J86" s="85"/>
      <c r="K86" s="16"/>
      <c r="L86" s="116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66">
        <f t="shared" si="10"/>
        <v>0</v>
      </c>
      <c r="AM86" s="28" t="str">
        <f t="shared" si="9"/>
        <v>OK</v>
      </c>
    </row>
    <row r="87" spans="1:39" ht="17.25" hidden="1" thickBot="1">
      <c r="A87" s="87"/>
      <c r="B87" s="93"/>
      <c r="C87" s="94"/>
      <c r="D87" s="88"/>
      <c r="E87" s="88"/>
      <c r="F87" s="88"/>
      <c r="G87" s="89"/>
      <c r="H87" s="104"/>
      <c r="I87" s="105">
        <f t="shared" si="7"/>
        <v>0</v>
      </c>
      <c r="J87" s="90"/>
      <c r="K87" s="91"/>
      <c r="L87" s="113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5"/>
      <c r="AL87" s="92">
        <f t="shared" si="10"/>
        <v>0</v>
      </c>
      <c r="AM87" s="122" t="str">
        <f t="shared" si="9"/>
        <v>OK</v>
      </c>
    </row>
    <row r="88" spans="1:39" ht="17.25" hidden="1" thickBot="1">
      <c r="A88" s="68"/>
      <c r="B88" s="78"/>
      <c r="C88" s="95"/>
      <c r="D88" s="83"/>
      <c r="E88" s="83"/>
      <c r="F88" s="83"/>
      <c r="G88" s="84"/>
      <c r="H88" s="102"/>
      <c r="I88" s="106">
        <f t="shared" si="7"/>
        <v>0</v>
      </c>
      <c r="J88" s="85"/>
      <c r="K88" s="16"/>
      <c r="L88" s="116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66">
        <f t="shared" si="10"/>
        <v>0</v>
      </c>
      <c r="AM88" s="28" t="str">
        <f t="shared" si="9"/>
        <v>OK</v>
      </c>
    </row>
    <row r="89" spans="1:39" ht="17.25" hidden="1" thickBot="1">
      <c r="A89" s="87"/>
      <c r="B89" s="93"/>
      <c r="C89" s="94"/>
      <c r="D89" s="88"/>
      <c r="E89" s="88"/>
      <c r="F89" s="88"/>
      <c r="G89" s="89"/>
      <c r="H89" s="104"/>
      <c r="I89" s="105">
        <f t="shared" si="7"/>
        <v>0</v>
      </c>
      <c r="J89" s="90"/>
      <c r="K89" s="91"/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5"/>
      <c r="AL89" s="92">
        <f t="shared" si="10"/>
        <v>0</v>
      </c>
      <c r="AM89" s="122" t="str">
        <f t="shared" si="9"/>
        <v>OK</v>
      </c>
    </row>
    <row r="90" spans="1:39" ht="17.25" hidden="1" thickBot="1">
      <c r="A90" s="68"/>
      <c r="B90" s="78"/>
      <c r="C90" s="95"/>
      <c r="D90" s="83"/>
      <c r="E90" s="83"/>
      <c r="F90" s="83"/>
      <c r="G90" s="84"/>
      <c r="H90" s="102"/>
      <c r="I90" s="106">
        <f t="shared" si="7"/>
        <v>0</v>
      </c>
      <c r="J90" s="85"/>
      <c r="K90" s="16"/>
      <c r="L90" s="116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66">
        <f t="shared" si="10"/>
        <v>0</v>
      </c>
      <c r="AM90" s="28" t="str">
        <f t="shared" si="9"/>
        <v>OK</v>
      </c>
    </row>
    <row r="91" spans="1:39" ht="17.25" hidden="1" thickBot="1">
      <c r="A91" s="87"/>
      <c r="B91" s="93"/>
      <c r="C91" s="94"/>
      <c r="D91" s="88"/>
      <c r="E91" s="88"/>
      <c r="F91" s="88"/>
      <c r="G91" s="89"/>
      <c r="H91" s="104"/>
      <c r="I91" s="105">
        <f t="shared" si="7"/>
        <v>0</v>
      </c>
      <c r="J91" s="90"/>
      <c r="K91" s="91"/>
      <c r="L91" s="113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5"/>
      <c r="AL91" s="92">
        <f t="shared" si="10"/>
        <v>0</v>
      </c>
      <c r="AM91" s="122" t="str">
        <f t="shared" si="9"/>
        <v>OK</v>
      </c>
    </row>
    <row r="92" spans="1:39" ht="17.25" hidden="1" thickBot="1">
      <c r="A92" s="68"/>
      <c r="B92" s="78"/>
      <c r="C92" s="95"/>
      <c r="D92" s="83"/>
      <c r="E92" s="83"/>
      <c r="F92" s="83"/>
      <c r="G92" s="84"/>
      <c r="H92" s="102"/>
      <c r="I92" s="106">
        <f t="shared" si="7"/>
        <v>0</v>
      </c>
      <c r="J92" s="85"/>
      <c r="K92" s="16"/>
      <c r="L92" s="116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66">
        <f t="shared" si="10"/>
        <v>0</v>
      </c>
      <c r="AM92" s="28" t="str">
        <f t="shared" si="9"/>
        <v>OK</v>
      </c>
    </row>
    <row r="93" spans="1:39" ht="17.25" hidden="1" thickBot="1">
      <c r="A93" s="87"/>
      <c r="B93" s="93"/>
      <c r="C93" s="94"/>
      <c r="D93" s="88"/>
      <c r="E93" s="88"/>
      <c r="F93" s="88"/>
      <c r="G93" s="89"/>
      <c r="H93" s="104"/>
      <c r="I93" s="105">
        <f t="shared" si="7"/>
        <v>0</v>
      </c>
      <c r="J93" s="90"/>
      <c r="K93" s="91"/>
      <c r="L93" s="113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5"/>
      <c r="AL93" s="92">
        <f t="shared" si="10"/>
        <v>0</v>
      </c>
      <c r="AM93" s="122" t="str">
        <f t="shared" si="9"/>
        <v>OK</v>
      </c>
    </row>
    <row r="94" spans="1:39" ht="17.25" hidden="1" thickBot="1">
      <c r="A94" s="68"/>
      <c r="B94" s="78"/>
      <c r="C94" s="95"/>
      <c r="D94" s="83"/>
      <c r="E94" s="83"/>
      <c r="F94" s="83"/>
      <c r="G94" s="84"/>
      <c r="H94" s="102"/>
      <c r="I94" s="106">
        <f t="shared" si="7"/>
        <v>0</v>
      </c>
      <c r="J94" s="85"/>
      <c r="K94" s="16"/>
      <c r="L94" s="116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66">
        <f t="shared" si="10"/>
        <v>0</v>
      </c>
      <c r="AM94" s="28" t="str">
        <f t="shared" si="9"/>
        <v>OK</v>
      </c>
    </row>
    <row r="95" spans="1:39" ht="17.25" hidden="1" thickBot="1">
      <c r="A95" s="87"/>
      <c r="B95" s="93"/>
      <c r="C95" s="94"/>
      <c r="D95" s="88"/>
      <c r="E95" s="88"/>
      <c r="F95" s="88"/>
      <c r="G95" s="89"/>
      <c r="H95" s="104"/>
      <c r="I95" s="105">
        <f t="shared" si="7"/>
        <v>0</v>
      </c>
      <c r="J95" s="90"/>
      <c r="K95" s="91"/>
      <c r="L95" s="113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5"/>
      <c r="AL95" s="92">
        <f t="shared" si="10"/>
        <v>0</v>
      </c>
      <c r="AM95" s="122" t="str">
        <f t="shared" si="9"/>
        <v>OK</v>
      </c>
    </row>
    <row r="96" spans="1:39" ht="17.25" hidden="1" thickBot="1">
      <c r="A96" s="97"/>
      <c r="B96" s="98"/>
      <c r="C96" s="99"/>
      <c r="D96" s="83"/>
      <c r="E96" s="83"/>
      <c r="F96" s="83"/>
      <c r="G96" s="84"/>
      <c r="H96" s="107"/>
      <c r="I96" s="108">
        <f t="shared" si="7"/>
        <v>0</v>
      </c>
      <c r="J96" s="85"/>
      <c r="K96" s="16"/>
      <c r="L96" s="119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1"/>
      <c r="AL96" s="66">
        <f t="shared" si="10"/>
        <v>0</v>
      </c>
      <c r="AM96" s="28" t="str">
        <f t="shared" si="9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7230</v>
      </c>
      <c r="I97" s="46">
        <f>SUM(I6:I96)</f>
        <v>3</v>
      </c>
      <c r="J97" s="47">
        <f>SUM(J6:J74)</f>
        <v>0</v>
      </c>
      <c r="K97" s="9"/>
      <c r="L97" s="45">
        <f>SUM(L6:L96)</f>
        <v>0</v>
      </c>
      <c r="M97" s="45">
        <f t="shared" ref="M97:AI97" si="11">SUM(M6:M96)</f>
        <v>0</v>
      </c>
      <c r="N97" s="45">
        <f t="shared" si="11"/>
        <v>0</v>
      </c>
      <c r="O97" s="45">
        <f t="shared" si="11"/>
        <v>0</v>
      </c>
      <c r="P97" s="45">
        <f t="shared" si="11"/>
        <v>0</v>
      </c>
      <c r="Q97" s="45">
        <f t="shared" si="11"/>
        <v>0</v>
      </c>
      <c r="R97" s="45">
        <f t="shared" si="11"/>
        <v>0</v>
      </c>
      <c r="S97" s="45">
        <f t="shared" si="11"/>
        <v>0</v>
      </c>
      <c r="T97" s="45">
        <f t="shared" si="11"/>
        <v>0</v>
      </c>
      <c r="U97" s="45">
        <f t="shared" si="11"/>
        <v>0</v>
      </c>
      <c r="V97" s="45">
        <f t="shared" si="11"/>
        <v>0</v>
      </c>
      <c r="W97" s="45">
        <f t="shared" si="11"/>
        <v>0</v>
      </c>
      <c r="X97" s="45">
        <f t="shared" si="11"/>
        <v>0</v>
      </c>
      <c r="Y97" s="45">
        <f t="shared" si="11"/>
        <v>0</v>
      </c>
      <c r="Z97" s="45">
        <f t="shared" si="11"/>
        <v>0</v>
      </c>
      <c r="AA97" s="45">
        <f t="shared" si="11"/>
        <v>0</v>
      </c>
      <c r="AB97" s="45">
        <f t="shared" si="11"/>
        <v>0</v>
      </c>
      <c r="AC97" s="45">
        <f t="shared" si="11"/>
        <v>0</v>
      </c>
      <c r="AD97" s="45">
        <f t="shared" si="11"/>
        <v>0</v>
      </c>
      <c r="AE97" s="45">
        <f t="shared" si="11"/>
        <v>0</v>
      </c>
      <c r="AF97" s="45">
        <f t="shared" si="11"/>
        <v>0</v>
      </c>
      <c r="AG97" s="45">
        <f t="shared" si="11"/>
        <v>0</v>
      </c>
      <c r="AH97" s="45">
        <f t="shared" si="11"/>
        <v>0</v>
      </c>
      <c r="AI97" s="45">
        <f t="shared" si="11"/>
        <v>3</v>
      </c>
      <c r="AJ97" s="49">
        <f>SUM(AJ6:AJ96)</f>
        <v>0</v>
      </c>
      <c r="AK97" s="61">
        <f>SUM(AK6:AK96)</f>
        <v>0</v>
      </c>
      <c r="AL97" s="67">
        <f>SUM(AL6:AL96)</f>
        <v>3</v>
      </c>
      <c r="AM97" s="48" t="str">
        <f>IF(AL97=SUM(I97),"OK","NG")</f>
        <v>OK</v>
      </c>
    </row>
    <row r="99" spans="1:39">
      <c r="I99" s="86"/>
    </row>
    <row r="100" spans="1:39">
      <c r="L100" s="86"/>
      <c r="M100" s="86"/>
    </row>
    <row r="101" spans="1:39">
      <c r="L101" s="86"/>
    </row>
    <row r="102" spans="1:39">
      <c r="I102" s="86"/>
    </row>
  </sheetData>
  <autoFilter ref="A5:AM97" xr:uid="{00000000-0001-0000-0A00-000000000000}">
    <filterColumn colId="7">
      <customFilters>
        <customFilter operator="notEqual" val=" "/>
      </customFilters>
    </filterColumn>
  </autoFilter>
  <mergeCells count="37">
    <mergeCell ref="AM4:AM5"/>
    <mergeCell ref="AG4:AG5"/>
    <mergeCell ref="AH4:AH5"/>
    <mergeCell ref="AI4:AI5"/>
    <mergeCell ref="AJ4:AJ5"/>
    <mergeCell ref="AK4:AK5"/>
    <mergeCell ref="AL4:AL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B1:C1"/>
    <mergeCell ref="F1:G1"/>
    <mergeCell ref="H1:J3"/>
    <mergeCell ref="B2:C2"/>
    <mergeCell ref="AM2:AM3"/>
    <mergeCell ref="B3:C3"/>
  </mergeCells>
  <phoneticPr fontId="3" type="noConversion"/>
  <conditionalFormatting sqref="A4 AM6:AM97">
    <cfRule type="containsText" dxfId="57" priority="7" operator="containsText" text="NG">
      <formula>NOT(ISERROR(SEARCH("NG",A4)))</formula>
    </cfRule>
    <cfRule type="containsText" dxfId="56" priority="8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51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pageSetUpPr fitToPage="1"/>
  </sheetPr>
  <dimension ref="A1:AM100"/>
  <sheetViews>
    <sheetView showGridLines="0" zoomScale="85" zoomScaleNormal="85" workbookViewId="0">
      <pane ySplit="5" topLeftCell="A24" activePane="bottomLeft" state="frozen"/>
      <selection activeCell="P19" sqref="P19"/>
      <selection pane="bottomLeft"/>
    </sheetView>
  </sheetViews>
  <sheetFormatPr defaultColWidth="9" defaultRowHeight="16.5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16" width="8.75"/>
    <col min="17" max="20" width="9" customWidth="1"/>
    <col min="21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5" customHeight="1" thickBot="1">
      <c r="A1" s="37" t="s">
        <v>13</v>
      </c>
      <c r="B1" s="168">
        <f>H97</f>
        <v>0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4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5" customHeight="1" thickBot="1">
      <c r="A2" s="37" t="s">
        <v>14</v>
      </c>
      <c r="B2" s="173">
        <f>I97</f>
        <v>0</v>
      </c>
      <c r="C2" s="174"/>
      <c r="D2" s="75"/>
      <c r="E2" s="71"/>
      <c r="F2" s="2"/>
      <c r="G2" s="2"/>
      <c r="H2" s="171"/>
      <c r="I2" s="171"/>
      <c r="J2" s="171"/>
      <c r="K2" s="3"/>
      <c r="L2" s="4">
        <f t="shared" ref="L2:AK2" si="0">SUBTOTAL(9,L6:L96)</f>
        <v>0</v>
      </c>
      <c r="M2" s="4">
        <f t="shared" si="0"/>
        <v>0</v>
      </c>
      <c r="N2" s="4">
        <f t="shared" si="0"/>
        <v>0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39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0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0</v>
      </c>
      <c r="AH2" s="5">
        <f t="shared" si="0"/>
        <v>0</v>
      </c>
      <c r="AI2" s="5">
        <f t="shared" si="0"/>
        <v>0</v>
      </c>
      <c r="AJ2" s="5">
        <f t="shared" si="0"/>
        <v>0</v>
      </c>
      <c r="AK2" s="59">
        <f t="shared" si="0"/>
        <v>0</v>
      </c>
      <c r="AL2" s="62">
        <f>SUBTOTAL(9,AL6:AL96)</f>
        <v>0</v>
      </c>
      <c r="AM2" s="175"/>
    </row>
    <row r="3" spans="1:39" customFormat="1" ht="22.5" customHeight="1" thickBot="1">
      <c r="A3" s="38" t="s">
        <v>15</v>
      </c>
      <c r="B3" s="177" t="str">
        <f>IF(ISERROR(B2/(B2+B1)*1000000),"",(B2/(B2+B1)*1000000))</f>
        <v/>
      </c>
      <c r="C3" s="178"/>
      <c r="D3" s="73"/>
      <c r="E3" s="72"/>
      <c r="F3" s="32"/>
      <c r="G3" s="32"/>
      <c r="H3" s="172"/>
      <c r="I3" s="172"/>
      <c r="J3" s="172"/>
      <c r="K3" s="6"/>
      <c r="L3" s="7">
        <f t="shared" ref="L3:AK3" si="1">SUM(L6:L96)</f>
        <v>0</v>
      </c>
      <c r="M3" s="7">
        <f t="shared" si="1"/>
        <v>0</v>
      </c>
      <c r="N3" s="7">
        <f t="shared" si="1"/>
        <v>0</v>
      </c>
      <c r="O3" s="7">
        <f t="shared" si="1"/>
        <v>0</v>
      </c>
      <c r="P3" s="7">
        <f t="shared" si="1"/>
        <v>0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40">
        <f t="shared" si="1"/>
        <v>0</v>
      </c>
      <c r="U3" s="8">
        <f t="shared" si="1"/>
        <v>0</v>
      </c>
      <c r="V3" s="8">
        <f t="shared" si="1"/>
        <v>0</v>
      </c>
      <c r="W3" s="8">
        <f t="shared" si="1"/>
        <v>0</v>
      </c>
      <c r="X3" s="8">
        <f t="shared" si="1"/>
        <v>0</v>
      </c>
      <c r="Y3" s="8">
        <f t="shared" si="1"/>
        <v>0</v>
      </c>
      <c r="Z3" s="8">
        <f t="shared" si="1"/>
        <v>0</v>
      </c>
      <c r="AA3" s="8">
        <f t="shared" si="1"/>
        <v>0</v>
      </c>
      <c r="AB3" s="8">
        <f t="shared" si="1"/>
        <v>0</v>
      </c>
      <c r="AC3" s="8">
        <f t="shared" si="1"/>
        <v>0</v>
      </c>
      <c r="AD3" s="8">
        <f t="shared" si="1"/>
        <v>0</v>
      </c>
      <c r="AE3" s="8">
        <f t="shared" si="1"/>
        <v>0</v>
      </c>
      <c r="AF3" s="8">
        <f t="shared" si="1"/>
        <v>0</v>
      </c>
      <c r="AG3" s="8">
        <f t="shared" si="1"/>
        <v>0</v>
      </c>
      <c r="AH3" s="8">
        <f t="shared" si="1"/>
        <v>0</v>
      </c>
      <c r="AI3" s="8">
        <f t="shared" si="1"/>
        <v>0</v>
      </c>
      <c r="AJ3" s="8">
        <f t="shared" si="1"/>
        <v>0</v>
      </c>
      <c r="AK3" s="60">
        <f t="shared" si="1"/>
        <v>0</v>
      </c>
      <c r="AL3" s="63">
        <f>SUM(AL6:AL96)</f>
        <v>0</v>
      </c>
      <c r="AM3" s="176"/>
    </row>
    <row r="4" spans="1:39" customFormat="1" ht="43.5" customHeight="1">
      <c r="A4" s="163" t="str">
        <f>AM97</f>
        <v>OK</v>
      </c>
      <c r="B4" s="163"/>
      <c r="C4" s="163"/>
      <c r="D4" s="164"/>
      <c r="E4" s="165" t="s">
        <v>16</v>
      </c>
      <c r="F4" s="165"/>
      <c r="G4" s="165"/>
      <c r="H4" s="165" t="s">
        <v>17</v>
      </c>
      <c r="I4" s="165"/>
      <c r="J4" s="165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1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56" t="s">
        <v>12</v>
      </c>
      <c r="AL4" s="158" t="s">
        <v>36</v>
      </c>
      <c r="AM4" s="149" t="s">
        <v>37</v>
      </c>
    </row>
    <row r="5" spans="1:39" customFormat="1" ht="33.75" thickBot="1">
      <c r="A5" s="34" t="s">
        <v>3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138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6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3"/>
      <c r="AJ5" s="155"/>
      <c r="AK5" s="157"/>
      <c r="AL5" s="159"/>
      <c r="AM5" s="150"/>
    </row>
    <row r="6" spans="1:39" customFormat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34"/>
      <c r="I6" s="15">
        <f>SUM(L6:AK6)</f>
        <v>0</v>
      </c>
      <c r="J6" s="15"/>
      <c r="K6" s="16"/>
      <c r="L6" s="15"/>
      <c r="M6" s="15"/>
      <c r="N6" s="15"/>
      <c r="O6" s="15"/>
      <c r="P6" s="15"/>
      <c r="Q6" s="15"/>
      <c r="R6" s="15"/>
      <c r="S6" s="15"/>
      <c r="T6" s="41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3"/>
      <c r="AJ6" s="56"/>
      <c r="AK6" s="53"/>
      <c r="AL6" s="64">
        <f>SUM(L6:AK6)</f>
        <v>0</v>
      </c>
      <c r="AM6" s="31" t="str">
        <f t="shared" ref="AM6:AM74" si="2">IF(AL6=I6,"OK","NG")</f>
        <v>OK</v>
      </c>
    </row>
    <row r="7" spans="1:39" customFormat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135"/>
      <c r="I7" s="21">
        <f t="shared" ref="I7:I70" si="3">SUM(L7:AK7)</f>
        <v>0</v>
      </c>
      <c r="J7" s="21"/>
      <c r="K7" s="16"/>
      <c r="L7" s="21"/>
      <c r="M7" s="21"/>
      <c r="N7" s="21"/>
      <c r="O7" s="21"/>
      <c r="P7" s="21"/>
      <c r="Q7" s="21"/>
      <c r="R7" s="21"/>
      <c r="S7" s="21"/>
      <c r="T7" s="42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4"/>
      <c r="AJ7" s="57"/>
      <c r="AK7" s="54"/>
      <c r="AL7" s="65">
        <f t="shared" ref="AL7:AL74" si="4">SUM(L7:AK7)</f>
        <v>0</v>
      </c>
      <c r="AM7" s="22" t="str">
        <f t="shared" si="2"/>
        <v>OK</v>
      </c>
    </row>
    <row r="8" spans="1:39" customFormat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36"/>
      <c r="I8" s="27">
        <f t="shared" si="3"/>
        <v>0</v>
      </c>
      <c r="J8" s="27"/>
      <c r="K8" s="16"/>
      <c r="L8" s="27"/>
      <c r="M8" s="27"/>
      <c r="N8" s="27"/>
      <c r="O8" s="27"/>
      <c r="P8" s="27"/>
      <c r="Q8" s="27"/>
      <c r="R8" s="27"/>
      <c r="S8" s="27"/>
      <c r="T8" s="4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5"/>
      <c r="AJ8" s="58"/>
      <c r="AK8" s="55"/>
      <c r="AL8" s="66">
        <f t="shared" si="4"/>
        <v>0</v>
      </c>
      <c r="AM8" s="28" t="str">
        <f t="shared" si="2"/>
        <v>OK</v>
      </c>
    </row>
    <row r="9" spans="1:39" customFormat="1">
      <c r="A9" s="17" t="s">
        <v>68</v>
      </c>
      <c r="B9" s="77">
        <v>10897</v>
      </c>
      <c r="C9" s="17" t="s">
        <v>62</v>
      </c>
      <c r="D9" s="69"/>
      <c r="E9" s="18"/>
      <c r="F9" s="18"/>
      <c r="G9" s="19"/>
      <c r="H9" s="135"/>
      <c r="I9" s="21">
        <f t="shared" si="3"/>
        <v>0</v>
      </c>
      <c r="J9" s="21"/>
      <c r="K9" s="16"/>
      <c r="L9" s="21"/>
      <c r="M9" s="21"/>
      <c r="N9" s="21"/>
      <c r="O9" s="21"/>
      <c r="P9" s="21"/>
      <c r="Q9" s="21"/>
      <c r="R9" s="21"/>
      <c r="S9" s="21"/>
      <c r="T9" s="42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4"/>
      <c r="AJ9" s="57"/>
      <c r="AK9" s="54"/>
      <c r="AL9" s="65">
        <f t="shared" si="4"/>
        <v>0</v>
      </c>
      <c r="AM9" s="22" t="str">
        <f t="shared" si="2"/>
        <v>OK</v>
      </c>
    </row>
    <row r="10" spans="1:39" customFormat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36"/>
      <c r="I10" s="27">
        <f t="shared" si="3"/>
        <v>0</v>
      </c>
      <c r="J10" s="27"/>
      <c r="K10" s="16"/>
      <c r="L10" s="27"/>
      <c r="M10" s="27"/>
      <c r="N10" s="27"/>
      <c r="O10" s="27"/>
      <c r="P10" s="27"/>
      <c r="Q10" s="27"/>
      <c r="R10" s="27"/>
      <c r="S10" s="27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5"/>
      <c r="AJ10" s="58"/>
      <c r="AK10" s="55"/>
      <c r="AL10" s="66">
        <f t="shared" si="4"/>
        <v>0</v>
      </c>
      <c r="AM10" s="28" t="str">
        <f t="shared" si="2"/>
        <v>OK</v>
      </c>
    </row>
    <row r="11" spans="1:39" customFormat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135"/>
      <c r="I11" s="21">
        <f t="shared" si="3"/>
        <v>0</v>
      </c>
      <c r="J11" s="21"/>
      <c r="K11" s="16"/>
      <c r="L11" s="21"/>
      <c r="M11" s="21"/>
      <c r="N11" s="21"/>
      <c r="O11" s="21"/>
      <c r="P11" s="21"/>
      <c r="Q11" s="21"/>
      <c r="R11" s="21"/>
      <c r="S11" s="21"/>
      <c r="T11" s="42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4"/>
      <c r="AJ11" s="57"/>
      <c r="AK11" s="54"/>
      <c r="AL11" s="65">
        <f t="shared" si="4"/>
        <v>0</v>
      </c>
      <c r="AM11" s="22" t="str">
        <f t="shared" si="2"/>
        <v>OK</v>
      </c>
    </row>
    <row r="12" spans="1:39" customFormat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36"/>
      <c r="I12" s="27">
        <f t="shared" si="3"/>
        <v>0</v>
      </c>
      <c r="J12" s="27"/>
      <c r="K12" s="16"/>
      <c r="L12" s="27"/>
      <c r="M12" s="27"/>
      <c r="N12" s="27"/>
      <c r="O12" s="27"/>
      <c r="P12" s="27"/>
      <c r="Q12" s="27"/>
      <c r="R12" s="27"/>
      <c r="S12" s="27"/>
      <c r="T12" s="43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8"/>
      <c r="AK12" s="55"/>
      <c r="AL12" s="66">
        <f t="shared" si="4"/>
        <v>0</v>
      </c>
      <c r="AM12" s="28" t="str">
        <f t="shared" si="2"/>
        <v>OK</v>
      </c>
    </row>
    <row r="13" spans="1:39" customFormat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135"/>
      <c r="I13" s="21">
        <f t="shared" si="3"/>
        <v>0</v>
      </c>
      <c r="J13" s="21"/>
      <c r="K13" s="16"/>
      <c r="L13" s="21"/>
      <c r="M13" s="21"/>
      <c r="N13" s="21"/>
      <c r="O13" s="21"/>
      <c r="P13" s="21"/>
      <c r="Q13" s="21"/>
      <c r="R13" s="21"/>
      <c r="S13" s="21"/>
      <c r="T13" s="4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4"/>
      <c r="AJ13" s="57"/>
      <c r="AK13" s="54"/>
      <c r="AL13" s="65">
        <f t="shared" si="4"/>
        <v>0</v>
      </c>
      <c r="AM13" s="22" t="str">
        <f t="shared" si="2"/>
        <v>OK</v>
      </c>
    </row>
    <row r="14" spans="1:39" customFormat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36"/>
      <c r="I14" s="27">
        <f t="shared" si="3"/>
        <v>0</v>
      </c>
      <c r="J14" s="27"/>
      <c r="K14" s="16"/>
      <c r="L14" s="27"/>
      <c r="M14" s="27"/>
      <c r="N14" s="27"/>
      <c r="O14" s="27"/>
      <c r="P14" s="27"/>
      <c r="Q14" s="27"/>
      <c r="R14" s="27"/>
      <c r="S14" s="27"/>
      <c r="T14" s="43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5"/>
      <c r="AJ14" s="58"/>
      <c r="AK14" s="55"/>
      <c r="AL14" s="66">
        <f t="shared" si="4"/>
        <v>0</v>
      </c>
      <c r="AM14" s="28" t="str">
        <f t="shared" si="2"/>
        <v>OK</v>
      </c>
    </row>
    <row r="15" spans="1:39" customFormat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135"/>
      <c r="I15" s="21">
        <f t="shared" si="3"/>
        <v>0</v>
      </c>
      <c r="J15" s="21"/>
      <c r="K15" s="16"/>
      <c r="L15" s="21"/>
      <c r="M15" s="21"/>
      <c r="N15" s="21"/>
      <c r="O15" s="21"/>
      <c r="P15" s="21"/>
      <c r="Q15" s="21"/>
      <c r="R15" s="21"/>
      <c r="S15" s="21"/>
      <c r="T15" s="42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4"/>
      <c r="AJ15" s="57"/>
      <c r="AK15" s="54"/>
      <c r="AL15" s="65">
        <f t="shared" si="4"/>
        <v>0</v>
      </c>
      <c r="AM15" s="22" t="str">
        <f t="shared" si="2"/>
        <v>OK</v>
      </c>
    </row>
    <row r="16" spans="1:39" customFormat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36"/>
      <c r="I16" s="27">
        <f t="shared" si="3"/>
        <v>0</v>
      </c>
      <c r="J16" s="27"/>
      <c r="K16" s="16"/>
      <c r="L16" s="27"/>
      <c r="M16" s="27"/>
      <c r="N16" s="27"/>
      <c r="O16" s="27"/>
      <c r="P16" s="27"/>
      <c r="Q16" s="27"/>
      <c r="R16" s="27"/>
      <c r="S16" s="27"/>
      <c r="T16" s="43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8"/>
      <c r="AK16" s="55"/>
      <c r="AL16" s="66">
        <f t="shared" si="4"/>
        <v>0</v>
      </c>
      <c r="AM16" s="28" t="str">
        <f t="shared" si="2"/>
        <v>OK</v>
      </c>
    </row>
    <row r="17" spans="1:39" customFormat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135"/>
      <c r="I17" s="21">
        <f t="shared" si="3"/>
        <v>0</v>
      </c>
      <c r="J17" s="21"/>
      <c r="K17" s="16"/>
      <c r="L17" s="21"/>
      <c r="M17" s="21"/>
      <c r="N17" s="21"/>
      <c r="O17" s="21"/>
      <c r="P17" s="21"/>
      <c r="Q17" s="21"/>
      <c r="R17" s="21"/>
      <c r="S17" s="21"/>
      <c r="T17" s="42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4"/>
      <c r="AJ17" s="57"/>
      <c r="AK17" s="54"/>
      <c r="AL17" s="65">
        <f t="shared" si="4"/>
        <v>0</v>
      </c>
      <c r="AM17" s="22" t="str">
        <f t="shared" si="2"/>
        <v>OK</v>
      </c>
    </row>
    <row r="18" spans="1:39" customFormat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36"/>
      <c r="I18" s="27">
        <f t="shared" si="3"/>
        <v>0</v>
      </c>
      <c r="J18" s="27"/>
      <c r="K18" s="16"/>
      <c r="L18" s="27"/>
      <c r="M18" s="27"/>
      <c r="N18" s="27"/>
      <c r="O18" s="27"/>
      <c r="P18" s="27"/>
      <c r="Q18" s="27"/>
      <c r="R18" s="27"/>
      <c r="S18" s="27"/>
      <c r="T18" s="43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8"/>
      <c r="AK18" s="55"/>
      <c r="AL18" s="66">
        <f t="shared" si="4"/>
        <v>0</v>
      </c>
      <c r="AM18" s="28" t="str">
        <f t="shared" si="2"/>
        <v>OK</v>
      </c>
    </row>
    <row r="19" spans="1:39" customFormat="1">
      <c r="A19" s="17" t="s">
        <v>91</v>
      </c>
      <c r="B19" s="77">
        <v>14988</v>
      </c>
      <c r="C19" s="17" t="s">
        <v>64</v>
      </c>
      <c r="D19" s="69"/>
      <c r="E19" s="18"/>
      <c r="F19" s="18"/>
      <c r="G19" s="19"/>
      <c r="H19" s="135"/>
      <c r="I19" s="21">
        <f t="shared" si="3"/>
        <v>0</v>
      </c>
      <c r="J19" s="21"/>
      <c r="K19" s="16"/>
      <c r="L19" s="21"/>
      <c r="M19" s="21"/>
      <c r="N19" s="21"/>
      <c r="O19" s="21"/>
      <c r="P19" s="21"/>
      <c r="Q19" s="21"/>
      <c r="R19" s="21"/>
      <c r="S19" s="21"/>
      <c r="T19" s="42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4"/>
      <c r="AJ19" s="57"/>
      <c r="AK19" s="54"/>
      <c r="AL19" s="65">
        <f t="shared" si="4"/>
        <v>0</v>
      </c>
      <c r="AM19" s="22" t="str">
        <f t="shared" si="2"/>
        <v>OK</v>
      </c>
    </row>
    <row r="20" spans="1:39" customFormat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136"/>
      <c r="I20" s="27">
        <f t="shared" si="3"/>
        <v>0</v>
      </c>
      <c r="J20" s="27"/>
      <c r="K20" s="16"/>
      <c r="L20" s="27"/>
      <c r="M20" s="27"/>
      <c r="N20" s="27"/>
      <c r="O20" s="27"/>
      <c r="P20" s="27"/>
      <c r="Q20" s="27"/>
      <c r="R20" s="27"/>
      <c r="S20" s="27"/>
      <c r="T20" s="43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8"/>
      <c r="AK20" s="55"/>
      <c r="AL20" s="66">
        <f t="shared" si="4"/>
        <v>0</v>
      </c>
      <c r="AM20" s="28" t="str">
        <f t="shared" si="2"/>
        <v>OK</v>
      </c>
    </row>
    <row r="21" spans="1:39" customFormat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135"/>
      <c r="I21" s="21">
        <f t="shared" si="3"/>
        <v>0</v>
      </c>
      <c r="J21" s="21"/>
      <c r="K21" s="16"/>
      <c r="L21" s="21"/>
      <c r="M21" s="21"/>
      <c r="N21" s="21"/>
      <c r="O21" s="21"/>
      <c r="P21" s="21"/>
      <c r="Q21" s="21"/>
      <c r="R21" s="21"/>
      <c r="S21" s="21"/>
      <c r="T21" s="4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4"/>
      <c r="AJ21" s="57"/>
      <c r="AK21" s="54"/>
      <c r="AL21" s="65">
        <f t="shared" si="4"/>
        <v>0</v>
      </c>
      <c r="AM21" s="22" t="str">
        <f t="shared" si="2"/>
        <v>OK</v>
      </c>
    </row>
    <row r="22" spans="1:39" customFormat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36"/>
      <c r="I22" s="27">
        <f t="shared" si="3"/>
        <v>0</v>
      </c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43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5"/>
      <c r="AJ22" s="58"/>
      <c r="AK22" s="55"/>
      <c r="AL22" s="66">
        <f t="shared" si="4"/>
        <v>0</v>
      </c>
      <c r="AM22" s="28" t="str">
        <f t="shared" si="2"/>
        <v>OK</v>
      </c>
    </row>
    <row r="23" spans="1:39" customFormat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135"/>
      <c r="I23" s="21">
        <f t="shared" si="3"/>
        <v>0</v>
      </c>
      <c r="J23" s="21"/>
      <c r="K23" s="16"/>
      <c r="L23" s="21"/>
      <c r="M23" s="21"/>
      <c r="N23" s="21"/>
      <c r="O23" s="21"/>
      <c r="P23" s="21"/>
      <c r="Q23" s="21"/>
      <c r="R23" s="21"/>
      <c r="S23" s="21"/>
      <c r="T23" s="42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7"/>
      <c r="AK23" s="54"/>
      <c r="AL23" s="65">
        <f>SUM(L23:AK23)</f>
        <v>0</v>
      </c>
      <c r="AM23" s="22" t="str">
        <f t="shared" si="2"/>
        <v>OK</v>
      </c>
    </row>
    <row r="24" spans="1:39" customFormat="1">
      <c r="A24" s="68" t="s">
        <v>44</v>
      </c>
      <c r="B24" s="78">
        <v>10163</v>
      </c>
      <c r="C24" s="23" t="s">
        <v>45</v>
      </c>
      <c r="D24" s="24"/>
      <c r="E24" s="24"/>
      <c r="F24" s="24"/>
      <c r="G24" s="25"/>
      <c r="H24" s="136"/>
      <c r="I24" s="27">
        <f t="shared" si="3"/>
        <v>0</v>
      </c>
      <c r="J24" s="27"/>
      <c r="K24" s="16"/>
      <c r="L24" s="27"/>
      <c r="M24" s="27"/>
      <c r="N24" s="27"/>
      <c r="O24" s="27"/>
      <c r="P24" s="27"/>
      <c r="Q24" s="27"/>
      <c r="R24" s="27"/>
      <c r="S24" s="27"/>
      <c r="T24" s="43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5"/>
      <c r="AJ24" s="58"/>
      <c r="AK24" s="55"/>
      <c r="AL24" s="66">
        <f t="shared" si="4"/>
        <v>0</v>
      </c>
      <c r="AM24" s="28" t="str">
        <f t="shared" si="2"/>
        <v>OK</v>
      </c>
    </row>
    <row r="25" spans="1:39" customFormat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135"/>
      <c r="I25" s="21">
        <f t="shared" si="3"/>
        <v>0</v>
      </c>
      <c r="J25" s="21"/>
      <c r="K25" s="16"/>
      <c r="L25" s="21"/>
      <c r="M25" s="21"/>
      <c r="N25" s="21"/>
      <c r="O25" s="21"/>
      <c r="P25" s="21"/>
      <c r="Q25" s="21"/>
      <c r="R25" s="21"/>
      <c r="S25" s="21"/>
      <c r="T25" s="42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4"/>
      <c r="AJ25" s="57"/>
      <c r="AK25" s="54"/>
      <c r="AL25" s="65">
        <f t="shared" si="4"/>
        <v>0</v>
      </c>
      <c r="AM25" s="22" t="str">
        <f t="shared" si="2"/>
        <v>OK</v>
      </c>
    </row>
    <row r="26" spans="1:39" customFormat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36"/>
      <c r="I26" s="27">
        <f t="shared" si="3"/>
        <v>0</v>
      </c>
      <c r="J26" s="27"/>
      <c r="K26" s="16"/>
      <c r="L26" s="27"/>
      <c r="M26" s="27"/>
      <c r="N26" s="27"/>
      <c r="O26" s="27"/>
      <c r="P26" s="27"/>
      <c r="Q26" s="27"/>
      <c r="R26" s="27"/>
      <c r="S26" s="27"/>
      <c r="T26" s="43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8"/>
      <c r="AK26" s="55"/>
      <c r="AL26" s="66">
        <f t="shared" si="4"/>
        <v>0</v>
      </c>
      <c r="AM26" s="28" t="str">
        <f t="shared" si="2"/>
        <v>OK</v>
      </c>
    </row>
    <row r="27" spans="1:39" customFormat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135"/>
      <c r="I27" s="21">
        <f t="shared" si="3"/>
        <v>0</v>
      </c>
      <c r="J27" s="21"/>
      <c r="K27" s="16"/>
      <c r="L27" s="21"/>
      <c r="M27" s="21"/>
      <c r="N27" s="21"/>
      <c r="O27" s="21"/>
      <c r="P27" s="21"/>
      <c r="Q27" s="21"/>
      <c r="R27" s="21"/>
      <c r="S27" s="21"/>
      <c r="T27" s="4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7"/>
      <c r="AK27" s="54"/>
      <c r="AL27" s="65">
        <f t="shared" si="4"/>
        <v>0</v>
      </c>
      <c r="AM27" s="22" t="str">
        <f t="shared" si="2"/>
        <v>OK</v>
      </c>
    </row>
    <row r="28" spans="1:39" customFormat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136"/>
      <c r="I28" s="27">
        <f t="shared" si="3"/>
        <v>0</v>
      </c>
      <c r="J28" s="27"/>
      <c r="K28" s="16"/>
      <c r="L28" s="27"/>
      <c r="M28" s="27"/>
      <c r="N28" s="27"/>
      <c r="O28" s="27"/>
      <c r="P28" s="27"/>
      <c r="Q28" s="27"/>
      <c r="R28" s="27"/>
      <c r="S28" s="27"/>
      <c r="T28" s="43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5"/>
      <c r="AJ28" s="58"/>
      <c r="AK28" s="55"/>
      <c r="AL28" s="66">
        <f t="shared" si="4"/>
        <v>0</v>
      </c>
      <c r="AM28" s="28" t="str">
        <f t="shared" si="2"/>
        <v>OK</v>
      </c>
    </row>
    <row r="29" spans="1:39" customFormat="1">
      <c r="A29" s="80" t="s">
        <v>71</v>
      </c>
      <c r="B29" s="77">
        <v>10151</v>
      </c>
      <c r="C29" s="17" t="s">
        <v>51</v>
      </c>
      <c r="D29" s="69"/>
      <c r="E29" s="18"/>
      <c r="F29" s="18"/>
      <c r="G29" s="19"/>
      <c r="H29" s="135"/>
      <c r="I29" s="21">
        <f t="shared" si="3"/>
        <v>0</v>
      </c>
      <c r="J29" s="21"/>
      <c r="K29" s="16"/>
      <c r="L29" s="21"/>
      <c r="M29" s="21"/>
      <c r="N29" s="21"/>
      <c r="O29" s="21"/>
      <c r="P29" s="21"/>
      <c r="Q29" s="21"/>
      <c r="R29" s="21"/>
      <c r="S29" s="21"/>
      <c r="T29" s="42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4"/>
      <c r="AJ29" s="57"/>
      <c r="AK29" s="54"/>
      <c r="AL29" s="65">
        <f t="shared" si="4"/>
        <v>0</v>
      </c>
      <c r="AM29" s="22" t="str">
        <f t="shared" si="2"/>
        <v>OK</v>
      </c>
    </row>
    <row r="30" spans="1:39" customFormat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137"/>
      <c r="I30" s="27">
        <f t="shared" si="3"/>
        <v>0</v>
      </c>
      <c r="J30" s="27"/>
      <c r="K30" s="16"/>
      <c r="L30" s="27"/>
      <c r="M30" s="27"/>
      <c r="N30" s="27"/>
      <c r="O30" s="27"/>
      <c r="P30" s="27"/>
      <c r="Q30" s="27"/>
      <c r="R30" s="27"/>
      <c r="S30" s="27"/>
      <c r="T30" s="43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5"/>
      <c r="AJ30" s="58"/>
      <c r="AK30" s="55"/>
      <c r="AL30" s="66">
        <f t="shared" si="4"/>
        <v>0</v>
      </c>
      <c r="AM30" s="28" t="str">
        <f t="shared" si="2"/>
        <v>OK</v>
      </c>
    </row>
    <row r="31" spans="1:39" customFormat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135"/>
      <c r="I31" s="21">
        <f t="shared" si="3"/>
        <v>0</v>
      </c>
      <c r="J31" s="21"/>
      <c r="K31" s="16"/>
      <c r="L31" s="21"/>
      <c r="M31" s="21"/>
      <c r="N31" s="21"/>
      <c r="O31" s="21"/>
      <c r="P31" s="21"/>
      <c r="Q31" s="21"/>
      <c r="R31" s="21"/>
      <c r="S31" s="21"/>
      <c r="T31" s="4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7"/>
      <c r="AK31" s="54"/>
      <c r="AL31" s="65">
        <f t="shared" si="4"/>
        <v>0</v>
      </c>
      <c r="AM31" s="22" t="str">
        <f t="shared" si="2"/>
        <v>OK</v>
      </c>
    </row>
    <row r="32" spans="1:39" customFormat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136"/>
      <c r="I32" s="27">
        <f t="shared" si="3"/>
        <v>0</v>
      </c>
      <c r="J32" s="27"/>
      <c r="K32" s="16"/>
      <c r="L32" s="27"/>
      <c r="M32" s="27"/>
      <c r="N32" s="27"/>
      <c r="O32" s="27"/>
      <c r="P32" s="27"/>
      <c r="Q32" s="27"/>
      <c r="R32" s="27"/>
      <c r="S32" s="27"/>
      <c r="T32" s="43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5"/>
      <c r="AJ32" s="58"/>
      <c r="AK32" s="55"/>
      <c r="AL32" s="66">
        <f t="shared" si="4"/>
        <v>0</v>
      </c>
      <c r="AM32" s="28" t="str">
        <f t="shared" si="2"/>
        <v>OK</v>
      </c>
    </row>
    <row r="33" spans="1:39" customFormat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135"/>
      <c r="I33" s="21">
        <f t="shared" si="3"/>
        <v>0</v>
      </c>
      <c r="J33" s="21"/>
      <c r="K33" s="16"/>
      <c r="L33" s="21"/>
      <c r="M33" s="21"/>
      <c r="N33" s="21"/>
      <c r="O33" s="21"/>
      <c r="P33" s="21"/>
      <c r="Q33" s="21"/>
      <c r="R33" s="21"/>
      <c r="S33" s="21"/>
      <c r="T33" s="42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4"/>
      <c r="AJ33" s="57"/>
      <c r="AK33" s="54"/>
      <c r="AL33" s="65">
        <f t="shared" si="4"/>
        <v>0</v>
      </c>
      <c r="AM33" s="22" t="str">
        <f t="shared" si="2"/>
        <v>OK</v>
      </c>
    </row>
    <row r="34" spans="1:39" customFormat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136"/>
      <c r="I34" s="27">
        <f t="shared" si="3"/>
        <v>0</v>
      </c>
      <c r="J34" s="27"/>
      <c r="K34" s="16"/>
      <c r="L34" s="27"/>
      <c r="M34" s="27"/>
      <c r="N34" s="27"/>
      <c r="O34" s="27"/>
      <c r="P34" s="27"/>
      <c r="Q34" s="27"/>
      <c r="R34" s="27"/>
      <c r="S34" s="27"/>
      <c r="T34" s="43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5"/>
      <c r="AJ34" s="58"/>
      <c r="AK34" s="55"/>
      <c r="AL34" s="66">
        <f t="shared" si="4"/>
        <v>0</v>
      </c>
      <c r="AM34" s="28" t="str">
        <f t="shared" si="2"/>
        <v>OK</v>
      </c>
    </row>
    <row r="35" spans="1:39" customFormat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135"/>
      <c r="I35" s="21">
        <f t="shared" si="3"/>
        <v>0</v>
      </c>
      <c r="J35" s="21"/>
      <c r="K35" s="16"/>
      <c r="L35" s="21"/>
      <c r="M35" s="21"/>
      <c r="N35" s="21"/>
      <c r="O35" s="21"/>
      <c r="P35" s="21"/>
      <c r="Q35" s="21"/>
      <c r="R35" s="21"/>
      <c r="S35" s="21"/>
      <c r="T35" s="42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4"/>
      <c r="AJ35" s="57"/>
      <c r="AK35" s="54"/>
      <c r="AL35" s="65">
        <f t="shared" si="4"/>
        <v>0</v>
      </c>
      <c r="AM35" s="22" t="str">
        <f t="shared" si="2"/>
        <v>OK</v>
      </c>
    </row>
    <row r="36" spans="1:39" customFormat="1">
      <c r="A36" s="68" t="s">
        <v>76</v>
      </c>
      <c r="B36" s="78">
        <v>10135</v>
      </c>
      <c r="C36" s="23" t="s">
        <v>56</v>
      </c>
      <c r="D36" s="24"/>
      <c r="E36" s="24"/>
      <c r="F36" s="24"/>
      <c r="G36" s="25"/>
      <c r="H36" s="136"/>
      <c r="I36" s="27">
        <f t="shared" si="3"/>
        <v>0</v>
      </c>
      <c r="J36" s="27"/>
      <c r="K36" s="16"/>
      <c r="L36" s="27"/>
      <c r="M36" s="27"/>
      <c r="N36" s="27"/>
      <c r="O36" s="27"/>
      <c r="P36" s="27"/>
      <c r="Q36" s="27"/>
      <c r="R36" s="27"/>
      <c r="S36" s="27"/>
      <c r="T36" s="43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5"/>
      <c r="AJ36" s="58"/>
      <c r="AK36" s="55"/>
      <c r="AL36" s="66">
        <f t="shared" si="4"/>
        <v>0</v>
      </c>
      <c r="AM36" s="28" t="str">
        <f t="shared" si="2"/>
        <v>OK</v>
      </c>
    </row>
    <row r="37" spans="1:39" customFormat="1">
      <c r="A37" s="80" t="s">
        <v>77</v>
      </c>
      <c r="B37" s="77">
        <v>10133</v>
      </c>
      <c r="C37" s="17" t="s">
        <v>55</v>
      </c>
      <c r="D37" s="69"/>
      <c r="E37" s="18"/>
      <c r="F37" s="18"/>
      <c r="G37" s="19"/>
      <c r="H37" s="135"/>
      <c r="I37" s="21">
        <f t="shared" si="3"/>
        <v>0</v>
      </c>
      <c r="J37" s="21"/>
      <c r="K37" s="16"/>
      <c r="L37" s="21"/>
      <c r="M37" s="21"/>
      <c r="N37" s="21"/>
      <c r="O37" s="21"/>
      <c r="P37" s="21"/>
      <c r="Q37" s="21"/>
      <c r="R37" s="21"/>
      <c r="S37" s="21"/>
      <c r="T37" s="42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4"/>
      <c r="AJ37" s="57"/>
      <c r="AK37" s="54"/>
      <c r="AL37" s="65">
        <f t="shared" si="4"/>
        <v>0</v>
      </c>
      <c r="AM37" s="22" t="str">
        <f t="shared" si="2"/>
        <v>OK</v>
      </c>
    </row>
    <row r="38" spans="1:39" customFormat="1">
      <c r="A38" s="68" t="s">
        <v>78</v>
      </c>
      <c r="B38" s="78">
        <v>10131</v>
      </c>
      <c r="C38" s="23" t="s">
        <v>56</v>
      </c>
      <c r="D38" s="24"/>
      <c r="E38" s="24"/>
      <c r="F38" s="24"/>
      <c r="G38" s="25"/>
      <c r="H38" s="136"/>
      <c r="I38" s="27">
        <f t="shared" si="3"/>
        <v>0</v>
      </c>
      <c r="J38" s="27"/>
      <c r="K38" s="16"/>
      <c r="L38" s="27"/>
      <c r="M38" s="27"/>
      <c r="N38" s="27"/>
      <c r="O38" s="27"/>
      <c r="P38" s="27"/>
      <c r="Q38" s="27"/>
      <c r="R38" s="27"/>
      <c r="S38" s="27"/>
      <c r="T38" s="43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5"/>
      <c r="AJ38" s="58"/>
      <c r="AK38" s="55"/>
      <c r="AL38" s="66">
        <f t="shared" ref="AL38:AL50" si="5">SUM(L38:AK38)</f>
        <v>0</v>
      </c>
      <c r="AM38" s="28" t="str">
        <f t="shared" si="2"/>
        <v>OK</v>
      </c>
    </row>
    <row r="39" spans="1:39" customFormat="1">
      <c r="A39" s="17" t="s">
        <v>79</v>
      </c>
      <c r="B39" s="77">
        <v>10129</v>
      </c>
      <c r="C39" s="17" t="s">
        <v>57</v>
      </c>
      <c r="D39" s="69"/>
      <c r="E39" s="18"/>
      <c r="F39" s="18"/>
      <c r="G39" s="19"/>
      <c r="H39" s="135"/>
      <c r="I39" s="21">
        <f t="shared" si="3"/>
        <v>0</v>
      </c>
      <c r="J39" s="21"/>
      <c r="K39" s="16"/>
      <c r="L39" s="21"/>
      <c r="M39" s="21"/>
      <c r="N39" s="21"/>
      <c r="O39" s="21"/>
      <c r="P39" s="21"/>
      <c r="Q39" s="21"/>
      <c r="R39" s="21"/>
      <c r="S39" s="21"/>
      <c r="T39" s="42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4"/>
      <c r="AJ39" s="57"/>
      <c r="AK39" s="54"/>
      <c r="AL39" s="65">
        <f t="shared" si="5"/>
        <v>0</v>
      </c>
      <c r="AM39" s="22" t="str">
        <f t="shared" si="2"/>
        <v>OK</v>
      </c>
    </row>
    <row r="40" spans="1:39" customFormat="1">
      <c r="A40" s="68" t="s">
        <v>80</v>
      </c>
      <c r="B40" s="78">
        <v>10127</v>
      </c>
      <c r="C40" s="23" t="s">
        <v>58</v>
      </c>
      <c r="D40" s="24"/>
      <c r="E40" s="24"/>
      <c r="F40" s="24"/>
      <c r="G40" s="25"/>
      <c r="H40" s="136"/>
      <c r="I40" s="27">
        <f t="shared" si="3"/>
        <v>0</v>
      </c>
      <c r="J40" s="27"/>
      <c r="K40" s="16"/>
      <c r="L40" s="27"/>
      <c r="M40" s="27"/>
      <c r="N40" s="27"/>
      <c r="O40" s="27"/>
      <c r="P40" s="27"/>
      <c r="Q40" s="27"/>
      <c r="R40" s="27"/>
      <c r="S40" s="27"/>
      <c r="T40" s="43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5"/>
      <c r="AJ40" s="58"/>
      <c r="AK40" s="55"/>
      <c r="AL40" s="66">
        <f t="shared" si="5"/>
        <v>0</v>
      </c>
      <c r="AM40" s="28" t="str">
        <f t="shared" si="2"/>
        <v>OK</v>
      </c>
    </row>
    <row r="41" spans="1:39" customFormat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135"/>
      <c r="I41" s="21">
        <f t="shared" si="3"/>
        <v>0</v>
      </c>
      <c r="J41" s="21"/>
      <c r="K41" s="16"/>
      <c r="L41" s="21"/>
      <c r="M41" s="21"/>
      <c r="N41" s="21"/>
      <c r="O41" s="21"/>
      <c r="P41" s="21"/>
      <c r="Q41" s="21"/>
      <c r="R41" s="21"/>
      <c r="S41" s="21"/>
      <c r="T41" s="4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4"/>
      <c r="AJ41" s="57"/>
      <c r="AK41" s="54"/>
      <c r="AL41" s="65">
        <f t="shared" si="5"/>
        <v>0</v>
      </c>
      <c r="AM41" s="22" t="str">
        <f t="shared" si="2"/>
        <v>OK</v>
      </c>
    </row>
    <row r="42" spans="1:39" customFormat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136"/>
      <c r="I42" s="27">
        <f t="shared" si="3"/>
        <v>0</v>
      </c>
      <c r="J42" s="27"/>
      <c r="K42" s="16"/>
      <c r="L42" s="27"/>
      <c r="M42" s="27"/>
      <c r="N42" s="27"/>
      <c r="O42" s="27"/>
      <c r="P42" s="27"/>
      <c r="Q42" s="27"/>
      <c r="R42" s="27"/>
      <c r="S42" s="27"/>
      <c r="T42" s="43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5"/>
      <c r="AJ42" s="58"/>
      <c r="AK42" s="55"/>
      <c r="AL42" s="66">
        <f t="shared" si="5"/>
        <v>0</v>
      </c>
      <c r="AM42" s="28" t="str">
        <f t="shared" si="2"/>
        <v>OK</v>
      </c>
    </row>
    <row r="43" spans="1:39" customFormat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135"/>
      <c r="I43" s="21">
        <f t="shared" si="3"/>
        <v>0</v>
      </c>
      <c r="J43" s="21"/>
      <c r="K43" s="16"/>
      <c r="L43" s="21"/>
      <c r="M43" s="21"/>
      <c r="N43" s="21"/>
      <c r="O43" s="21"/>
      <c r="P43" s="21"/>
      <c r="Q43" s="21"/>
      <c r="R43" s="21"/>
      <c r="S43" s="21"/>
      <c r="T43" s="42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4"/>
      <c r="AJ43" s="57"/>
      <c r="AK43" s="54"/>
      <c r="AL43" s="65">
        <f t="shared" si="5"/>
        <v>0</v>
      </c>
      <c r="AM43" s="22" t="str">
        <f t="shared" si="2"/>
        <v>OK</v>
      </c>
    </row>
    <row r="44" spans="1:39" customFormat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136"/>
      <c r="I44" s="27">
        <f t="shared" si="3"/>
        <v>0</v>
      </c>
      <c r="J44" s="27"/>
      <c r="K44" s="16"/>
      <c r="L44" s="27"/>
      <c r="M44" s="27"/>
      <c r="N44" s="27"/>
      <c r="O44" s="27"/>
      <c r="P44" s="27"/>
      <c r="Q44" s="27"/>
      <c r="R44" s="27"/>
      <c r="S44" s="27"/>
      <c r="T44" s="43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5"/>
      <c r="AJ44" s="58"/>
      <c r="AK44" s="55"/>
      <c r="AL44" s="66">
        <f t="shared" si="5"/>
        <v>0</v>
      </c>
      <c r="AM44" s="28" t="str">
        <f t="shared" si="2"/>
        <v>OK</v>
      </c>
    </row>
    <row r="45" spans="1:39" customFormat="1">
      <c r="A45" s="17" t="s">
        <v>107</v>
      </c>
      <c r="B45" s="77">
        <v>13467</v>
      </c>
      <c r="C45" s="17" t="s">
        <v>87</v>
      </c>
      <c r="D45" s="69"/>
      <c r="E45" s="18"/>
      <c r="F45" s="18"/>
      <c r="G45" s="19"/>
      <c r="H45" s="135"/>
      <c r="I45" s="21">
        <f t="shared" si="3"/>
        <v>0</v>
      </c>
      <c r="J45" s="21"/>
      <c r="K45" s="16"/>
      <c r="L45" s="21"/>
      <c r="M45" s="21"/>
      <c r="N45" s="21"/>
      <c r="O45" s="21"/>
      <c r="P45" s="21"/>
      <c r="Q45" s="21"/>
      <c r="R45" s="21"/>
      <c r="S45" s="21"/>
      <c r="T45" s="4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4"/>
      <c r="AJ45" s="57"/>
      <c r="AK45" s="54"/>
      <c r="AL45" s="65">
        <f t="shared" si="5"/>
        <v>0</v>
      </c>
      <c r="AM45" s="22" t="str">
        <f t="shared" si="2"/>
        <v>OK</v>
      </c>
    </row>
    <row r="46" spans="1:39" customFormat="1">
      <c r="A46" s="68" t="s">
        <v>111</v>
      </c>
      <c r="B46" s="78">
        <v>15948</v>
      </c>
      <c r="C46" s="23" t="s">
        <v>87</v>
      </c>
      <c r="D46" s="24"/>
      <c r="E46" s="24"/>
      <c r="F46" s="24"/>
      <c r="G46" s="25"/>
      <c r="H46" s="136"/>
      <c r="I46" s="27">
        <f t="shared" si="3"/>
        <v>0</v>
      </c>
      <c r="J46" s="27"/>
      <c r="K46" s="16"/>
      <c r="L46" s="27"/>
      <c r="M46" s="27"/>
      <c r="N46" s="27"/>
      <c r="O46" s="27"/>
      <c r="P46" s="27"/>
      <c r="Q46" s="27"/>
      <c r="R46" s="27"/>
      <c r="S46" s="27"/>
      <c r="T46" s="43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5"/>
      <c r="AJ46" s="58"/>
      <c r="AK46" s="55"/>
      <c r="AL46" s="66">
        <f t="shared" si="5"/>
        <v>0</v>
      </c>
      <c r="AM46" s="28" t="str">
        <f t="shared" si="2"/>
        <v>OK</v>
      </c>
    </row>
    <row r="47" spans="1:39" customFormat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135"/>
      <c r="I47" s="21">
        <f t="shared" si="3"/>
        <v>0</v>
      </c>
      <c r="J47" s="21"/>
      <c r="K47" s="16"/>
      <c r="L47" s="21"/>
      <c r="M47" s="21"/>
      <c r="N47" s="21"/>
      <c r="O47" s="21"/>
      <c r="P47" s="21"/>
      <c r="Q47" s="21"/>
      <c r="R47" s="21"/>
      <c r="S47" s="21"/>
      <c r="T47" s="42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4"/>
      <c r="AJ47" s="57"/>
      <c r="AK47" s="54"/>
      <c r="AL47" s="65">
        <f t="shared" si="5"/>
        <v>0</v>
      </c>
      <c r="AM47" s="22" t="str">
        <f t="shared" si="2"/>
        <v>OK</v>
      </c>
    </row>
    <row r="48" spans="1:39" customFormat="1">
      <c r="A48" s="68" t="s">
        <v>121</v>
      </c>
      <c r="B48" s="78">
        <v>16598</v>
      </c>
      <c r="C48" s="23" t="s">
        <v>87</v>
      </c>
      <c r="D48" s="24"/>
      <c r="E48" s="24"/>
      <c r="F48" s="24"/>
      <c r="G48" s="25"/>
      <c r="H48" s="136"/>
      <c r="I48" s="27">
        <f t="shared" si="3"/>
        <v>0</v>
      </c>
      <c r="J48" s="27"/>
      <c r="K48" s="16"/>
      <c r="L48" s="27"/>
      <c r="M48" s="27"/>
      <c r="N48" s="27"/>
      <c r="O48" s="27"/>
      <c r="P48" s="27"/>
      <c r="Q48" s="27"/>
      <c r="R48" s="27"/>
      <c r="S48" s="27"/>
      <c r="T48" s="43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5"/>
      <c r="AJ48" s="58"/>
      <c r="AK48" s="55"/>
      <c r="AL48" s="66">
        <f t="shared" si="5"/>
        <v>0</v>
      </c>
      <c r="AM48" s="28" t="str">
        <f t="shared" si="2"/>
        <v>OK</v>
      </c>
    </row>
    <row r="49" spans="1:39" customFormat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135"/>
      <c r="I49" s="21">
        <f t="shared" si="3"/>
        <v>0</v>
      </c>
      <c r="J49" s="21"/>
      <c r="K49" s="16"/>
      <c r="L49" s="21"/>
      <c r="M49" s="21"/>
      <c r="N49" s="21"/>
      <c r="O49" s="21"/>
      <c r="P49" s="21"/>
      <c r="Q49" s="21"/>
      <c r="R49" s="21"/>
      <c r="S49" s="21"/>
      <c r="T49" s="4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4"/>
      <c r="AJ49" s="57"/>
      <c r="AK49" s="54"/>
      <c r="AL49" s="65">
        <f t="shared" si="5"/>
        <v>0</v>
      </c>
      <c r="AM49" s="22" t="str">
        <f t="shared" si="2"/>
        <v>OK</v>
      </c>
    </row>
    <row r="50" spans="1:39" customFormat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136"/>
      <c r="I50" s="27">
        <f t="shared" si="3"/>
        <v>0</v>
      </c>
      <c r="J50" s="27"/>
      <c r="K50" s="16"/>
      <c r="L50" s="27"/>
      <c r="M50" s="27"/>
      <c r="N50" s="27"/>
      <c r="O50" s="27"/>
      <c r="P50" s="27"/>
      <c r="Q50" s="27"/>
      <c r="R50" s="27"/>
      <c r="S50" s="27"/>
      <c r="T50" s="43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8"/>
      <c r="AK50" s="55"/>
      <c r="AL50" s="66">
        <f t="shared" si="5"/>
        <v>0</v>
      </c>
      <c r="AM50" s="28" t="str">
        <f t="shared" si="2"/>
        <v>OK</v>
      </c>
    </row>
    <row r="51" spans="1:39" customFormat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135"/>
      <c r="I51" s="21">
        <f t="shared" si="3"/>
        <v>0</v>
      </c>
      <c r="J51" s="21"/>
      <c r="K51" s="16"/>
      <c r="L51" s="21"/>
      <c r="M51" s="21"/>
      <c r="N51" s="21"/>
      <c r="O51" s="21"/>
      <c r="P51" s="21"/>
      <c r="Q51" s="21"/>
      <c r="R51" s="21"/>
      <c r="S51" s="21"/>
      <c r="T51" s="4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4"/>
      <c r="AJ51" s="57"/>
      <c r="AK51" s="54"/>
      <c r="AL51" s="65">
        <f>SUM(L51:AK51)</f>
        <v>0</v>
      </c>
      <c r="AM51" s="22" t="str">
        <f t="shared" si="2"/>
        <v>OK</v>
      </c>
    </row>
    <row r="52" spans="1:39" customFormat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136"/>
      <c r="I52" s="27">
        <f t="shared" si="3"/>
        <v>0</v>
      </c>
      <c r="J52" s="27"/>
      <c r="K52" s="16"/>
      <c r="L52" s="27"/>
      <c r="M52" s="27"/>
      <c r="N52" s="27"/>
      <c r="O52" s="27"/>
      <c r="P52" s="27"/>
      <c r="Q52" s="27"/>
      <c r="R52" s="27"/>
      <c r="S52" s="27"/>
      <c r="T52" s="43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5"/>
      <c r="AJ52" s="58"/>
      <c r="AK52" s="55"/>
      <c r="AL52" s="66">
        <f t="shared" ref="AL52:AL64" si="6">SUM(L52:AK52)</f>
        <v>0</v>
      </c>
      <c r="AM52" s="28" t="str">
        <f t="shared" si="2"/>
        <v>OK</v>
      </c>
    </row>
    <row r="53" spans="1:39" customFormat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135"/>
      <c r="I53" s="21">
        <f t="shared" si="3"/>
        <v>0</v>
      </c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42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4"/>
      <c r="AJ53" s="57"/>
      <c r="AK53" s="54"/>
      <c r="AL53" s="65">
        <f t="shared" si="6"/>
        <v>0</v>
      </c>
      <c r="AM53" s="22" t="str">
        <f t="shared" si="2"/>
        <v>OK</v>
      </c>
    </row>
    <row r="54" spans="1:39" customFormat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136"/>
      <c r="I54" s="27">
        <f t="shared" si="3"/>
        <v>0</v>
      </c>
      <c r="J54" s="27"/>
      <c r="K54" s="16"/>
      <c r="L54" s="27"/>
      <c r="M54" s="27"/>
      <c r="N54" s="27"/>
      <c r="O54" s="27"/>
      <c r="P54" s="27"/>
      <c r="Q54" s="27"/>
      <c r="R54" s="27"/>
      <c r="S54" s="27"/>
      <c r="T54" s="43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5"/>
      <c r="AJ54" s="58"/>
      <c r="AK54" s="55"/>
      <c r="AL54" s="66">
        <f t="shared" si="6"/>
        <v>0</v>
      </c>
      <c r="AM54" s="28" t="str">
        <f t="shared" si="2"/>
        <v>OK</v>
      </c>
    </row>
    <row r="55" spans="1:39" customFormat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135"/>
      <c r="I55" s="21">
        <f t="shared" si="3"/>
        <v>0</v>
      </c>
      <c r="J55" s="21"/>
      <c r="K55" s="16"/>
      <c r="L55" s="21"/>
      <c r="M55" s="21"/>
      <c r="N55" s="21"/>
      <c r="O55" s="21"/>
      <c r="P55" s="21"/>
      <c r="Q55" s="21"/>
      <c r="R55" s="21"/>
      <c r="S55" s="21"/>
      <c r="T55" s="42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4"/>
      <c r="AJ55" s="57"/>
      <c r="AK55" s="54"/>
      <c r="AL55" s="65">
        <f t="shared" si="6"/>
        <v>0</v>
      </c>
      <c r="AM55" s="22" t="str">
        <f t="shared" si="2"/>
        <v>OK</v>
      </c>
    </row>
    <row r="56" spans="1:39" customFormat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136"/>
      <c r="I56" s="27">
        <f t="shared" si="3"/>
        <v>0</v>
      </c>
      <c r="J56" s="27"/>
      <c r="K56" s="16"/>
      <c r="L56" s="27"/>
      <c r="M56" s="27"/>
      <c r="N56" s="27"/>
      <c r="O56" s="27"/>
      <c r="P56" s="27"/>
      <c r="Q56" s="27"/>
      <c r="R56" s="27"/>
      <c r="S56" s="27"/>
      <c r="T56" s="43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5"/>
      <c r="AJ56" s="58"/>
      <c r="AK56" s="55"/>
      <c r="AL56" s="66">
        <f t="shared" si="6"/>
        <v>0</v>
      </c>
      <c r="AM56" s="28" t="str">
        <f t="shared" si="2"/>
        <v>OK</v>
      </c>
    </row>
    <row r="57" spans="1:39" customFormat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135"/>
      <c r="I57" s="21">
        <f t="shared" si="3"/>
        <v>0</v>
      </c>
      <c r="J57" s="21"/>
      <c r="K57" s="16"/>
      <c r="L57" s="21"/>
      <c r="M57" s="21"/>
      <c r="N57" s="21"/>
      <c r="O57" s="21"/>
      <c r="P57" s="21"/>
      <c r="Q57" s="21"/>
      <c r="R57" s="21"/>
      <c r="S57" s="21"/>
      <c r="T57" s="42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4"/>
      <c r="AJ57" s="57"/>
      <c r="AK57" s="54"/>
      <c r="AL57" s="65">
        <f t="shared" si="6"/>
        <v>0</v>
      </c>
      <c r="AM57" s="22" t="str">
        <f t="shared" si="2"/>
        <v>OK</v>
      </c>
    </row>
    <row r="58" spans="1:39" customFormat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136"/>
      <c r="I58" s="27">
        <f t="shared" si="3"/>
        <v>0</v>
      </c>
      <c r="J58" s="27"/>
      <c r="K58" s="16"/>
      <c r="L58" s="27"/>
      <c r="M58" s="27"/>
      <c r="N58" s="27"/>
      <c r="O58" s="27"/>
      <c r="P58" s="27"/>
      <c r="Q58" s="27"/>
      <c r="R58" s="27"/>
      <c r="S58" s="27"/>
      <c r="T58" s="43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5"/>
      <c r="AJ58" s="58"/>
      <c r="AK58" s="55"/>
      <c r="AL58" s="66">
        <f t="shared" si="6"/>
        <v>0</v>
      </c>
      <c r="AM58" s="28" t="str">
        <f t="shared" si="2"/>
        <v>OK</v>
      </c>
    </row>
    <row r="59" spans="1:39" customFormat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135"/>
      <c r="I59" s="21">
        <f t="shared" si="3"/>
        <v>0</v>
      </c>
      <c r="J59" s="21"/>
      <c r="K59" s="16"/>
      <c r="L59" s="21"/>
      <c r="M59" s="21"/>
      <c r="N59" s="21"/>
      <c r="O59" s="21"/>
      <c r="P59" s="21"/>
      <c r="Q59" s="21"/>
      <c r="R59" s="21"/>
      <c r="S59" s="21"/>
      <c r="T59" s="4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4"/>
      <c r="AJ59" s="57"/>
      <c r="AK59" s="54"/>
      <c r="AL59" s="65">
        <f t="shared" si="6"/>
        <v>0</v>
      </c>
      <c r="AM59" s="22" t="str">
        <f t="shared" si="2"/>
        <v>OK</v>
      </c>
    </row>
    <row r="60" spans="1:39" customFormat="1">
      <c r="A60" s="68" t="s">
        <v>84</v>
      </c>
      <c r="B60" s="78">
        <v>11380</v>
      </c>
      <c r="C60" s="23" t="s">
        <v>60</v>
      </c>
      <c r="D60" s="24"/>
      <c r="E60" s="24"/>
      <c r="F60" s="24"/>
      <c r="G60" s="25"/>
      <c r="H60" s="136"/>
      <c r="I60" s="27">
        <f t="shared" si="3"/>
        <v>0</v>
      </c>
      <c r="J60" s="27"/>
      <c r="K60" s="16"/>
      <c r="L60" s="27"/>
      <c r="M60" s="27"/>
      <c r="N60" s="27"/>
      <c r="O60" s="27"/>
      <c r="P60" s="27"/>
      <c r="Q60" s="27"/>
      <c r="R60" s="27"/>
      <c r="S60" s="27"/>
      <c r="T60" s="43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5"/>
      <c r="AJ60" s="58"/>
      <c r="AK60" s="55"/>
      <c r="AL60" s="66">
        <f t="shared" si="6"/>
        <v>0</v>
      </c>
      <c r="AM60" s="28" t="str">
        <f t="shared" si="2"/>
        <v>OK</v>
      </c>
    </row>
    <row r="61" spans="1:39" customFormat="1">
      <c r="A61" s="80" t="s">
        <v>112</v>
      </c>
      <c r="B61" s="77">
        <v>18518</v>
      </c>
      <c r="C61" s="17" t="s">
        <v>87</v>
      </c>
      <c r="D61" s="69"/>
      <c r="E61" s="18"/>
      <c r="F61" s="18"/>
      <c r="G61" s="19"/>
      <c r="H61" s="135"/>
      <c r="I61" s="21">
        <f t="shared" si="3"/>
        <v>0</v>
      </c>
      <c r="J61" s="21"/>
      <c r="K61" s="16"/>
      <c r="L61" s="21"/>
      <c r="M61" s="21"/>
      <c r="N61" s="21"/>
      <c r="O61" s="21"/>
      <c r="P61" s="21"/>
      <c r="Q61" s="21"/>
      <c r="R61" s="21"/>
      <c r="S61" s="21"/>
      <c r="T61" s="4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4"/>
      <c r="AJ61" s="57"/>
      <c r="AK61" s="54"/>
      <c r="AL61" s="65">
        <f t="shared" si="6"/>
        <v>0</v>
      </c>
      <c r="AM61" s="22" t="str">
        <f t="shared" si="2"/>
        <v>OK</v>
      </c>
    </row>
    <row r="62" spans="1:39" customFormat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136"/>
      <c r="I62" s="27">
        <f t="shared" si="3"/>
        <v>0</v>
      </c>
      <c r="J62" s="27"/>
      <c r="K62" s="16"/>
      <c r="L62" s="27"/>
      <c r="M62" s="27"/>
      <c r="N62" s="27"/>
      <c r="O62" s="27"/>
      <c r="P62" s="27"/>
      <c r="Q62" s="27"/>
      <c r="R62" s="27"/>
      <c r="S62" s="27"/>
      <c r="T62" s="43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5"/>
      <c r="AJ62" s="58"/>
      <c r="AK62" s="55"/>
      <c r="AL62" s="66">
        <f t="shared" si="6"/>
        <v>0</v>
      </c>
      <c r="AM62" s="28" t="str">
        <f t="shared" si="2"/>
        <v>OK</v>
      </c>
    </row>
    <row r="63" spans="1:39" customFormat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135"/>
      <c r="I63" s="21">
        <f t="shared" si="3"/>
        <v>0</v>
      </c>
      <c r="J63" s="21"/>
      <c r="K63" s="16"/>
      <c r="L63" s="21"/>
      <c r="M63" s="21"/>
      <c r="N63" s="21"/>
      <c r="O63" s="21"/>
      <c r="P63" s="21"/>
      <c r="Q63" s="21"/>
      <c r="R63" s="21"/>
      <c r="S63" s="21"/>
      <c r="T63" s="4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4"/>
      <c r="AJ63" s="57"/>
      <c r="AK63" s="54"/>
      <c r="AL63" s="65">
        <f t="shared" si="6"/>
        <v>0</v>
      </c>
      <c r="AM63" s="22" t="str">
        <f t="shared" si="2"/>
        <v>OK</v>
      </c>
    </row>
    <row r="64" spans="1:39" customFormat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136"/>
      <c r="I64" s="27">
        <f t="shared" si="3"/>
        <v>0</v>
      </c>
      <c r="J64" s="27"/>
      <c r="K64" s="16"/>
      <c r="L64" s="27"/>
      <c r="M64" s="27"/>
      <c r="N64" s="27"/>
      <c r="O64" s="27"/>
      <c r="P64" s="27"/>
      <c r="Q64" s="27"/>
      <c r="R64" s="27"/>
      <c r="S64" s="27"/>
      <c r="T64" s="43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5"/>
      <c r="AJ64" s="58"/>
      <c r="AK64" s="55"/>
      <c r="AL64" s="66">
        <f t="shared" si="6"/>
        <v>0</v>
      </c>
      <c r="AM64" s="28" t="str">
        <f t="shared" si="2"/>
        <v>OK</v>
      </c>
    </row>
    <row r="65" spans="1:39" customFormat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135"/>
      <c r="I65" s="21">
        <f t="shared" si="3"/>
        <v>0</v>
      </c>
      <c r="J65" s="21"/>
      <c r="K65" s="16"/>
      <c r="L65" s="21"/>
      <c r="M65" s="21"/>
      <c r="N65" s="21"/>
      <c r="O65" s="21"/>
      <c r="P65" s="21"/>
      <c r="Q65" s="21"/>
      <c r="R65" s="21"/>
      <c r="S65" s="21"/>
      <c r="T65" s="4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4"/>
      <c r="AJ65" s="57"/>
      <c r="AK65" s="54"/>
      <c r="AL65" s="65">
        <f t="shared" si="4"/>
        <v>0</v>
      </c>
      <c r="AM65" s="22" t="str">
        <f t="shared" si="2"/>
        <v>OK</v>
      </c>
    </row>
    <row r="66" spans="1:39" customFormat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136"/>
      <c r="I66" s="27">
        <f t="shared" si="3"/>
        <v>0</v>
      </c>
      <c r="J66" s="27"/>
      <c r="K66" s="16"/>
      <c r="L66" s="27"/>
      <c r="M66" s="27"/>
      <c r="N66" s="27"/>
      <c r="O66" s="27"/>
      <c r="P66" s="27"/>
      <c r="Q66" s="27"/>
      <c r="R66" s="27"/>
      <c r="S66" s="27"/>
      <c r="T66" s="43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5"/>
      <c r="AJ66" s="58"/>
      <c r="AK66" s="55"/>
      <c r="AL66" s="66">
        <f t="shared" si="4"/>
        <v>0</v>
      </c>
      <c r="AM66" s="28" t="str">
        <f t="shared" si="2"/>
        <v>OK</v>
      </c>
    </row>
    <row r="67" spans="1:39" customFormat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135"/>
      <c r="I67" s="21">
        <f t="shared" si="3"/>
        <v>0</v>
      </c>
      <c r="J67" s="21"/>
      <c r="K67" s="16"/>
      <c r="L67" s="21"/>
      <c r="M67" s="21"/>
      <c r="N67" s="21"/>
      <c r="O67" s="21"/>
      <c r="P67" s="21"/>
      <c r="Q67" s="21"/>
      <c r="R67" s="21"/>
      <c r="S67" s="21"/>
      <c r="T67" s="4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4"/>
      <c r="AJ67" s="57"/>
      <c r="AK67" s="54"/>
      <c r="AL67" s="65">
        <f t="shared" si="4"/>
        <v>0</v>
      </c>
      <c r="AM67" s="22" t="str">
        <f t="shared" si="2"/>
        <v>OK</v>
      </c>
    </row>
    <row r="68" spans="1:39" customFormat="1">
      <c r="A68" s="81" t="s">
        <v>132</v>
      </c>
      <c r="B68" s="78">
        <v>20269</v>
      </c>
      <c r="C68" s="23" t="s">
        <v>131</v>
      </c>
      <c r="D68" s="24"/>
      <c r="E68" s="24"/>
      <c r="F68" s="24"/>
      <c r="G68" s="25"/>
      <c r="H68" s="136"/>
      <c r="I68" s="27">
        <f t="shared" si="3"/>
        <v>0</v>
      </c>
      <c r="J68" s="27"/>
      <c r="K68" s="16"/>
      <c r="L68" s="27"/>
      <c r="M68" s="27"/>
      <c r="N68" s="27"/>
      <c r="O68" s="27"/>
      <c r="P68" s="27"/>
      <c r="Q68" s="27"/>
      <c r="R68" s="27"/>
      <c r="S68" s="27"/>
      <c r="T68" s="43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5"/>
      <c r="AJ68" s="58"/>
      <c r="AK68" s="55"/>
      <c r="AL68" s="66">
        <f t="shared" si="4"/>
        <v>0</v>
      </c>
      <c r="AM68" s="28" t="str">
        <f t="shared" si="2"/>
        <v>OK</v>
      </c>
    </row>
    <row r="69" spans="1:39" customFormat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135"/>
      <c r="I69" s="21">
        <f t="shared" si="3"/>
        <v>0</v>
      </c>
      <c r="J69" s="21"/>
      <c r="K69" s="16"/>
      <c r="L69" s="21"/>
      <c r="M69" s="21"/>
      <c r="N69" s="21"/>
      <c r="O69" s="21"/>
      <c r="P69" s="21"/>
      <c r="Q69" s="21"/>
      <c r="R69" s="21"/>
      <c r="S69" s="21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7"/>
      <c r="AK69" s="54"/>
      <c r="AL69" s="65">
        <f t="shared" si="4"/>
        <v>0</v>
      </c>
      <c r="AM69" s="22" t="str">
        <f t="shared" si="2"/>
        <v>OK</v>
      </c>
    </row>
    <row r="70" spans="1:39" customFormat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136"/>
      <c r="I70" s="27">
        <f t="shared" si="3"/>
        <v>0</v>
      </c>
      <c r="J70" s="27"/>
      <c r="K70" s="16"/>
      <c r="L70" s="27"/>
      <c r="M70" s="27"/>
      <c r="N70" s="27"/>
      <c r="O70" s="27"/>
      <c r="P70" s="27"/>
      <c r="Q70" s="27"/>
      <c r="R70" s="27"/>
      <c r="S70" s="27"/>
      <c r="T70" s="43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5"/>
      <c r="AJ70" s="58"/>
      <c r="AK70" s="55"/>
      <c r="AL70" s="66">
        <f t="shared" si="4"/>
        <v>0</v>
      </c>
      <c r="AM70" s="28" t="str">
        <f t="shared" si="2"/>
        <v>OK</v>
      </c>
    </row>
    <row r="71" spans="1:39" customFormat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135"/>
      <c r="I71" s="21">
        <f t="shared" ref="I71:I96" si="7">SUM(L71:AK71)</f>
        <v>0</v>
      </c>
      <c r="J71" s="21"/>
      <c r="K71" s="16"/>
      <c r="L71" s="21"/>
      <c r="M71" s="21"/>
      <c r="N71" s="21"/>
      <c r="O71" s="21"/>
      <c r="P71" s="21"/>
      <c r="Q71" s="21"/>
      <c r="R71" s="21"/>
      <c r="S71" s="21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4"/>
      <c r="AJ71" s="57"/>
      <c r="AK71" s="54"/>
      <c r="AL71" s="65">
        <f t="shared" si="4"/>
        <v>0</v>
      </c>
      <c r="AM71" s="22" t="str">
        <f t="shared" si="2"/>
        <v>OK</v>
      </c>
    </row>
    <row r="72" spans="1:39" customFormat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136"/>
      <c r="I72" s="27">
        <f t="shared" si="7"/>
        <v>0</v>
      </c>
      <c r="J72" s="27"/>
      <c r="K72" s="16"/>
      <c r="L72" s="27"/>
      <c r="M72" s="27"/>
      <c r="N72" s="27"/>
      <c r="O72" s="27"/>
      <c r="P72" s="27"/>
      <c r="Q72" s="27"/>
      <c r="R72" s="27"/>
      <c r="S72" s="27"/>
      <c r="T72" s="43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5"/>
      <c r="AJ72" s="58"/>
      <c r="AK72" s="55"/>
      <c r="AL72" s="66">
        <f t="shared" si="4"/>
        <v>0</v>
      </c>
      <c r="AM72" s="28" t="str">
        <f t="shared" si="2"/>
        <v>OK</v>
      </c>
    </row>
    <row r="73" spans="1:39" customFormat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138"/>
      <c r="I73" s="101">
        <f t="shared" si="7"/>
        <v>0</v>
      </c>
      <c r="J73" s="21"/>
      <c r="K73" s="16"/>
      <c r="L73" s="21"/>
      <c r="M73" s="21"/>
      <c r="N73" s="21"/>
      <c r="O73" s="21"/>
      <c r="P73" s="21"/>
      <c r="Q73" s="21"/>
      <c r="R73" s="21"/>
      <c r="S73" s="21"/>
      <c r="T73" s="42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4"/>
      <c r="AJ73" s="57"/>
      <c r="AK73" s="54"/>
      <c r="AL73" s="65">
        <f t="shared" si="4"/>
        <v>0</v>
      </c>
      <c r="AM73" s="22" t="str">
        <f t="shared" si="2"/>
        <v>OK</v>
      </c>
    </row>
    <row r="74" spans="1:39" customFormat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139"/>
      <c r="I74" s="103">
        <f t="shared" si="7"/>
        <v>0</v>
      </c>
      <c r="J74" s="27"/>
      <c r="K74" s="16"/>
      <c r="L74" s="100"/>
      <c r="M74" s="100"/>
      <c r="N74" s="100"/>
      <c r="O74" s="100"/>
      <c r="P74" s="100"/>
      <c r="Q74" s="100"/>
      <c r="R74" s="100"/>
      <c r="S74" s="100"/>
      <c r="T74" s="109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1"/>
      <c r="AJ74" s="112"/>
      <c r="AK74" s="111"/>
      <c r="AL74" s="66">
        <f t="shared" si="4"/>
        <v>0</v>
      </c>
      <c r="AM74" s="28" t="str">
        <f t="shared" si="2"/>
        <v>OK</v>
      </c>
    </row>
    <row r="75" spans="1:39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40"/>
      <c r="I75" s="105">
        <f t="shared" si="7"/>
        <v>0</v>
      </c>
      <c r="J75" s="90"/>
      <c r="K75" s="91"/>
      <c r="L75" s="113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5"/>
      <c r="AL75" s="92">
        <f t="shared" ref="AL75:AL80" si="8">SUM(L75:AK75)</f>
        <v>0</v>
      </c>
      <c r="AM75" s="122" t="str">
        <f t="shared" ref="AM75:AM96" si="9">IF(AL75=I75,"OK","NG")</f>
        <v>OK</v>
      </c>
    </row>
    <row r="76" spans="1:39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139"/>
      <c r="I76" s="106">
        <f t="shared" si="7"/>
        <v>0</v>
      </c>
      <c r="J76" s="85"/>
      <c r="K76" s="16"/>
      <c r="L76" s="1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8"/>
      <c r="AL76" s="66">
        <f t="shared" si="8"/>
        <v>0</v>
      </c>
      <c r="AM76" s="28" t="str">
        <f t="shared" si="9"/>
        <v>OK</v>
      </c>
    </row>
    <row r="77" spans="1:39">
      <c r="A77" s="87" t="s">
        <v>165</v>
      </c>
      <c r="B77" s="93">
        <v>13007</v>
      </c>
      <c r="C77" s="94" t="s">
        <v>164</v>
      </c>
      <c r="D77" s="88"/>
      <c r="E77" s="88"/>
      <c r="F77" s="88"/>
      <c r="G77" s="89"/>
      <c r="H77" s="104"/>
      <c r="I77" s="105">
        <f t="shared" si="7"/>
        <v>0</v>
      </c>
      <c r="J77" s="90"/>
      <c r="K77" s="91"/>
      <c r="L77" s="113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5"/>
      <c r="AL77" s="92">
        <f t="shared" si="8"/>
        <v>0</v>
      </c>
      <c r="AM77" s="122" t="str">
        <f t="shared" si="9"/>
        <v>OK</v>
      </c>
    </row>
    <row r="78" spans="1:39">
      <c r="A78" s="68"/>
      <c r="B78" s="78"/>
      <c r="C78" s="95"/>
      <c r="D78" s="83"/>
      <c r="E78" s="83"/>
      <c r="F78" s="83"/>
      <c r="G78" s="84"/>
      <c r="H78" s="102"/>
      <c r="I78" s="106">
        <f t="shared" si="7"/>
        <v>0</v>
      </c>
      <c r="J78" s="85"/>
      <c r="K78" s="16"/>
      <c r="L78" s="1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66">
        <f t="shared" si="8"/>
        <v>0</v>
      </c>
      <c r="AM78" s="28" t="str">
        <f t="shared" si="9"/>
        <v>OK</v>
      </c>
    </row>
    <row r="79" spans="1:39">
      <c r="A79" s="87"/>
      <c r="B79" s="93"/>
      <c r="C79" s="94"/>
      <c r="D79" s="88"/>
      <c r="E79" s="88"/>
      <c r="F79" s="88"/>
      <c r="G79" s="89"/>
      <c r="H79" s="104"/>
      <c r="I79" s="105">
        <f t="shared" si="7"/>
        <v>0</v>
      </c>
      <c r="J79" s="90"/>
      <c r="K79" s="91"/>
      <c r="L79" s="113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5"/>
      <c r="AL79" s="92">
        <f t="shared" si="8"/>
        <v>0</v>
      </c>
      <c r="AM79" s="122" t="str">
        <f t="shared" si="9"/>
        <v>OK</v>
      </c>
    </row>
    <row r="80" spans="1:39">
      <c r="A80" s="68"/>
      <c r="B80" s="78"/>
      <c r="C80" s="95"/>
      <c r="D80" s="83"/>
      <c r="E80" s="83"/>
      <c r="F80" s="83"/>
      <c r="G80" s="84"/>
      <c r="H80" s="102"/>
      <c r="I80" s="106">
        <f t="shared" si="7"/>
        <v>0</v>
      </c>
      <c r="J80" s="85"/>
      <c r="K80" s="16"/>
      <c r="L80" s="116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66">
        <f t="shared" si="8"/>
        <v>0</v>
      </c>
      <c r="AM80" s="28" t="str">
        <f t="shared" si="9"/>
        <v>OK</v>
      </c>
    </row>
    <row r="81" spans="1:39">
      <c r="A81" s="87"/>
      <c r="B81" s="93"/>
      <c r="C81" s="94"/>
      <c r="D81" s="88"/>
      <c r="E81" s="88"/>
      <c r="F81" s="88"/>
      <c r="G81" s="89"/>
      <c r="H81" s="104"/>
      <c r="I81" s="105">
        <f t="shared" si="7"/>
        <v>0</v>
      </c>
      <c r="J81" s="90"/>
      <c r="K81" s="91"/>
      <c r="L81" s="113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5"/>
      <c r="AL81" s="92">
        <f t="shared" ref="AL81:AL96" si="10">SUM(L81:AK81)</f>
        <v>0</v>
      </c>
      <c r="AM81" s="122" t="str">
        <f t="shared" si="9"/>
        <v>OK</v>
      </c>
    </row>
    <row r="82" spans="1:39">
      <c r="A82" s="68"/>
      <c r="B82" s="78"/>
      <c r="C82" s="95"/>
      <c r="D82" s="83"/>
      <c r="E82" s="83"/>
      <c r="F82" s="83"/>
      <c r="G82" s="84"/>
      <c r="H82" s="102"/>
      <c r="I82" s="106">
        <f t="shared" si="7"/>
        <v>0</v>
      </c>
      <c r="J82" s="85"/>
      <c r="K82" s="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66">
        <f t="shared" si="10"/>
        <v>0</v>
      </c>
      <c r="AM82" s="28" t="str">
        <f t="shared" si="9"/>
        <v>OK</v>
      </c>
    </row>
    <row r="83" spans="1:39">
      <c r="A83" s="96"/>
      <c r="B83" s="93"/>
      <c r="C83" s="94"/>
      <c r="D83" s="88"/>
      <c r="E83" s="88"/>
      <c r="F83" s="88"/>
      <c r="G83" s="89"/>
      <c r="H83" s="104"/>
      <c r="I83" s="105">
        <f t="shared" si="7"/>
        <v>0</v>
      </c>
      <c r="J83" s="90"/>
      <c r="K83" s="91"/>
      <c r="L83" s="113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5"/>
      <c r="AL83" s="92">
        <f t="shared" si="10"/>
        <v>0</v>
      </c>
      <c r="AM83" s="122" t="str">
        <f t="shared" si="9"/>
        <v>OK</v>
      </c>
    </row>
    <row r="84" spans="1:39">
      <c r="A84" s="68"/>
      <c r="B84" s="78"/>
      <c r="C84" s="95"/>
      <c r="D84" s="83"/>
      <c r="E84" s="83"/>
      <c r="F84" s="83"/>
      <c r="G84" s="84"/>
      <c r="H84" s="102"/>
      <c r="I84" s="106">
        <f t="shared" si="7"/>
        <v>0</v>
      </c>
      <c r="J84" s="85"/>
      <c r="K84" s="16"/>
      <c r="L84" s="116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66">
        <f t="shared" si="10"/>
        <v>0</v>
      </c>
      <c r="AM84" s="28" t="str">
        <f t="shared" si="9"/>
        <v>OK</v>
      </c>
    </row>
    <row r="85" spans="1:39">
      <c r="A85" s="87"/>
      <c r="B85" s="93"/>
      <c r="C85" s="94"/>
      <c r="D85" s="88"/>
      <c r="E85" s="88"/>
      <c r="F85" s="88"/>
      <c r="G85" s="89"/>
      <c r="H85" s="104"/>
      <c r="I85" s="105">
        <f t="shared" si="7"/>
        <v>0</v>
      </c>
      <c r="J85" s="90"/>
      <c r="K85" s="91"/>
      <c r="L85" s="113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5"/>
      <c r="AL85" s="92">
        <f t="shared" si="10"/>
        <v>0</v>
      </c>
      <c r="AM85" s="122" t="str">
        <f t="shared" si="9"/>
        <v>OK</v>
      </c>
    </row>
    <row r="86" spans="1:39">
      <c r="A86" s="68"/>
      <c r="B86" s="78"/>
      <c r="C86" s="95"/>
      <c r="D86" s="83"/>
      <c r="E86" s="83"/>
      <c r="F86" s="83"/>
      <c r="G86" s="84"/>
      <c r="H86" s="102"/>
      <c r="I86" s="106">
        <f t="shared" si="7"/>
        <v>0</v>
      </c>
      <c r="J86" s="85"/>
      <c r="K86" s="16"/>
      <c r="L86" s="116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66">
        <f t="shared" si="10"/>
        <v>0</v>
      </c>
      <c r="AM86" s="28" t="str">
        <f t="shared" si="9"/>
        <v>OK</v>
      </c>
    </row>
    <row r="87" spans="1:39">
      <c r="A87" s="87"/>
      <c r="B87" s="93"/>
      <c r="C87" s="94"/>
      <c r="D87" s="88"/>
      <c r="E87" s="88"/>
      <c r="F87" s="88"/>
      <c r="G87" s="89"/>
      <c r="H87" s="104"/>
      <c r="I87" s="105">
        <f t="shared" si="7"/>
        <v>0</v>
      </c>
      <c r="J87" s="90"/>
      <c r="K87" s="91"/>
      <c r="L87" s="113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5"/>
      <c r="AL87" s="92">
        <f t="shared" si="10"/>
        <v>0</v>
      </c>
      <c r="AM87" s="122" t="str">
        <f t="shared" si="9"/>
        <v>OK</v>
      </c>
    </row>
    <row r="88" spans="1:39">
      <c r="A88" s="68"/>
      <c r="B88" s="78"/>
      <c r="C88" s="95"/>
      <c r="D88" s="83"/>
      <c r="E88" s="83"/>
      <c r="F88" s="83"/>
      <c r="G88" s="84"/>
      <c r="H88" s="102"/>
      <c r="I88" s="106">
        <f t="shared" si="7"/>
        <v>0</v>
      </c>
      <c r="J88" s="85"/>
      <c r="K88" s="16"/>
      <c r="L88" s="116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66">
        <f t="shared" si="10"/>
        <v>0</v>
      </c>
      <c r="AM88" s="28" t="str">
        <f t="shared" si="9"/>
        <v>OK</v>
      </c>
    </row>
    <row r="89" spans="1:39">
      <c r="A89" s="87"/>
      <c r="B89" s="93"/>
      <c r="C89" s="94"/>
      <c r="D89" s="88"/>
      <c r="E89" s="88"/>
      <c r="F89" s="88"/>
      <c r="G89" s="89"/>
      <c r="H89" s="104"/>
      <c r="I89" s="105">
        <f t="shared" si="7"/>
        <v>0</v>
      </c>
      <c r="J89" s="90"/>
      <c r="K89" s="91"/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5"/>
      <c r="AL89" s="92">
        <f t="shared" si="10"/>
        <v>0</v>
      </c>
      <c r="AM89" s="122" t="str">
        <f t="shared" si="9"/>
        <v>OK</v>
      </c>
    </row>
    <row r="90" spans="1:39">
      <c r="A90" s="68"/>
      <c r="B90" s="78"/>
      <c r="C90" s="95"/>
      <c r="D90" s="83"/>
      <c r="E90" s="83"/>
      <c r="F90" s="83"/>
      <c r="G90" s="84"/>
      <c r="H90" s="102"/>
      <c r="I90" s="106">
        <f t="shared" si="7"/>
        <v>0</v>
      </c>
      <c r="J90" s="85"/>
      <c r="K90" s="16"/>
      <c r="L90" s="116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66">
        <f t="shared" si="10"/>
        <v>0</v>
      </c>
      <c r="AM90" s="28" t="str">
        <f t="shared" si="9"/>
        <v>OK</v>
      </c>
    </row>
    <row r="91" spans="1:39">
      <c r="A91" s="87"/>
      <c r="B91" s="93"/>
      <c r="C91" s="94"/>
      <c r="D91" s="88"/>
      <c r="E91" s="88"/>
      <c r="F91" s="88"/>
      <c r="G91" s="89"/>
      <c r="H91" s="104"/>
      <c r="I91" s="105">
        <f t="shared" si="7"/>
        <v>0</v>
      </c>
      <c r="J91" s="90"/>
      <c r="K91" s="91"/>
      <c r="L91" s="113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5"/>
      <c r="AL91" s="92">
        <f t="shared" si="10"/>
        <v>0</v>
      </c>
      <c r="AM91" s="122" t="str">
        <f t="shared" si="9"/>
        <v>OK</v>
      </c>
    </row>
    <row r="92" spans="1:39">
      <c r="A92" s="68"/>
      <c r="B92" s="78"/>
      <c r="C92" s="95"/>
      <c r="D92" s="83"/>
      <c r="E92" s="83"/>
      <c r="F92" s="83"/>
      <c r="G92" s="84"/>
      <c r="H92" s="102"/>
      <c r="I92" s="106">
        <f t="shared" si="7"/>
        <v>0</v>
      </c>
      <c r="J92" s="85"/>
      <c r="K92" s="16"/>
      <c r="L92" s="116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66">
        <f t="shared" si="10"/>
        <v>0</v>
      </c>
      <c r="AM92" s="28" t="str">
        <f t="shared" si="9"/>
        <v>OK</v>
      </c>
    </row>
    <row r="93" spans="1:39">
      <c r="A93" s="87"/>
      <c r="B93" s="93"/>
      <c r="C93" s="94"/>
      <c r="D93" s="88"/>
      <c r="E93" s="88"/>
      <c r="F93" s="88"/>
      <c r="G93" s="89"/>
      <c r="H93" s="104"/>
      <c r="I93" s="105">
        <f t="shared" si="7"/>
        <v>0</v>
      </c>
      <c r="J93" s="90"/>
      <c r="K93" s="91"/>
      <c r="L93" s="113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5"/>
      <c r="AL93" s="92">
        <f t="shared" si="10"/>
        <v>0</v>
      </c>
      <c r="AM93" s="122" t="str">
        <f t="shared" si="9"/>
        <v>OK</v>
      </c>
    </row>
    <row r="94" spans="1:39">
      <c r="A94" s="68"/>
      <c r="B94" s="78"/>
      <c r="C94" s="95"/>
      <c r="D94" s="83"/>
      <c r="E94" s="83"/>
      <c r="F94" s="83"/>
      <c r="G94" s="84"/>
      <c r="H94" s="102"/>
      <c r="I94" s="106">
        <f t="shared" si="7"/>
        <v>0</v>
      </c>
      <c r="J94" s="85"/>
      <c r="K94" s="16"/>
      <c r="L94" s="116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66">
        <f t="shared" si="10"/>
        <v>0</v>
      </c>
      <c r="AM94" s="28" t="str">
        <f t="shared" si="9"/>
        <v>OK</v>
      </c>
    </row>
    <row r="95" spans="1:39">
      <c r="A95" s="87"/>
      <c r="B95" s="93"/>
      <c r="C95" s="94"/>
      <c r="D95" s="88"/>
      <c r="E95" s="88"/>
      <c r="F95" s="88"/>
      <c r="G95" s="89"/>
      <c r="H95" s="104"/>
      <c r="I95" s="105">
        <f t="shared" si="7"/>
        <v>0</v>
      </c>
      <c r="J95" s="90"/>
      <c r="K95" s="91"/>
      <c r="L95" s="113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5"/>
      <c r="AL95" s="92">
        <f t="shared" si="10"/>
        <v>0</v>
      </c>
      <c r="AM95" s="122" t="str">
        <f t="shared" si="9"/>
        <v>OK</v>
      </c>
    </row>
    <row r="96" spans="1:39" ht="17.25" thickBot="1">
      <c r="A96" s="97"/>
      <c r="B96" s="98"/>
      <c r="C96" s="99"/>
      <c r="D96" s="83"/>
      <c r="E96" s="83"/>
      <c r="F96" s="83"/>
      <c r="G96" s="84"/>
      <c r="H96" s="107"/>
      <c r="I96" s="108">
        <f t="shared" si="7"/>
        <v>0</v>
      </c>
      <c r="J96" s="85"/>
      <c r="K96" s="16"/>
      <c r="L96" s="119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1"/>
      <c r="AL96" s="66">
        <f t="shared" si="10"/>
        <v>0</v>
      </c>
      <c r="AM96" s="28" t="str">
        <f t="shared" si="9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0</v>
      </c>
      <c r="I97" s="46">
        <f>SUM(I6:I96)</f>
        <v>0</v>
      </c>
      <c r="J97" s="47">
        <f>SUM(J6:J74)</f>
        <v>0</v>
      </c>
      <c r="K97" s="9"/>
      <c r="L97" s="45">
        <f>SUM(L6:L96)</f>
        <v>0</v>
      </c>
      <c r="M97" s="45">
        <f t="shared" ref="M97:AI97" si="11">SUM(M6:M96)</f>
        <v>0</v>
      </c>
      <c r="N97" s="45">
        <f t="shared" si="11"/>
        <v>0</v>
      </c>
      <c r="O97" s="45">
        <f t="shared" si="11"/>
        <v>0</v>
      </c>
      <c r="P97" s="45">
        <f t="shared" si="11"/>
        <v>0</v>
      </c>
      <c r="Q97" s="45">
        <f t="shared" si="11"/>
        <v>0</v>
      </c>
      <c r="R97" s="45">
        <f t="shared" si="11"/>
        <v>0</v>
      </c>
      <c r="S97" s="45">
        <f t="shared" si="11"/>
        <v>0</v>
      </c>
      <c r="T97" s="45">
        <f t="shared" si="11"/>
        <v>0</v>
      </c>
      <c r="U97" s="45">
        <f t="shared" si="11"/>
        <v>0</v>
      </c>
      <c r="V97" s="45">
        <f t="shared" si="11"/>
        <v>0</v>
      </c>
      <c r="W97" s="45">
        <f t="shared" si="11"/>
        <v>0</v>
      </c>
      <c r="X97" s="45">
        <f t="shared" si="11"/>
        <v>0</v>
      </c>
      <c r="Y97" s="45">
        <f t="shared" si="11"/>
        <v>0</v>
      </c>
      <c r="Z97" s="45">
        <f t="shared" si="11"/>
        <v>0</v>
      </c>
      <c r="AA97" s="45">
        <f t="shared" si="11"/>
        <v>0</v>
      </c>
      <c r="AB97" s="45">
        <f t="shared" si="11"/>
        <v>0</v>
      </c>
      <c r="AC97" s="45">
        <f t="shared" si="11"/>
        <v>0</v>
      </c>
      <c r="AD97" s="45">
        <f t="shared" si="11"/>
        <v>0</v>
      </c>
      <c r="AE97" s="45">
        <f t="shared" si="11"/>
        <v>0</v>
      </c>
      <c r="AF97" s="45">
        <f t="shared" si="11"/>
        <v>0</v>
      </c>
      <c r="AG97" s="45">
        <f t="shared" si="11"/>
        <v>0</v>
      </c>
      <c r="AH97" s="45">
        <f t="shared" si="11"/>
        <v>0</v>
      </c>
      <c r="AI97" s="45">
        <f t="shared" si="11"/>
        <v>0</v>
      </c>
      <c r="AJ97" s="49">
        <f>SUM(AJ6:AJ96)</f>
        <v>0</v>
      </c>
      <c r="AK97" s="61">
        <f>SUM(AK6:AK96)</f>
        <v>0</v>
      </c>
      <c r="AL97" s="67">
        <f>SUM(AL6:AL96)</f>
        <v>0</v>
      </c>
      <c r="AM97" s="48" t="str">
        <f>IF(AL97=SUM(I97),"OK","NG")</f>
        <v>OK</v>
      </c>
    </row>
    <row r="100" spans="1:39">
      <c r="H100" s="86"/>
      <c r="M100" s="86"/>
    </row>
  </sheetData>
  <mergeCells count="37">
    <mergeCell ref="AM4:AM5"/>
    <mergeCell ref="AG4:AG5"/>
    <mergeCell ref="AH4:AH5"/>
    <mergeCell ref="AI4:AI5"/>
    <mergeCell ref="AJ4:AJ5"/>
    <mergeCell ref="AK4:AK5"/>
    <mergeCell ref="AL4:AL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B1:C1"/>
    <mergeCell ref="F1:G1"/>
    <mergeCell ref="H1:J3"/>
    <mergeCell ref="B2:C2"/>
    <mergeCell ref="AM2:AM3"/>
    <mergeCell ref="B3:C3"/>
  </mergeCells>
  <phoneticPr fontId="3" type="noConversion"/>
  <conditionalFormatting sqref="A4 AM6:AM97">
    <cfRule type="containsText" dxfId="55" priority="7" operator="containsText" text="NG">
      <formula>NOT(ISERROR(SEARCH("NG",A4)))</formula>
    </cfRule>
    <cfRule type="containsText" dxfId="54" priority="8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51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 filterMode="1">
    <pageSetUpPr fitToPage="1"/>
  </sheetPr>
  <dimension ref="A1:AM101"/>
  <sheetViews>
    <sheetView showGridLines="0" zoomScale="85" zoomScaleNormal="85" workbookViewId="0">
      <pane ySplit="5" topLeftCell="A24" activePane="bottomLeft" state="frozen"/>
      <selection activeCell="P19" sqref="P19"/>
      <selection pane="bottomLeft" activeCell="O97" sqref="O97"/>
    </sheetView>
  </sheetViews>
  <sheetFormatPr defaultColWidth="9" defaultRowHeight="16.5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16" width="8.75"/>
    <col min="17" max="20" width="9" customWidth="1"/>
    <col min="21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5" customHeight="1" thickBot="1">
      <c r="A1" s="37" t="s">
        <v>13</v>
      </c>
      <c r="B1" s="168">
        <f>H97</f>
        <v>29919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5" customHeight="1" thickBot="1">
      <c r="A2" s="37" t="s">
        <v>14</v>
      </c>
      <c r="B2" s="173">
        <f>I97</f>
        <v>4</v>
      </c>
      <c r="C2" s="174"/>
      <c r="D2" s="75"/>
      <c r="E2" s="71"/>
      <c r="F2" s="2"/>
      <c r="G2" s="2"/>
      <c r="H2" s="171"/>
      <c r="I2" s="171"/>
      <c r="J2" s="171"/>
      <c r="K2" s="3"/>
      <c r="L2" s="4">
        <f t="shared" ref="L2:AK2" si="0">SUBTOTAL(9,L6:L96)</f>
        <v>1</v>
      </c>
      <c r="M2" s="4">
        <f t="shared" si="0"/>
        <v>0</v>
      </c>
      <c r="N2" s="4">
        <f t="shared" si="0"/>
        <v>0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39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0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0</v>
      </c>
      <c r="AH2" s="5">
        <f t="shared" si="0"/>
        <v>0</v>
      </c>
      <c r="AI2" s="5">
        <f t="shared" si="0"/>
        <v>3</v>
      </c>
      <c r="AJ2" s="5">
        <f t="shared" si="0"/>
        <v>0</v>
      </c>
      <c r="AK2" s="59">
        <f t="shared" si="0"/>
        <v>0</v>
      </c>
      <c r="AL2" s="62">
        <f>SUBTOTAL(9,AL6:AL96)</f>
        <v>4</v>
      </c>
      <c r="AM2" s="175"/>
    </row>
    <row r="3" spans="1:39" customFormat="1" ht="22.5" customHeight="1" thickBot="1">
      <c r="A3" s="38" t="s">
        <v>15</v>
      </c>
      <c r="B3" s="177">
        <f>IF(ISERROR(B2/(B2+B1)*1000000),"",(B2/(B2+B1)*1000000))</f>
        <v>133.67643618621128</v>
      </c>
      <c r="C3" s="178"/>
      <c r="D3" s="73"/>
      <c r="E3" s="72"/>
      <c r="F3" s="32"/>
      <c r="G3" s="32"/>
      <c r="H3" s="172"/>
      <c r="I3" s="172"/>
      <c r="J3" s="172"/>
      <c r="K3" s="6"/>
      <c r="L3" s="7">
        <f t="shared" ref="L3:AK3" si="1">SUM(L6:L96)</f>
        <v>1</v>
      </c>
      <c r="M3" s="7">
        <f t="shared" si="1"/>
        <v>0</v>
      </c>
      <c r="N3" s="7">
        <f t="shared" si="1"/>
        <v>0</v>
      </c>
      <c r="O3" s="7">
        <f t="shared" si="1"/>
        <v>0</v>
      </c>
      <c r="P3" s="7">
        <f t="shared" si="1"/>
        <v>0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40">
        <f t="shared" si="1"/>
        <v>0</v>
      </c>
      <c r="U3" s="8">
        <f t="shared" si="1"/>
        <v>0</v>
      </c>
      <c r="V3" s="8">
        <f t="shared" si="1"/>
        <v>0</v>
      </c>
      <c r="W3" s="8">
        <f t="shared" si="1"/>
        <v>0</v>
      </c>
      <c r="X3" s="8">
        <f t="shared" si="1"/>
        <v>0</v>
      </c>
      <c r="Y3" s="8">
        <f t="shared" si="1"/>
        <v>0</v>
      </c>
      <c r="Z3" s="8">
        <f t="shared" si="1"/>
        <v>0</v>
      </c>
      <c r="AA3" s="8">
        <f t="shared" si="1"/>
        <v>0</v>
      </c>
      <c r="AB3" s="8">
        <f t="shared" si="1"/>
        <v>0</v>
      </c>
      <c r="AC3" s="8">
        <f t="shared" si="1"/>
        <v>0</v>
      </c>
      <c r="AD3" s="8">
        <f t="shared" si="1"/>
        <v>0</v>
      </c>
      <c r="AE3" s="8">
        <f t="shared" si="1"/>
        <v>0</v>
      </c>
      <c r="AF3" s="8">
        <f t="shared" si="1"/>
        <v>0</v>
      </c>
      <c r="AG3" s="8">
        <f t="shared" si="1"/>
        <v>0</v>
      </c>
      <c r="AH3" s="8">
        <f t="shared" si="1"/>
        <v>0</v>
      </c>
      <c r="AI3" s="8">
        <f t="shared" si="1"/>
        <v>3</v>
      </c>
      <c r="AJ3" s="8">
        <f t="shared" si="1"/>
        <v>0</v>
      </c>
      <c r="AK3" s="60">
        <f t="shared" si="1"/>
        <v>0</v>
      </c>
      <c r="AL3" s="63">
        <f>SUM(AL6:AL96)</f>
        <v>4</v>
      </c>
      <c r="AM3" s="176"/>
    </row>
    <row r="4" spans="1:39" customFormat="1" ht="43.5" customHeight="1">
      <c r="A4" s="163" t="str">
        <f>AM97</f>
        <v>OK</v>
      </c>
      <c r="B4" s="163"/>
      <c r="C4" s="163"/>
      <c r="D4" s="164"/>
      <c r="E4" s="165" t="s">
        <v>16</v>
      </c>
      <c r="F4" s="165"/>
      <c r="G4" s="165"/>
      <c r="H4" s="165" t="s">
        <v>17</v>
      </c>
      <c r="I4" s="165"/>
      <c r="J4" s="165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1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56" t="s">
        <v>12</v>
      </c>
      <c r="AL4" s="158" t="s">
        <v>36</v>
      </c>
      <c r="AM4" s="149" t="s">
        <v>37</v>
      </c>
    </row>
    <row r="5" spans="1:39" customFormat="1" ht="33.75" thickBot="1">
      <c r="A5" s="34" t="s">
        <v>3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137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6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3"/>
      <c r="AJ5" s="155"/>
      <c r="AK5" s="157"/>
      <c r="AL5" s="159"/>
      <c r="AM5" s="150"/>
    </row>
    <row r="6" spans="1:39" customFormat="1" hidden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34"/>
      <c r="I6" s="15">
        <f>SUM(L6:AK6)</f>
        <v>0</v>
      </c>
      <c r="J6" s="15"/>
      <c r="K6" s="16"/>
      <c r="L6" s="15"/>
      <c r="M6" s="15"/>
      <c r="N6" s="15"/>
      <c r="O6" s="15"/>
      <c r="P6" s="15"/>
      <c r="Q6" s="15"/>
      <c r="R6" s="15"/>
      <c r="S6" s="15"/>
      <c r="T6" s="41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3"/>
      <c r="AJ6" s="56"/>
      <c r="AK6" s="53"/>
      <c r="AL6" s="64">
        <f>SUM(L6:AK6)</f>
        <v>0</v>
      </c>
      <c r="AM6" s="31" t="str">
        <f t="shared" ref="AM6:AM74" si="2">IF(AL6=I6,"OK","NG")</f>
        <v>OK</v>
      </c>
    </row>
    <row r="7" spans="1:39" customFormat="1" hidden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135"/>
      <c r="I7" s="21">
        <f t="shared" ref="I7:I70" si="3">SUM(L7:AK7)</f>
        <v>0</v>
      </c>
      <c r="J7" s="21"/>
      <c r="K7" s="16"/>
      <c r="L7" s="21"/>
      <c r="M7" s="21"/>
      <c r="N7" s="21"/>
      <c r="O7" s="21"/>
      <c r="P7" s="21"/>
      <c r="Q7" s="21"/>
      <c r="R7" s="21"/>
      <c r="S7" s="21"/>
      <c r="T7" s="42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4"/>
      <c r="AJ7" s="57"/>
      <c r="AK7" s="54"/>
      <c r="AL7" s="65">
        <f t="shared" ref="AL7:AL74" si="4">SUM(L7:AK7)</f>
        <v>0</v>
      </c>
      <c r="AM7" s="22" t="str">
        <f t="shared" si="2"/>
        <v>OK</v>
      </c>
    </row>
    <row r="8" spans="1:39" customFormat="1" hidden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36"/>
      <c r="I8" s="27">
        <f t="shared" si="3"/>
        <v>0</v>
      </c>
      <c r="J8" s="27"/>
      <c r="K8" s="16"/>
      <c r="L8" s="27"/>
      <c r="M8" s="27"/>
      <c r="N8" s="27"/>
      <c r="O8" s="27"/>
      <c r="P8" s="27"/>
      <c r="Q8" s="27"/>
      <c r="R8" s="27"/>
      <c r="S8" s="27"/>
      <c r="T8" s="4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5"/>
      <c r="AJ8" s="58"/>
      <c r="AK8" s="55"/>
      <c r="AL8" s="66">
        <f t="shared" si="4"/>
        <v>0</v>
      </c>
      <c r="AM8" s="28" t="str">
        <f t="shared" si="2"/>
        <v>OK</v>
      </c>
    </row>
    <row r="9" spans="1:39" customFormat="1" hidden="1">
      <c r="A9" s="17" t="s">
        <v>68</v>
      </c>
      <c r="B9" s="77">
        <v>10897</v>
      </c>
      <c r="C9" s="17" t="s">
        <v>62</v>
      </c>
      <c r="D9" s="69"/>
      <c r="E9" s="18"/>
      <c r="F9" s="18"/>
      <c r="G9" s="19"/>
      <c r="H9" s="135"/>
      <c r="I9" s="21">
        <f t="shared" si="3"/>
        <v>0</v>
      </c>
      <c r="J9" s="21"/>
      <c r="K9" s="16"/>
      <c r="L9" s="21"/>
      <c r="M9" s="21"/>
      <c r="N9" s="21"/>
      <c r="O9" s="21"/>
      <c r="P9" s="21"/>
      <c r="Q9" s="21"/>
      <c r="R9" s="21"/>
      <c r="S9" s="21"/>
      <c r="T9" s="42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4"/>
      <c r="AJ9" s="57"/>
      <c r="AK9" s="54"/>
      <c r="AL9" s="65">
        <f t="shared" si="4"/>
        <v>0</v>
      </c>
      <c r="AM9" s="22" t="str">
        <f t="shared" si="2"/>
        <v>OK</v>
      </c>
    </row>
    <row r="10" spans="1:39" customFormat="1" hidden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36"/>
      <c r="I10" s="27">
        <f t="shared" si="3"/>
        <v>0</v>
      </c>
      <c r="J10" s="27"/>
      <c r="K10" s="16"/>
      <c r="L10" s="27"/>
      <c r="M10" s="27"/>
      <c r="N10" s="27"/>
      <c r="O10" s="27"/>
      <c r="P10" s="27"/>
      <c r="Q10" s="27"/>
      <c r="R10" s="27"/>
      <c r="S10" s="27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5"/>
      <c r="AJ10" s="58"/>
      <c r="AK10" s="55"/>
      <c r="AL10" s="66">
        <f t="shared" si="4"/>
        <v>0</v>
      </c>
      <c r="AM10" s="28" t="str">
        <f t="shared" si="2"/>
        <v>OK</v>
      </c>
    </row>
    <row r="11" spans="1:39" customFormat="1" hidden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135"/>
      <c r="I11" s="21">
        <f t="shared" si="3"/>
        <v>0</v>
      </c>
      <c r="J11" s="21"/>
      <c r="K11" s="16"/>
      <c r="L11" s="21"/>
      <c r="M11" s="21"/>
      <c r="N11" s="21"/>
      <c r="O11" s="21"/>
      <c r="P11" s="21"/>
      <c r="Q11" s="21"/>
      <c r="R11" s="21"/>
      <c r="S11" s="21"/>
      <c r="T11" s="42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4"/>
      <c r="AJ11" s="57"/>
      <c r="AK11" s="54"/>
      <c r="AL11" s="65">
        <f t="shared" si="4"/>
        <v>0</v>
      </c>
      <c r="AM11" s="22" t="str">
        <f t="shared" si="2"/>
        <v>OK</v>
      </c>
    </row>
    <row r="12" spans="1:39" customFormat="1" hidden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36"/>
      <c r="I12" s="27">
        <f t="shared" si="3"/>
        <v>0</v>
      </c>
      <c r="J12" s="27"/>
      <c r="K12" s="16"/>
      <c r="L12" s="27"/>
      <c r="M12" s="27"/>
      <c r="N12" s="27"/>
      <c r="O12" s="27"/>
      <c r="P12" s="27"/>
      <c r="Q12" s="27"/>
      <c r="R12" s="27"/>
      <c r="S12" s="27"/>
      <c r="T12" s="43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8"/>
      <c r="AK12" s="55"/>
      <c r="AL12" s="66">
        <f t="shared" si="4"/>
        <v>0</v>
      </c>
      <c r="AM12" s="28" t="str">
        <f t="shared" si="2"/>
        <v>OK</v>
      </c>
    </row>
    <row r="13" spans="1:39" customFormat="1" hidden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135"/>
      <c r="I13" s="21">
        <f t="shared" si="3"/>
        <v>0</v>
      </c>
      <c r="J13" s="21"/>
      <c r="K13" s="16"/>
      <c r="L13" s="21"/>
      <c r="M13" s="21"/>
      <c r="N13" s="21"/>
      <c r="O13" s="21"/>
      <c r="P13" s="21"/>
      <c r="Q13" s="21"/>
      <c r="R13" s="21"/>
      <c r="S13" s="21"/>
      <c r="T13" s="4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4"/>
      <c r="AJ13" s="57"/>
      <c r="AK13" s="54"/>
      <c r="AL13" s="65">
        <f t="shared" si="4"/>
        <v>0</v>
      </c>
      <c r="AM13" s="22" t="str">
        <f t="shared" si="2"/>
        <v>OK</v>
      </c>
    </row>
    <row r="14" spans="1:39" customFormat="1" hidden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36"/>
      <c r="I14" s="27">
        <f t="shared" si="3"/>
        <v>0</v>
      </c>
      <c r="J14" s="27"/>
      <c r="K14" s="16"/>
      <c r="L14" s="27"/>
      <c r="M14" s="27"/>
      <c r="N14" s="27"/>
      <c r="O14" s="27"/>
      <c r="P14" s="27"/>
      <c r="Q14" s="27"/>
      <c r="R14" s="27"/>
      <c r="S14" s="27"/>
      <c r="T14" s="43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5"/>
      <c r="AJ14" s="58"/>
      <c r="AK14" s="55"/>
      <c r="AL14" s="66">
        <f t="shared" si="4"/>
        <v>0</v>
      </c>
      <c r="AM14" s="28" t="str">
        <f t="shared" si="2"/>
        <v>OK</v>
      </c>
    </row>
    <row r="15" spans="1:39" customFormat="1" hidden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135"/>
      <c r="I15" s="21">
        <f t="shared" si="3"/>
        <v>0</v>
      </c>
      <c r="J15" s="21"/>
      <c r="K15" s="16"/>
      <c r="L15" s="21"/>
      <c r="M15" s="21"/>
      <c r="N15" s="21"/>
      <c r="O15" s="21"/>
      <c r="P15" s="21"/>
      <c r="Q15" s="21"/>
      <c r="R15" s="21"/>
      <c r="S15" s="21"/>
      <c r="T15" s="42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4"/>
      <c r="AJ15" s="57"/>
      <c r="AK15" s="54"/>
      <c r="AL15" s="65">
        <f t="shared" si="4"/>
        <v>0</v>
      </c>
      <c r="AM15" s="22" t="str">
        <f t="shared" si="2"/>
        <v>OK</v>
      </c>
    </row>
    <row r="16" spans="1:39" customFormat="1" hidden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36"/>
      <c r="I16" s="27">
        <f t="shared" si="3"/>
        <v>0</v>
      </c>
      <c r="J16" s="27"/>
      <c r="K16" s="16"/>
      <c r="L16" s="27"/>
      <c r="M16" s="27"/>
      <c r="N16" s="27"/>
      <c r="O16" s="27"/>
      <c r="P16" s="27"/>
      <c r="Q16" s="27"/>
      <c r="R16" s="27"/>
      <c r="S16" s="27"/>
      <c r="T16" s="43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8"/>
      <c r="AK16" s="55"/>
      <c r="AL16" s="66">
        <f t="shared" si="4"/>
        <v>0</v>
      </c>
      <c r="AM16" s="28" t="str">
        <f t="shared" si="2"/>
        <v>OK</v>
      </c>
    </row>
    <row r="17" spans="1:39" customFormat="1" hidden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135"/>
      <c r="I17" s="21">
        <f t="shared" si="3"/>
        <v>0</v>
      </c>
      <c r="J17" s="21"/>
      <c r="K17" s="16"/>
      <c r="L17" s="21"/>
      <c r="M17" s="21"/>
      <c r="N17" s="21"/>
      <c r="O17" s="21"/>
      <c r="P17" s="21"/>
      <c r="Q17" s="21"/>
      <c r="R17" s="21"/>
      <c r="S17" s="21"/>
      <c r="T17" s="42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4"/>
      <c r="AJ17" s="57"/>
      <c r="AK17" s="54"/>
      <c r="AL17" s="65">
        <f t="shared" si="4"/>
        <v>0</v>
      </c>
      <c r="AM17" s="22" t="str">
        <f t="shared" si="2"/>
        <v>OK</v>
      </c>
    </row>
    <row r="18" spans="1:39" customFormat="1" hidden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36"/>
      <c r="I18" s="27">
        <f t="shared" si="3"/>
        <v>0</v>
      </c>
      <c r="J18" s="27"/>
      <c r="K18" s="16"/>
      <c r="L18" s="27"/>
      <c r="M18" s="27"/>
      <c r="N18" s="27"/>
      <c r="O18" s="27"/>
      <c r="P18" s="27"/>
      <c r="Q18" s="27"/>
      <c r="R18" s="27"/>
      <c r="S18" s="27"/>
      <c r="T18" s="43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8"/>
      <c r="AK18" s="55"/>
      <c r="AL18" s="66">
        <f t="shared" si="4"/>
        <v>0</v>
      </c>
      <c r="AM18" s="28" t="str">
        <f t="shared" si="2"/>
        <v>OK</v>
      </c>
    </row>
    <row r="19" spans="1:39" customFormat="1" hidden="1">
      <c r="A19" s="17" t="s">
        <v>91</v>
      </c>
      <c r="B19" s="77">
        <v>14988</v>
      </c>
      <c r="C19" s="17" t="s">
        <v>64</v>
      </c>
      <c r="D19" s="69"/>
      <c r="E19" s="18"/>
      <c r="F19" s="18"/>
      <c r="G19" s="19"/>
      <c r="H19" s="135">
        <f>2160+4200+3840</f>
        <v>10200</v>
      </c>
      <c r="I19" s="21">
        <f t="shared" si="3"/>
        <v>0</v>
      </c>
      <c r="J19" s="21"/>
      <c r="K19" s="16"/>
      <c r="L19" s="21"/>
      <c r="M19" s="21"/>
      <c r="N19" s="21"/>
      <c r="O19" s="21"/>
      <c r="P19" s="21"/>
      <c r="Q19" s="21"/>
      <c r="R19" s="21"/>
      <c r="S19" s="21"/>
      <c r="T19" s="42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4"/>
      <c r="AJ19" s="57"/>
      <c r="AK19" s="54"/>
      <c r="AL19" s="65">
        <f t="shared" si="4"/>
        <v>0</v>
      </c>
      <c r="AM19" s="22" t="str">
        <f t="shared" si="2"/>
        <v>OK</v>
      </c>
    </row>
    <row r="20" spans="1:39" customFormat="1" hidden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136"/>
      <c r="I20" s="27">
        <f t="shared" si="3"/>
        <v>0</v>
      </c>
      <c r="J20" s="27"/>
      <c r="K20" s="16"/>
      <c r="L20" s="27"/>
      <c r="M20" s="27"/>
      <c r="N20" s="27"/>
      <c r="O20" s="27"/>
      <c r="P20" s="27"/>
      <c r="Q20" s="27"/>
      <c r="R20" s="27"/>
      <c r="S20" s="27"/>
      <c r="T20" s="43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8"/>
      <c r="AK20" s="55"/>
      <c r="AL20" s="66">
        <f t="shared" si="4"/>
        <v>0</v>
      </c>
      <c r="AM20" s="28" t="str">
        <f t="shared" si="2"/>
        <v>OK</v>
      </c>
    </row>
    <row r="21" spans="1:39" customFormat="1" hidden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135"/>
      <c r="I21" s="21">
        <f t="shared" si="3"/>
        <v>0</v>
      </c>
      <c r="J21" s="21"/>
      <c r="K21" s="16"/>
      <c r="L21" s="21"/>
      <c r="M21" s="21"/>
      <c r="N21" s="21"/>
      <c r="O21" s="21"/>
      <c r="P21" s="21"/>
      <c r="Q21" s="21"/>
      <c r="R21" s="21"/>
      <c r="S21" s="21"/>
      <c r="T21" s="4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4"/>
      <c r="AJ21" s="57"/>
      <c r="AK21" s="54"/>
      <c r="AL21" s="65">
        <f t="shared" si="4"/>
        <v>0</v>
      </c>
      <c r="AM21" s="22" t="str">
        <f t="shared" si="2"/>
        <v>OK</v>
      </c>
    </row>
    <row r="22" spans="1:39" customFormat="1" hidden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36"/>
      <c r="I22" s="27">
        <f t="shared" si="3"/>
        <v>0</v>
      </c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43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5"/>
      <c r="AJ22" s="58"/>
      <c r="AK22" s="55"/>
      <c r="AL22" s="66">
        <f t="shared" si="4"/>
        <v>0</v>
      </c>
      <c r="AM22" s="28" t="str">
        <f t="shared" si="2"/>
        <v>OK</v>
      </c>
    </row>
    <row r="23" spans="1:39" customFormat="1" hidden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135"/>
      <c r="I23" s="21">
        <f t="shared" si="3"/>
        <v>0</v>
      </c>
      <c r="J23" s="21"/>
      <c r="K23" s="16"/>
      <c r="L23" s="21"/>
      <c r="M23" s="21"/>
      <c r="N23" s="21"/>
      <c r="O23" s="21"/>
      <c r="P23" s="21"/>
      <c r="Q23" s="21"/>
      <c r="R23" s="21"/>
      <c r="S23" s="21"/>
      <c r="T23" s="42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7"/>
      <c r="AK23" s="54"/>
      <c r="AL23" s="65">
        <f>SUM(L23:AK23)</f>
        <v>0</v>
      </c>
      <c r="AM23" s="22" t="str">
        <f t="shared" si="2"/>
        <v>OK</v>
      </c>
    </row>
    <row r="24" spans="1:39" customFormat="1">
      <c r="A24" s="68" t="s">
        <v>44</v>
      </c>
      <c r="B24" s="78">
        <v>10163</v>
      </c>
      <c r="C24" s="23" t="s">
        <v>45</v>
      </c>
      <c r="D24" s="24"/>
      <c r="E24" s="24"/>
      <c r="F24" s="24"/>
      <c r="G24" s="25"/>
      <c r="H24" s="136">
        <f>1344+667</f>
        <v>2011</v>
      </c>
      <c r="I24" s="27">
        <f t="shared" si="3"/>
        <v>1</v>
      </c>
      <c r="J24" s="27"/>
      <c r="K24" s="16"/>
      <c r="L24" s="27">
        <v>1</v>
      </c>
      <c r="M24" s="27"/>
      <c r="N24" s="27"/>
      <c r="O24" s="27"/>
      <c r="P24" s="27"/>
      <c r="Q24" s="27"/>
      <c r="R24" s="27"/>
      <c r="S24" s="27"/>
      <c r="T24" s="43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5"/>
      <c r="AJ24" s="58"/>
      <c r="AK24" s="55"/>
      <c r="AL24" s="66">
        <f t="shared" si="4"/>
        <v>1</v>
      </c>
      <c r="AM24" s="28" t="str">
        <f t="shared" si="2"/>
        <v>OK</v>
      </c>
    </row>
    <row r="25" spans="1:39" customFormat="1" hidden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135"/>
      <c r="I25" s="21">
        <f t="shared" si="3"/>
        <v>0</v>
      </c>
      <c r="J25" s="21"/>
      <c r="K25" s="16"/>
      <c r="L25" s="21"/>
      <c r="M25" s="21"/>
      <c r="N25" s="21"/>
      <c r="O25" s="21"/>
      <c r="P25" s="21"/>
      <c r="Q25" s="21"/>
      <c r="R25" s="21"/>
      <c r="S25" s="21"/>
      <c r="T25" s="42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4"/>
      <c r="AJ25" s="57"/>
      <c r="AK25" s="54"/>
      <c r="AL25" s="65">
        <f t="shared" si="4"/>
        <v>0</v>
      </c>
      <c r="AM25" s="22" t="str">
        <f t="shared" si="2"/>
        <v>OK</v>
      </c>
    </row>
    <row r="26" spans="1:39" customFormat="1" hidden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36"/>
      <c r="I26" s="27">
        <f t="shared" si="3"/>
        <v>0</v>
      </c>
      <c r="J26" s="27"/>
      <c r="K26" s="16"/>
      <c r="L26" s="27"/>
      <c r="M26" s="27"/>
      <c r="N26" s="27"/>
      <c r="O26" s="27"/>
      <c r="P26" s="27"/>
      <c r="Q26" s="27"/>
      <c r="R26" s="27"/>
      <c r="S26" s="27"/>
      <c r="T26" s="43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8"/>
      <c r="AK26" s="55"/>
      <c r="AL26" s="66">
        <f t="shared" si="4"/>
        <v>0</v>
      </c>
      <c r="AM26" s="28" t="str">
        <f t="shared" si="2"/>
        <v>OK</v>
      </c>
    </row>
    <row r="27" spans="1:39" customFormat="1" hidden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135"/>
      <c r="I27" s="21">
        <f t="shared" si="3"/>
        <v>0</v>
      </c>
      <c r="J27" s="21"/>
      <c r="K27" s="16"/>
      <c r="L27" s="21"/>
      <c r="M27" s="21"/>
      <c r="N27" s="21"/>
      <c r="O27" s="21"/>
      <c r="P27" s="21"/>
      <c r="Q27" s="21"/>
      <c r="R27" s="21"/>
      <c r="S27" s="21"/>
      <c r="T27" s="4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7"/>
      <c r="AK27" s="54"/>
      <c r="AL27" s="65">
        <f t="shared" si="4"/>
        <v>0</v>
      </c>
      <c r="AM27" s="22" t="str">
        <f t="shared" si="2"/>
        <v>OK</v>
      </c>
    </row>
    <row r="28" spans="1:39" customFormat="1" hidden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136">
        <v>1872</v>
      </c>
      <c r="I28" s="27">
        <f t="shared" si="3"/>
        <v>0</v>
      </c>
      <c r="J28" s="27"/>
      <c r="K28" s="16"/>
      <c r="L28" s="27"/>
      <c r="M28" s="27"/>
      <c r="N28" s="27"/>
      <c r="O28" s="27"/>
      <c r="P28" s="27"/>
      <c r="Q28" s="27"/>
      <c r="R28" s="27"/>
      <c r="S28" s="27"/>
      <c r="T28" s="43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5"/>
      <c r="AJ28" s="58"/>
      <c r="AK28" s="55"/>
      <c r="AL28" s="66">
        <f t="shared" si="4"/>
        <v>0</v>
      </c>
      <c r="AM28" s="28" t="str">
        <f t="shared" si="2"/>
        <v>OK</v>
      </c>
    </row>
    <row r="29" spans="1:39" customFormat="1" hidden="1">
      <c r="A29" s="80" t="s">
        <v>71</v>
      </c>
      <c r="B29" s="77">
        <v>10151</v>
      </c>
      <c r="C29" s="17" t="s">
        <v>51</v>
      </c>
      <c r="D29" s="69"/>
      <c r="E29" s="18"/>
      <c r="F29" s="18"/>
      <c r="G29" s="19"/>
      <c r="H29" s="135"/>
      <c r="I29" s="21">
        <f t="shared" si="3"/>
        <v>0</v>
      </c>
      <c r="J29" s="21"/>
      <c r="K29" s="16"/>
      <c r="L29" s="21"/>
      <c r="M29" s="21"/>
      <c r="N29" s="21"/>
      <c r="O29" s="21"/>
      <c r="P29" s="21"/>
      <c r="Q29" s="21"/>
      <c r="R29" s="21"/>
      <c r="S29" s="21"/>
      <c r="T29" s="42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4"/>
      <c r="AJ29" s="57"/>
      <c r="AK29" s="54"/>
      <c r="AL29" s="65">
        <f t="shared" si="4"/>
        <v>0</v>
      </c>
      <c r="AM29" s="22" t="str">
        <f t="shared" si="2"/>
        <v>OK</v>
      </c>
    </row>
    <row r="30" spans="1:39" customFormat="1" hidden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137">
        <v>1300</v>
      </c>
      <c r="I30" s="27">
        <f t="shared" si="3"/>
        <v>0</v>
      </c>
      <c r="J30" s="27"/>
      <c r="K30" s="16"/>
      <c r="L30" s="27"/>
      <c r="M30" s="27"/>
      <c r="N30" s="27"/>
      <c r="O30" s="27"/>
      <c r="P30" s="27"/>
      <c r="Q30" s="27"/>
      <c r="R30" s="27"/>
      <c r="S30" s="27"/>
      <c r="T30" s="43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5"/>
      <c r="AJ30" s="58"/>
      <c r="AK30" s="55"/>
      <c r="AL30" s="66">
        <f t="shared" si="4"/>
        <v>0</v>
      </c>
      <c r="AM30" s="28" t="str">
        <f t="shared" si="2"/>
        <v>OK</v>
      </c>
    </row>
    <row r="31" spans="1:39" customFormat="1" hidden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135"/>
      <c r="I31" s="21">
        <f t="shared" si="3"/>
        <v>0</v>
      </c>
      <c r="J31" s="21"/>
      <c r="K31" s="16"/>
      <c r="L31" s="21"/>
      <c r="M31" s="21"/>
      <c r="N31" s="21"/>
      <c r="O31" s="21"/>
      <c r="P31" s="21"/>
      <c r="Q31" s="21"/>
      <c r="R31" s="21"/>
      <c r="S31" s="21"/>
      <c r="T31" s="4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7"/>
      <c r="AK31" s="54"/>
      <c r="AL31" s="65">
        <f t="shared" si="4"/>
        <v>0</v>
      </c>
      <c r="AM31" s="22" t="str">
        <f t="shared" si="2"/>
        <v>OK</v>
      </c>
    </row>
    <row r="32" spans="1:39" customFormat="1" hidden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136"/>
      <c r="I32" s="27">
        <f t="shared" si="3"/>
        <v>0</v>
      </c>
      <c r="J32" s="27"/>
      <c r="K32" s="16"/>
      <c r="L32" s="27"/>
      <c r="M32" s="27"/>
      <c r="N32" s="27"/>
      <c r="O32" s="27"/>
      <c r="P32" s="27"/>
      <c r="Q32" s="27"/>
      <c r="R32" s="27"/>
      <c r="S32" s="27"/>
      <c r="T32" s="43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5"/>
      <c r="AJ32" s="58"/>
      <c r="AK32" s="55"/>
      <c r="AL32" s="66">
        <f t="shared" si="4"/>
        <v>0</v>
      </c>
      <c r="AM32" s="28" t="str">
        <f t="shared" si="2"/>
        <v>OK</v>
      </c>
    </row>
    <row r="33" spans="1:39" customFormat="1" hidden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135"/>
      <c r="I33" s="21">
        <f t="shared" si="3"/>
        <v>0</v>
      </c>
      <c r="J33" s="21"/>
      <c r="K33" s="16"/>
      <c r="L33" s="21"/>
      <c r="M33" s="21"/>
      <c r="N33" s="21"/>
      <c r="O33" s="21"/>
      <c r="P33" s="21"/>
      <c r="Q33" s="21"/>
      <c r="R33" s="21"/>
      <c r="S33" s="21"/>
      <c r="T33" s="42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4"/>
      <c r="AJ33" s="57"/>
      <c r="AK33" s="54"/>
      <c r="AL33" s="65">
        <f t="shared" si="4"/>
        <v>0</v>
      </c>
      <c r="AM33" s="22" t="str">
        <f t="shared" si="2"/>
        <v>OK</v>
      </c>
    </row>
    <row r="34" spans="1:39" customFormat="1" hidden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136">
        <f>198+660+660</f>
        <v>1518</v>
      </c>
      <c r="I34" s="27">
        <f t="shared" si="3"/>
        <v>0</v>
      </c>
      <c r="J34" s="27"/>
      <c r="K34" s="16"/>
      <c r="L34" s="27"/>
      <c r="M34" s="27"/>
      <c r="N34" s="27"/>
      <c r="O34" s="27"/>
      <c r="P34" s="27"/>
      <c r="Q34" s="27"/>
      <c r="R34" s="27"/>
      <c r="S34" s="27"/>
      <c r="T34" s="43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5"/>
      <c r="AJ34" s="58"/>
      <c r="AK34" s="55"/>
      <c r="AL34" s="66">
        <f t="shared" si="4"/>
        <v>0</v>
      </c>
      <c r="AM34" s="28" t="str">
        <f t="shared" si="2"/>
        <v>OK</v>
      </c>
    </row>
    <row r="35" spans="1:39" customFormat="1" hidden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135"/>
      <c r="I35" s="21">
        <f t="shared" si="3"/>
        <v>0</v>
      </c>
      <c r="J35" s="21"/>
      <c r="K35" s="16"/>
      <c r="L35" s="21"/>
      <c r="M35" s="21"/>
      <c r="N35" s="21"/>
      <c r="O35" s="21"/>
      <c r="P35" s="21"/>
      <c r="Q35" s="21"/>
      <c r="R35" s="21"/>
      <c r="S35" s="21"/>
      <c r="T35" s="42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4"/>
      <c r="AJ35" s="57"/>
      <c r="AK35" s="54"/>
      <c r="AL35" s="65">
        <f t="shared" si="4"/>
        <v>0</v>
      </c>
      <c r="AM35" s="22" t="str">
        <f t="shared" si="2"/>
        <v>OK</v>
      </c>
    </row>
    <row r="36" spans="1:39" customFormat="1" hidden="1">
      <c r="A36" s="68" t="s">
        <v>76</v>
      </c>
      <c r="B36" s="78">
        <v>10135</v>
      </c>
      <c r="C36" s="23" t="s">
        <v>56</v>
      </c>
      <c r="D36" s="24"/>
      <c r="E36" s="24"/>
      <c r="F36" s="24"/>
      <c r="G36" s="25"/>
      <c r="H36" s="136"/>
      <c r="I36" s="27">
        <f t="shared" si="3"/>
        <v>0</v>
      </c>
      <c r="J36" s="27"/>
      <c r="K36" s="16"/>
      <c r="L36" s="27"/>
      <c r="M36" s="27"/>
      <c r="N36" s="27"/>
      <c r="O36" s="27"/>
      <c r="P36" s="27"/>
      <c r="Q36" s="27"/>
      <c r="R36" s="27"/>
      <c r="S36" s="27"/>
      <c r="T36" s="43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5"/>
      <c r="AJ36" s="58"/>
      <c r="AK36" s="55"/>
      <c r="AL36" s="66">
        <f t="shared" si="4"/>
        <v>0</v>
      </c>
      <c r="AM36" s="28" t="str">
        <f t="shared" si="2"/>
        <v>OK</v>
      </c>
    </row>
    <row r="37" spans="1:39" customFormat="1" hidden="1">
      <c r="A37" s="80" t="s">
        <v>77</v>
      </c>
      <c r="B37" s="77">
        <v>10133</v>
      </c>
      <c r="C37" s="17" t="s">
        <v>55</v>
      </c>
      <c r="D37" s="69"/>
      <c r="E37" s="18"/>
      <c r="F37" s="18"/>
      <c r="G37" s="19"/>
      <c r="H37" s="135">
        <f>250+100</f>
        <v>350</v>
      </c>
      <c r="I37" s="21">
        <f t="shared" si="3"/>
        <v>0</v>
      </c>
      <c r="J37" s="21"/>
      <c r="K37" s="16"/>
      <c r="L37" s="21"/>
      <c r="M37" s="21"/>
      <c r="N37" s="21"/>
      <c r="O37" s="21"/>
      <c r="P37" s="21"/>
      <c r="Q37" s="21"/>
      <c r="R37" s="21"/>
      <c r="S37" s="21"/>
      <c r="T37" s="42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4"/>
      <c r="AJ37" s="57"/>
      <c r="AK37" s="54"/>
      <c r="AL37" s="65">
        <f t="shared" si="4"/>
        <v>0</v>
      </c>
      <c r="AM37" s="22" t="str">
        <f t="shared" si="2"/>
        <v>OK</v>
      </c>
    </row>
    <row r="38" spans="1:39" customFormat="1" hidden="1">
      <c r="A38" s="68" t="s">
        <v>78</v>
      </c>
      <c r="B38" s="78">
        <v>10131</v>
      </c>
      <c r="C38" s="23" t="s">
        <v>56</v>
      </c>
      <c r="D38" s="24"/>
      <c r="E38" s="24"/>
      <c r="F38" s="24"/>
      <c r="G38" s="25"/>
      <c r="H38" s="136"/>
      <c r="I38" s="27">
        <f t="shared" si="3"/>
        <v>0</v>
      </c>
      <c r="J38" s="27"/>
      <c r="K38" s="16"/>
      <c r="L38" s="27"/>
      <c r="M38" s="27"/>
      <c r="N38" s="27"/>
      <c r="O38" s="27"/>
      <c r="P38" s="27"/>
      <c r="Q38" s="27"/>
      <c r="R38" s="27"/>
      <c r="S38" s="27"/>
      <c r="T38" s="43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5"/>
      <c r="AJ38" s="58"/>
      <c r="AK38" s="55"/>
      <c r="AL38" s="66">
        <f t="shared" ref="AL38:AL50" si="5">SUM(L38:AK38)</f>
        <v>0</v>
      </c>
      <c r="AM38" s="28" t="str">
        <f t="shared" si="2"/>
        <v>OK</v>
      </c>
    </row>
    <row r="39" spans="1:39" customFormat="1" hidden="1">
      <c r="A39" s="17" t="s">
        <v>79</v>
      </c>
      <c r="B39" s="77">
        <v>10129</v>
      </c>
      <c r="C39" s="17" t="s">
        <v>57</v>
      </c>
      <c r="D39" s="69"/>
      <c r="E39" s="18"/>
      <c r="F39" s="18"/>
      <c r="G39" s="19"/>
      <c r="H39" s="135"/>
      <c r="I39" s="21">
        <f>SUM(L39:AK39)</f>
        <v>0</v>
      </c>
      <c r="J39" s="21"/>
      <c r="K39" s="16"/>
      <c r="L39" s="21"/>
      <c r="M39" s="21"/>
      <c r="N39" s="21"/>
      <c r="O39" s="21"/>
      <c r="P39" s="21"/>
      <c r="Q39" s="21"/>
      <c r="R39" s="21"/>
      <c r="S39" s="21"/>
      <c r="T39" s="42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4"/>
      <c r="AJ39" s="57"/>
      <c r="AK39" s="54"/>
      <c r="AL39" s="65">
        <f t="shared" si="5"/>
        <v>0</v>
      </c>
      <c r="AM39" s="22" t="str">
        <f t="shared" si="2"/>
        <v>OK</v>
      </c>
    </row>
    <row r="40" spans="1:39" customFormat="1" hidden="1">
      <c r="A40" s="68" t="s">
        <v>80</v>
      </c>
      <c r="B40" s="78">
        <v>10127</v>
      </c>
      <c r="C40" s="23" t="s">
        <v>58</v>
      </c>
      <c r="D40" s="24"/>
      <c r="E40" s="24"/>
      <c r="F40" s="24"/>
      <c r="G40" s="25"/>
      <c r="H40" s="136">
        <f>1250+700</f>
        <v>1950</v>
      </c>
      <c r="I40" s="27">
        <f t="shared" si="3"/>
        <v>0</v>
      </c>
      <c r="J40" s="27"/>
      <c r="K40" s="16"/>
      <c r="L40" s="27"/>
      <c r="M40" s="27"/>
      <c r="N40" s="27"/>
      <c r="O40" s="27"/>
      <c r="P40" s="27"/>
      <c r="Q40" s="27"/>
      <c r="R40" s="27"/>
      <c r="S40" s="27"/>
      <c r="T40" s="43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5"/>
      <c r="AJ40" s="58"/>
      <c r="AK40" s="55"/>
      <c r="AL40" s="66">
        <f t="shared" si="5"/>
        <v>0</v>
      </c>
      <c r="AM40" s="28" t="str">
        <f t="shared" si="2"/>
        <v>OK</v>
      </c>
    </row>
    <row r="41" spans="1:39" customFormat="1" hidden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135"/>
      <c r="I41" s="21">
        <f t="shared" si="3"/>
        <v>0</v>
      </c>
      <c r="J41" s="21"/>
      <c r="K41" s="16"/>
      <c r="L41" s="21"/>
      <c r="M41" s="21"/>
      <c r="N41" s="21"/>
      <c r="O41" s="21"/>
      <c r="P41" s="21"/>
      <c r="Q41" s="21"/>
      <c r="R41" s="21"/>
      <c r="S41" s="21"/>
      <c r="T41" s="4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4"/>
      <c r="AJ41" s="57"/>
      <c r="AK41" s="54"/>
      <c r="AL41" s="65">
        <f t="shared" si="5"/>
        <v>0</v>
      </c>
      <c r="AM41" s="22" t="str">
        <f t="shared" si="2"/>
        <v>OK</v>
      </c>
    </row>
    <row r="42" spans="1:39" customFormat="1" hidden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136"/>
      <c r="I42" s="27">
        <f t="shared" si="3"/>
        <v>0</v>
      </c>
      <c r="J42" s="27"/>
      <c r="K42" s="16"/>
      <c r="L42" s="27"/>
      <c r="M42" s="27"/>
      <c r="N42" s="27"/>
      <c r="O42" s="27"/>
      <c r="P42" s="27"/>
      <c r="Q42" s="27"/>
      <c r="R42" s="27"/>
      <c r="S42" s="27"/>
      <c r="T42" s="43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5"/>
      <c r="AJ42" s="58"/>
      <c r="AK42" s="55"/>
      <c r="AL42" s="66">
        <f t="shared" si="5"/>
        <v>0</v>
      </c>
      <c r="AM42" s="28" t="str">
        <f t="shared" si="2"/>
        <v>OK</v>
      </c>
    </row>
    <row r="43" spans="1:39" customFormat="1" hidden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135"/>
      <c r="I43" s="21">
        <f t="shared" si="3"/>
        <v>0</v>
      </c>
      <c r="J43" s="21"/>
      <c r="K43" s="16"/>
      <c r="L43" s="21"/>
      <c r="M43" s="21"/>
      <c r="N43" s="21"/>
      <c r="O43" s="21"/>
      <c r="P43" s="21"/>
      <c r="Q43" s="21"/>
      <c r="R43" s="21"/>
      <c r="S43" s="21"/>
      <c r="T43" s="42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4"/>
      <c r="AJ43" s="57"/>
      <c r="AK43" s="54"/>
      <c r="AL43" s="65">
        <f t="shared" si="5"/>
        <v>0</v>
      </c>
      <c r="AM43" s="22" t="str">
        <f t="shared" si="2"/>
        <v>OK</v>
      </c>
    </row>
    <row r="44" spans="1:39" customFormat="1" hidden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136"/>
      <c r="I44" s="27">
        <f t="shared" si="3"/>
        <v>0</v>
      </c>
      <c r="J44" s="27"/>
      <c r="K44" s="16"/>
      <c r="L44" s="27"/>
      <c r="M44" s="27"/>
      <c r="N44" s="27"/>
      <c r="O44" s="27"/>
      <c r="P44" s="27"/>
      <c r="Q44" s="27"/>
      <c r="R44" s="27"/>
      <c r="S44" s="27"/>
      <c r="T44" s="43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5"/>
      <c r="AJ44" s="58"/>
      <c r="AK44" s="55"/>
      <c r="AL44" s="66">
        <f t="shared" si="5"/>
        <v>0</v>
      </c>
      <c r="AM44" s="28" t="str">
        <f t="shared" si="2"/>
        <v>OK</v>
      </c>
    </row>
    <row r="45" spans="1:39" customFormat="1" hidden="1">
      <c r="A45" s="17" t="s">
        <v>107</v>
      </c>
      <c r="B45" s="77">
        <v>13467</v>
      </c>
      <c r="C45" s="17" t="s">
        <v>87</v>
      </c>
      <c r="D45" s="69"/>
      <c r="E45" s="18"/>
      <c r="F45" s="18"/>
      <c r="G45" s="19"/>
      <c r="H45" s="135"/>
      <c r="I45" s="21">
        <f t="shared" si="3"/>
        <v>0</v>
      </c>
      <c r="J45" s="21"/>
      <c r="K45" s="16"/>
      <c r="L45" s="21"/>
      <c r="M45" s="21"/>
      <c r="N45" s="21"/>
      <c r="O45" s="21"/>
      <c r="P45" s="21"/>
      <c r="Q45" s="21"/>
      <c r="R45" s="21"/>
      <c r="S45" s="21"/>
      <c r="T45" s="4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4"/>
      <c r="AJ45" s="57"/>
      <c r="AK45" s="54"/>
      <c r="AL45" s="65">
        <f t="shared" si="5"/>
        <v>0</v>
      </c>
      <c r="AM45" s="22" t="str">
        <f t="shared" si="2"/>
        <v>OK</v>
      </c>
    </row>
    <row r="46" spans="1:39" customFormat="1" hidden="1">
      <c r="A46" s="68" t="s">
        <v>111</v>
      </c>
      <c r="B46" s="78">
        <v>15948</v>
      </c>
      <c r="C46" s="23" t="s">
        <v>87</v>
      </c>
      <c r="D46" s="24"/>
      <c r="E46" s="24"/>
      <c r="F46" s="24"/>
      <c r="G46" s="25"/>
      <c r="H46" s="136"/>
      <c r="I46" s="27">
        <f t="shared" si="3"/>
        <v>0</v>
      </c>
      <c r="J46" s="27"/>
      <c r="K46" s="16"/>
      <c r="L46" s="27"/>
      <c r="M46" s="27"/>
      <c r="N46" s="27"/>
      <c r="O46" s="27"/>
      <c r="P46" s="27"/>
      <c r="Q46" s="27"/>
      <c r="R46" s="27"/>
      <c r="S46" s="27"/>
      <c r="T46" s="43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5"/>
      <c r="AJ46" s="58"/>
      <c r="AK46" s="55"/>
      <c r="AL46" s="66">
        <f t="shared" si="5"/>
        <v>0</v>
      </c>
      <c r="AM46" s="28" t="str">
        <f t="shared" si="2"/>
        <v>OK</v>
      </c>
    </row>
    <row r="47" spans="1:39" customFormat="1" hidden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135"/>
      <c r="I47" s="21">
        <f t="shared" si="3"/>
        <v>0</v>
      </c>
      <c r="J47" s="21"/>
      <c r="K47" s="16"/>
      <c r="L47" s="21"/>
      <c r="M47" s="21"/>
      <c r="N47" s="21"/>
      <c r="O47" s="21"/>
      <c r="P47" s="21"/>
      <c r="Q47" s="21"/>
      <c r="R47" s="21"/>
      <c r="S47" s="21"/>
      <c r="T47" s="42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4"/>
      <c r="AJ47" s="57"/>
      <c r="AK47" s="54"/>
      <c r="AL47" s="65">
        <f t="shared" si="5"/>
        <v>0</v>
      </c>
      <c r="AM47" s="22" t="str">
        <f t="shared" si="2"/>
        <v>OK</v>
      </c>
    </row>
    <row r="48" spans="1:39" customFormat="1" hidden="1">
      <c r="A48" s="68" t="s">
        <v>121</v>
      </c>
      <c r="B48" s="78">
        <v>16598</v>
      </c>
      <c r="C48" s="23" t="s">
        <v>87</v>
      </c>
      <c r="D48" s="24"/>
      <c r="E48" s="24"/>
      <c r="F48" s="24"/>
      <c r="G48" s="25"/>
      <c r="H48" s="136">
        <v>1006</v>
      </c>
      <c r="I48" s="27">
        <f t="shared" si="3"/>
        <v>0</v>
      </c>
      <c r="J48" s="27"/>
      <c r="K48" s="16"/>
      <c r="L48" s="27"/>
      <c r="M48" s="27"/>
      <c r="N48" s="27"/>
      <c r="O48" s="27"/>
      <c r="P48" s="27"/>
      <c r="Q48" s="27"/>
      <c r="R48" s="27"/>
      <c r="S48" s="27"/>
      <c r="T48" s="43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5"/>
      <c r="AJ48" s="58"/>
      <c r="AK48" s="55"/>
      <c r="AL48" s="66">
        <f t="shared" si="5"/>
        <v>0</v>
      </c>
      <c r="AM48" s="28" t="str">
        <f t="shared" si="2"/>
        <v>OK</v>
      </c>
    </row>
    <row r="49" spans="1:39" customFormat="1" hidden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135"/>
      <c r="I49" s="21">
        <f t="shared" si="3"/>
        <v>0</v>
      </c>
      <c r="J49" s="21"/>
      <c r="K49" s="16"/>
      <c r="L49" s="21"/>
      <c r="M49" s="21"/>
      <c r="N49" s="21"/>
      <c r="O49" s="21"/>
      <c r="P49" s="21"/>
      <c r="Q49" s="21"/>
      <c r="R49" s="21"/>
      <c r="S49" s="21"/>
      <c r="T49" s="4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4"/>
      <c r="AJ49" s="57"/>
      <c r="AK49" s="54"/>
      <c r="AL49" s="65">
        <f t="shared" si="5"/>
        <v>0</v>
      </c>
      <c r="AM49" s="22" t="str">
        <f t="shared" si="2"/>
        <v>OK</v>
      </c>
    </row>
    <row r="50" spans="1:39" customFormat="1" hidden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136"/>
      <c r="I50" s="27">
        <f t="shared" si="3"/>
        <v>0</v>
      </c>
      <c r="J50" s="27"/>
      <c r="K50" s="16"/>
      <c r="L50" s="27"/>
      <c r="M50" s="27"/>
      <c r="N50" s="27"/>
      <c r="O50" s="27"/>
      <c r="P50" s="27"/>
      <c r="Q50" s="27"/>
      <c r="R50" s="27"/>
      <c r="S50" s="27"/>
      <c r="T50" s="43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8"/>
      <c r="AK50" s="55"/>
      <c r="AL50" s="66">
        <f t="shared" si="5"/>
        <v>0</v>
      </c>
      <c r="AM50" s="28" t="str">
        <f t="shared" si="2"/>
        <v>OK</v>
      </c>
    </row>
    <row r="51" spans="1:39" customFormat="1" hidden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135"/>
      <c r="I51" s="21">
        <f t="shared" si="3"/>
        <v>0</v>
      </c>
      <c r="J51" s="21"/>
      <c r="K51" s="16"/>
      <c r="L51" s="21"/>
      <c r="M51" s="21"/>
      <c r="N51" s="21"/>
      <c r="O51" s="21"/>
      <c r="P51" s="21"/>
      <c r="Q51" s="21"/>
      <c r="R51" s="21"/>
      <c r="S51" s="21"/>
      <c r="T51" s="4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4"/>
      <c r="AJ51" s="57"/>
      <c r="AK51" s="54"/>
      <c r="AL51" s="65">
        <f>SUM(L51:AK51)</f>
        <v>0</v>
      </c>
      <c r="AM51" s="22" t="str">
        <f t="shared" si="2"/>
        <v>OK</v>
      </c>
    </row>
    <row r="52" spans="1:39" customFormat="1" hidden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136"/>
      <c r="I52" s="27">
        <f t="shared" si="3"/>
        <v>0</v>
      </c>
      <c r="J52" s="27"/>
      <c r="K52" s="16"/>
      <c r="L52" s="27"/>
      <c r="M52" s="27"/>
      <c r="N52" s="27"/>
      <c r="O52" s="27"/>
      <c r="P52" s="27"/>
      <c r="Q52" s="27"/>
      <c r="R52" s="27"/>
      <c r="S52" s="27"/>
      <c r="T52" s="43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5"/>
      <c r="AJ52" s="58"/>
      <c r="AK52" s="55"/>
      <c r="AL52" s="66">
        <f t="shared" ref="AL52:AL64" si="6">SUM(L52:AK52)</f>
        <v>0</v>
      </c>
      <c r="AM52" s="28" t="str">
        <f t="shared" si="2"/>
        <v>OK</v>
      </c>
    </row>
    <row r="53" spans="1:39" customFormat="1" hidden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135"/>
      <c r="I53" s="21">
        <f t="shared" si="3"/>
        <v>0</v>
      </c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42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4"/>
      <c r="AJ53" s="57"/>
      <c r="AK53" s="54"/>
      <c r="AL53" s="65">
        <f t="shared" si="6"/>
        <v>0</v>
      </c>
      <c r="AM53" s="22" t="str">
        <f t="shared" si="2"/>
        <v>OK</v>
      </c>
    </row>
    <row r="54" spans="1:39" customFormat="1" hidden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136"/>
      <c r="I54" s="27">
        <f t="shared" si="3"/>
        <v>0</v>
      </c>
      <c r="J54" s="27"/>
      <c r="K54" s="16"/>
      <c r="L54" s="27"/>
      <c r="M54" s="27"/>
      <c r="N54" s="27"/>
      <c r="O54" s="27"/>
      <c r="P54" s="27"/>
      <c r="Q54" s="27"/>
      <c r="R54" s="27"/>
      <c r="S54" s="27"/>
      <c r="T54" s="43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5"/>
      <c r="AJ54" s="58"/>
      <c r="AK54" s="55"/>
      <c r="AL54" s="66">
        <f t="shared" si="6"/>
        <v>0</v>
      </c>
      <c r="AM54" s="28" t="str">
        <f t="shared" si="2"/>
        <v>OK</v>
      </c>
    </row>
    <row r="55" spans="1:39" customFormat="1" hidden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135"/>
      <c r="I55" s="21">
        <f t="shared" si="3"/>
        <v>0</v>
      </c>
      <c r="J55" s="21"/>
      <c r="K55" s="16"/>
      <c r="L55" s="21"/>
      <c r="M55" s="21"/>
      <c r="N55" s="21"/>
      <c r="O55" s="21"/>
      <c r="P55" s="21"/>
      <c r="Q55" s="21"/>
      <c r="R55" s="21"/>
      <c r="S55" s="21"/>
      <c r="T55" s="42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4"/>
      <c r="AJ55" s="57"/>
      <c r="AK55" s="54"/>
      <c r="AL55" s="65">
        <f t="shared" si="6"/>
        <v>0</v>
      </c>
      <c r="AM55" s="22" t="str">
        <f t="shared" si="2"/>
        <v>OK</v>
      </c>
    </row>
    <row r="56" spans="1:39" customFormat="1" hidden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136"/>
      <c r="I56" s="27">
        <f t="shared" si="3"/>
        <v>0</v>
      </c>
      <c r="J56" s="27"/>
      <c r="K56" s="16"/>
      <c r="L56" s="27"/>
      <c r="M56" s="27"/>
      <c r="N56" s="27"/>
      <c r="O56" s="27"/>
      <c r="P56" s="27"/>
      <c r="Q56" s="27"/>
      <c r="R56" s="27"/>
      <c r="S56" s="27"/>
      <c r="T56" s="43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5"/>
      <c r="AJ56" s="58"/>
      <c r="AK56" s="55"/>
      <c r="AL56" s="66">
        <f t="shared" si="6"/>
        <v>0</v>
      </c>
      <c r="AM56" s="28" t="str">
        <f t="shared" si="2"/>
        <v>OK</v>
      </c>
    </row>
    <row r="57" spans="1:39" customFormat="1" hidden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135"/>
      <c r="I57" s="21">
        <f t="shared" si="3"/>
        <v>0</v>
      </c>
      <c r="J57" s="21"/>
      <c r="K57" s="16"/>
      <c r="L57" s="21"/>
      <c r="M57" s="21"/>
      <c r="N57" s="21"/>
      <c r="O57" s="21"/>
      <c r="P57" s="21"/>
      <c r="Q57" s="21"/>
      <c r="R57" s="21"/>
      <c r="S57" s="21"/>
      <c r="T57" s="42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4"/>
      <c r="AJ57" s="57"/>
      <c r="AK57" s="54"/>
      <c r="AL57" s="65">
        <f t="shared" si="6"/>
        <v>0</v>
      </c>
      <c r="AM57" s="22" t="str">
        <f t="shared" si="2"/>
        <v>OK</v>
      </c>
    </row>
    <row r="58" spans="1:39" customFormat="1" hidden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136"/>
      <c r="I58" s="27">
        <f t="shared" si="3"/>
        <v>0</v>
      </c>
      <c r="J58" s="27"/>
      <c r="K58" s="16"/>
      <c r="L58" s="27"/>
      <c r="M58" s="27"/>
      <c r="N58" s="27"/>
      <c r="O58" s="27"/>
      <c r="P58" s="27"/>
      <c r="Q58" s="27"/>
      <c r="R58" s="27"/>
      <c r="S58" s="27"/>
      <c r="T58" s="43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5"/>
      <c r="AJ58" s="58"/>
      <c r="AK58" s="55"/>
      <c r="AL58" s="66">
        <f t="shared" si="6"/>
        <v>0</v>
      </c>
      <c r="AM58" s="28" t="str">
        <f t="shared" si="2"/>
        <v>OK</v>
      </c>
    </row>
    <row r="59" spans="1:39" customFormat="1" hidden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135"/>
      <c r="I59" s="21">
        <f t="shared" si="3"/>
        <v>0</v>
      </c>
      <c r="J59" s="21"/>
      <c r="K59" s="16"/>
      <c r="L59" s="21"/>
      <c r="M59" s="21"/>
      <c r="N59" s="21"/>
      <c r="O59" s="21"/>
      <c r="P59" s="21"/>
      <c r="Q59" s="21"/>
      <c r="R59" s="21"/>
      <c r="S59" s="21"/>
      <c r="T59" s="4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4"/>
      <c r="AJ59" s="57"/>
      <c r="AK59" s="54"/>
      <c r="AL59" s="65">
        <f t="shared" si="6"/>
        <v>0</v>
      </c>
      <c r="AM59" s="22" t="str">
        <f t="shared" si="2"/>
        <v>OK</v>
      </c>
    </row>
    <row r="60" spans="1:39" customFormat="1" hidden="1">
      <c r="A60" s="68" t="s">
        <v>84</v>
      </c>
      <c r="B60" s="78">
        <v>11380</v>
      </c>
      <c r="C60" s="23" t="s">
        <v>60</v>
      </c>
      <c r="D60" s="24"/>
      <c r="E60" s="24"/>
      <c r="F60" s="24"/>
      <c r="G60" s="25"/>
      <c r="H60" s="136">
        <f>648+1000</f>
        <v>1648</v>
      </c>
      <c r="I60" s="27">
        <f t="shared" si="3"/>
        <v>0</v>
      </c>
      <c r="J60" s="27"/>
      <c r="K60" s="16"/>
      <c r="L60" s="27"/>
      <c r="M60" s="27"/>
      <c r="N60" s="27"/>
      <c r="O60" s="27"/>
      <c r="P60" s="27"/>
      <c r="Q60" s="27"/>
      <c r="R60" s="27"/>
      <c r="S60" s="27"/>
      <c r="T60" s="43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5"/>
      <c r="AJ60" s="58"/>
      <c r="AK60" s="55"/>
      <c r="AL60" s="66">
        <f t="shared" si="6"/>
        <v>0</v>
      </c>
      <c r="AM60" s="28" t="str">
        <f t="shared" si="2"/>
        <v>OK</v>
      </c>
    </row>
    <row r="61" spans="1:39" customFormat="1" hidden="1">
      <c r="A61" s="80" t="s">
        <v>112</v>
      </c>
      <c r="B61" s="77">
        <v>18518</v>
      </c>
      <c r="C61" s="17" t="s">
        <v>87</v>
      </c>
      <c r="D61" s="69"/>
      <c r="E61" s="18"/>
      <c r="F61" s="18"/>
      <c r="G61" s="19"/>
      <c r="H61" s="135">
        <f>1000+1050+1008</f>
        <v>3058</v>
      </c>
      <c r="I61" s="21">
        <f t="shared" si="3"/>
        <v>0</v>
      </c>
      <c r="J61" s="21"/>
      <c r="K61" s="16"/>
      <c r="L61" s="21"/>
      <c r="M61" s="21"/>
      <c r="N61" s="21"/>
      <c r="O61" s="21"/>
      <c r="P61" s="21"/>
      <c r="Q61" s="21"/>
      <c r="R61" s="21"/>
      <c r="S61" s="21"/>
      <c r="T61" s="4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4"/>
      <c r="AJ61" s="57"/>
      <c r="AK61" s="54"/>
      <c r="AL61" s="65">
        <f t="shared" si="6"/>
        <v>0</v>
      </c>
      <c r="AM61" s="22" t="str">
        <f t="shared" si="2"/>
        <v>OK</v>
      </c>
    </row>
    <row r="62" spans="1:39" customFormat="1" hidden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136">
        <v>1006</v>
      </c>
      <c r="I62" s="27">
        <f t="shared" si="3"/>
        <v>0</v>
      </c>
      <c r="J62" s="27"/>
      <c r="K62" s="16"/>
      <c r="L62" s="27"/>
      <c r="M62" s="27"/>
      <c r="N62" s="27"/>
      <c r="O62" s="27"/>
      <c r="P62" s="27"/>
      <c r="Q62" s="27"/>
      <c r="R62" s="27"/>
      <c r="S62" s="27"/>
      <c r="T62" s="43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5"/>
      <c r="AJ62" s="58"/>
      <c r="AK62" s="55"/>
      <c r="AL62" s="66">
        <f t="shared" si="6"/>
        <v>0</v>
      </c>
      <c r="AM62" s="28" t="str">
        <f t="shared" si="2"/>
        <v>OK</v>
      </c>
    </row>
    <row r="63" spans="1:39" customFormat="1" hidden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135"/>
      <c r="I63" s="21">
        <f t="shared" si="3"/>
        <v>0</v>
      </c>
      <c r="J63" s="21"/>
      <c r="K63" s="16"/>
      <c r="L63" s="21"/>
      <c r="M63" s="21"/>
      <c r="N63" s="21"/>
      <c r="O63" s="21"/>
      <c r="P63" s="21"/>
      <c r="Q63" s="21"/>
      <c r="R63" s="21"/>
      <c r="S63" s="21"/>
      <c r="T63" s="4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4"/>
      <c r="AJ63" s="57"/>
      <c r="AK63" s="54"/>
      <c r="AL63" s="65">
        <f t="shared" si="6"/>
        <v>0</v>
      </c>
      <c r="AM63" s="22" t="str">
        <f t="shared" si="2"/>
        <v>OK</v>
      </c>
    </row>
    <row r="64" spans="1:39" customFormat="1" hidden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136"/>
      <c r="I64" s="27">
        <f t="shared" si="3"/>
        <v>0</v>
      </c>
      <c r="J64" s="27"/>
      <c r="K64" s="16"/>
      <c r="L64" s="27"/>
      <c r="M64" s="27"/>
      <c r="N64" s="27"/>
      <c r="O64" s="27"/>
      <c r="P64" s="27"/>
      <c r="Q64" s="27"/>
      <c r="R64" s="27"/>
      <c r="S64" s="27"/>
      <c r="T64" s="43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5"/>
      <c r="AJ64" s="58"/>
      <c r="AK64" s="55"/>
      <c r="AL64" s="66">
        <f t="shared" si="6"/>
        <v>0</v>
      </c>
      <c r="AM64" s="28" t="str">
        <f t="shared" si="2"/>
        <v>OK</v>
      </c>
    </row>
    <row r="65" spans="1:39" customFormat="1" hidden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135"/>
      <c r="I65" s="21">
        <f t="shared" si="3"/>
        <v>0</v>
      </c>
      <c r="J65" s="21"/>
      <c r="K65" s="16"/>
      <c r="L65" s="21"/>
      <c r="M65" s="21"/>
      <c r="N65" s="21"/>
      <c r="O65" s="21"/>
      <c r="P65" s="21"/>
      <c r="Q65" s="21"/>
      <c r="R65" s="21"/>
      <c r="S65" s="21"/>
      <c r="T65" s="4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4"/>
      <c r="AJ65" s="57"/>
      <c r="AK65" s="54"/>
      <c r="AL65" s="65">
        <f t="shared" si="4"/>
        <v>0</v>
      </c>
      <c r="AM65" s="22" t="str">
        <f t="shared" si="2"/>
        <v>OK</v>
      </c>
    </row>
    <row r="66" spans="1:39" customFormat="1" hidden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136"/>
      <c r="I66" s="27">
        <f t="shared" si="3"/>
        <v>0</v>
      </c>
      <c r="J66" s="27"/>
      <c r="K66" s="16"/>
      <c r="L66" s="27"/>
      <c r="M66" s="27"/>
      <c r="N66" s="27"/>
      <c r="O66" s="27"/>
      <c r="P66" s="27"/>
      <c r="Q66" s="27"/>
      <c r="R66" s="27"/>
      <c r="S66" s="27"/>
      <c r="T66" s="43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5"/>
      <c r="AJ66" s="58"/>
      <c r="AK66" s="55"/>
      <c r="AL66" s="66">
        <f t="shared" si="4"/>
        <v>0</v>
      </c>
      <c r="AM66" s="28" t="str">
        <f t="shared" si="2"/>
        <v>OK</v>
      </c>
    </row>
    <row r="67" spans="1:39" customFormat="1" hidden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135">
        <f>500+1300</f>
        <v>1800</v>
      </c>
      <c r="I67" s="21">
        <f t="shared" si="3"/>
        <v>0</v>
      </c>
      <c r="J67" s="21"/>
      <c r="K67" s="16"/>
      <c r="L67" s="21"/>
      <c r="M67" s="21"/>
      <c r="N67" s="21"/>
      <c r="O67" s="21"/>
      <c r="P67" s="21"/>
      <c r="Q67" s="21"/>
      <c r="R67" s="21"/>
      <c r="S67" s="21"/>
      <c r="T67" s="4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4"/>
      <c r="AJ67" s="57"/>
      <c r="AK67" s="54"/>
      <c r="AL67" s="65">
        <f t="shared" si="4"/>
        <v>0</v>
      </c>
      <c r="AM67" s="22" t="str">
        <f t="shared" si="2"/>
        <v>OK</v>
      </c>
    </row>
    <row r="68" spans="1:39" customFormat="1" hidden="1">
      <c r="A68" s="81" t="s">
        <v>132</v>
      </c>
      <c r="B68" s="78">
        <v>20269</v>
      </c>
      <c r="C68" s="23" t="s">
        <v>131</v>
      </c>
      <c r="D68" s="24"/>
      <c r="E68" s="24"/>
      <c r="F68" s="24"/>
      <c r="G68" s="25"/>
      <c r="H68" s="136"/>
      <c r="I68" s="27">
        <f t="shared" si="3"/>
        <v>0</v>
      </c>
      <c r="J68" s="27"/>
      <c r="K68" s="16"/>
      <c r="L68" s="27"/>
      <c r="M68" s="27"/>
      <c r="N68" s="27"/>
      <c r="O68" s="27"/>
      <c r="P68" s="27"/>
      <c r="Q68" s="27"/>
      <c r="R68" s="27"/>
      <c r="S68" s="27"/>
      <c r="T68" s="43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5"/>
      <c r="AJ68" s="58"/>
      <c r="AK68" s="55"/>
      <c r="AL68" s="66">
        <f t="shared" si="4"/>
        <v>0</v>
      </c>
      <c r="AM68" s="28" t="str">
        <f t="shared" si="2"/>
        <v>OK</v>
      </c>
    </row>
    <row r="69" spans="1:39" customFormat="1" hidden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135"/>
      <c r="I69" s="21">
        <f t="shared" si="3"/>
        <v>0</v>
      </c>
      <c r="J69" s="21"/>
      <c r="K69" s="16"/>
      <c r="L69" s="21"/>
      <c r="M69" s="21"/>
      <c r="N69" s="21"/>
      <c r="O69" s="21"/>
      <c r="P69" s="21"/>
      <c r="Q69" s="21"/>
      <c r="R69" s="21"/>
      <c r="S69" s="21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7"/>
      <c r="AK69" s="54"/>
      <c r="AL69" s="65">
        <f t="shared" si="4"/>
        <v>0</v>
      </c>
      <c r="AM69" s="22" t="str">
        <f t="shared" si="2"/>
        <v>OK</v>
      </c>
    </row>
    <row r="70" spans="1:39" customFormat="1" hidden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136"/>
      <c r="I70" s="27">
        <f t="shared" si="3"/>
        <v>0</v>
      </c>
      <c r="J70" s="27"/>
      <c r="K70" s="16"/>
      <c r="L70" s="27"/>
      <c r="M70" s="27"/>
      <c r="N70" s="27"/>
      <c r="O70" s="27"/>
      <c r="P70" s="27"/>
      <c r="Q70" s="27"/>
      <c r="R70" s="27"/>
      <c r="S70" s="27"/>
      <c r="T70" s="43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5"/>
      <c r="AJ70" s="58"/>
      <c r="AK70" s="55"/>
      <c r="AL70" s="66">
        <f t="shared" si="4"/>
        <v>0</v>
      </c>
      <c r="AM70" s="28" t="str">
        <f t="shared" si="2"/>
        <v>OK</v>
      </c>
    </row>
    <row r="71" spans="1:39" customFormat="1" hidden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135"/>
      <c r="I71" s="21">
        <f t="shared" ref="I71:I96" si="7">SUM(L71:AK71)</f>
        <v>0</v>
      </c>
      <c r="J71" s="21"/>
      <c r="K71" s="16"/>
      <c r="L71" s="21"/>
      <c r="M71" s="21"/>
      <c r="N71" s="21"/>
      <c r="O71" s="21"/>
      <c r="P71" s="21"/>
      <c r="Q71" s="21"/>
      <c r="R71" s="21"/>
      <c r="S71" s="21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4"/>
      <c r="AJ71" s="57"/>
      <c r="AK71" s="54"/>
      <c r="AL71" s="65">
        <f t="shared" si="4"/>
        <v>0</v>
      </c>
      <c r="AM71" s="22" t="str">
        <f t="shared" si="2"/>
        <v>OK</v>
      </c>
    </row>
    <row r="72" spans="1:39" customFormat="1" hidden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136"/>
      <c r="I72" s="27">
        <f t="shared" si="7"/>
        <v>0</v>
      </c>
      <c r="J72" s="27"/>
      <c r="K72" s="16"/>
      <c r="L72" s="27"/>
      <c r="M72" s="27"/>
      <c r="N72" s="27"/>
      <c r="O72" s="27"/>
      <c r="P72" s="27"/>
      <c r="Q72" s="27"/>
      <c r="R72" s="27"/>
      <c r="S72" s="27"/>
      <c r="T72" s="43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5"/>
      <c r="AJ72" s="58"/>
      <c r="AK72" s="55"/>
      <c r="AL72" s="66">
        <f t="shared" si="4"/>
        <v>0</v>
      </c>
      <c r="AM72" s="28" t="str">
        <f t="shared" si="2"/>
        <v>OK</v>
      </c>
    </row>
    <row r="73" spans="1:39" customFormat="1" hidden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138"/>
      <c r="I73" s="101">
        <f t="shared" si="7"/>
        <v>0</v>
      </c>
      <c r="J73" s="21"/>
      <c r="K73" s="16"/>
      <c r="L73" s="21"/>
      <c r="M73" s="21"/>
      <c r="N73" s="21"/>
      <c r="O73" s="21"/>
      <c r="P73" s="21"/>
      <c r="Q73" s="21"/>
      <c r="R73" s="21"/>
      <c r="S73" s="21"/>
      <c r="T73" s="42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4"/>
      <c r="AJ73" s="57"/>
      <c r="AK73" s="54"/>
      <c r="AL73" s="65">
        <f t="shared" si="4"/>
        <v>0</v>
      </c>
      <c r="AM73" s="22" t="str">
        <f t="shared" si="2"/>
        <v>OK</v>
      </c>
    </row>
    <row r="74" spans="1:39" customFormat="1" ht="17.25" thickBot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139">
        <f>800+1400</f>
        <v>2200</v>
      </c>
      <c r="I74" s="103">
        <f t="shared" si="7"/>
        <v>3</v>
      </c>
      <c r="J74" s="27"/>
      <c r="K74" s="16"/>
      <c r="L74" s="100"/>
      <c r="M74" s="100"/>
      <c r="N74" s="100"/>
      <c r="O74" s="100"/>
      <c r="P74" s="100"/>
      <c r="Q74" s="100"/>
      <c r="R74" s="100"/>
      <c r="S74" s="100"/>
      <c r="T74" s="109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1">
        <v>3</v>
      </c>
      <c r="AJ74" s="112"/>
      <c r="AK74" s="111"/>
      <c r="AL74" s="66">
        <f t="shared" si="4"/>
        <v>3</v>
      </c>
      <c r="AM74" s="28" t="str">
        <f t="shared" si="2"/>
        <v>OK</v>
      </c>
    </row>
    <row r="75" spans="1:39" ht="17.25" hidden="1" thickBot="1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40"/>
      <c r="I75" s="105">
        <f t="shared" si="7"/>
        <v>0</v>
      </c>
      <c r="J75" s="90"/>
      <c r="K75" s="91"/>
      <c r="L75" s="113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5"/>
      <c r="AL75" s="92">
        <f t="shared" ref="AL75:AL80" si="8">SUM(L75:AK75)</f>
        <v>0</v>
      </c>
      <c r="AM75" s="122" t="str">
        <f t="shared" ref="AM75:AM96" si="9">IF(AL75=I75,"OK","NG")</f>
        <v>OK</v>
      </c>
    </row>
    <row r="76" spans="1:39" ht="17.25" hidden="1" thickBot="1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139"/>
      <c r="I76" s="106">
        <f t="shared" si="7"/>
        <v>0</v>
      </c>
      <c r="J76" s="85"/>
      <c r="K76" s="16"/>
      <c r="L76" s="1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8"/>
      <c r="AL76" s="66">
        <f t="shared" si="8"/>
        <v>0</v>
      </c>
      <c r="AM76" s="28" t="str">
        <f t="shared" si="9"/>
        <v>OK</v>
      </c>
    </row>
    <row r="77" spans="1:39" ht="17.25" hidden="1" thickBot="1">
      <c r="A77" s="87" t="s">
        <v>165</v>
      </c>
      <c r="B77" s="93">
        <v>13007</v>
      </c>
      <c r="C77" s="94" t="s">
        <v>164</v>
      </c>
      <c r="D77" s="88"/>
      <c r="E77" s="88"/>
      <c r="F77" s="88"/>
      <c r="G77" s="89"/>
      <c r="H77" s="104"/>
      <c r="I77" s="105">
        <f t="shared" si="7"/>
        <v>0</v>
      </c>
      <c r="J77" s="90"/>
      <c r="K77" s="91"/>
      <c r="L77" s="113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5"/>
      <c r="AL77" s="92">
        <f t="shared" si="8"/>
        <v>0</v>
      </c>
      <c r="AM77" s="122" t="str">
        <f t="shared" si="9"/>
        <v>OK</v>
      </c>
    </row>
    <row r="78" spans="1:39" ht="17.25" hidden="1" thickBot="1">
      <c r="A78" s="68"/>
      <c r="B78" s="78"/>
      <c r="C78" s="95"/>
      <c r="D78" s="83"/>
      <c r="E78" s="83"/>
      <c r="F78" s="83"/>
      <c r="G78" s="84"/>
      <c r="H78" s="102"/>
      <c r="I78" s="106">
        <f t="shared" si="7"/>
        <v>0</v>
      </c>
      <c r="J78" s="85"/>
      <c r="K78" s="16"/>
      <c r="L78" s="1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66">
        <f t="shared" si="8"/>
        <v>0</v>
      </c>
      <c r="AM78" s="28" t="str">
        <f t="shared" si="9"/>
        <v>OK</v>
      </c>
    </row>
    <row r="79" spans="1:39" ht="17.25" hidden="1" thickBot="1">
      <c r="A79" s="87"/>
      <c r="B79" s="93"/>
      <c r="C79" s="94"/>
      <c r="D79" s="88"/>
      <c r="E79" s="88"/>
      <c r="F79" s="88"/>
      <c r="G79" s="89"/>
      <c r="H79" s="104"/>
      <c r="I79" s="105">
        <f t="shared" si="7"/>
        <v>0</v>
      </c>
      <c r="J79" s="90"/>
      <c r="K79" s="91"/>
      <c r="L79" s="113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5"/>
      <c r="AL79" s="92">
        <f t="shared" si="8"/>
        <v>0</v>
      </c>
      <c r="AM79" s="122" t="str">
        <f t="shared" si="9"/>
        <v>OK</v>
      </c>
    </row>
    <row r="80" spans="1:39" ht="17.25" hidden="1" thickBot="1">
      <c r="A80" s="68"/>
      <c r="B80" s="78"/>
      <c r="C80" s="95"/>
      <c r="D80" s="83"/>
      <c r="E80" s="83"/>
      <c r="F80" s="83"/>
      <c r="G80" s="84"/>
      <c r="H80" s="102"/>
      <c r="I80" s="106">
        <f t="shared" si="7"/>
        <v>0</v>
      </c>
      <c r="J80" s="85"/>
      <c r="K80" s="16"/>
      <c r="L80" s="116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66">
        <f t="shared" si="8"/>
        <v>0</v>
      </c>
      <c r="AM80" s="28" t="str">
        <f t="shared" si="9"/>
        <v>OK</v>
      </c>
    </row>
    <row r="81" spans="1:39" ht="17.25" hidden="1" thickBot="1">
      <c r="A81" s="87"/>
      <c r="B81" s="93"/>
      <c r="C81" s="94"/>
      <c r="D81" s="88"/>
      <c r="E81" s="88"/>
      <c r="F81" s="88"/>
      <c r="G81" s="89"/>
      <c r="H81" s="104"/>
      <c r="I81" s="105">
        <f t="shared" si="7"/>
        <v>0</v>
      </c>
      <c r="J81" s="90"/>
      <c r="K81" s="91"/>
      <c r="L81" s="113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5"/>
      <c r="AL81" s="92">
        <f t="shared" ref="AL81:AL96" si="10">SUM(L81:AK81)</f>
        <v>0</v>
      </c>
      <c r="AM81" s="122" t="str">
        <f t="shared" si="9"/>
        <v>OK</v>
      </c>
    </row>
    <row r="82" spans="1:39" ht="17.25" hidden="1" thickBot="1">
      <c r="A82" s="68"/>
      <c r="B82" s="78"/>
      <c r="C82" s="95"/>
      <c r="D82" s="83"/>
      <c r="E82" s="83"/>
      <c r="F82" s="83"/>
      <c r="G82" s="84"/>
      <c r="H82" s="102"/>
      <c r="I82" s="106">
        <f t="shared" si="7"/>
        <v>0</v>
      </c>
      <c r="J82" s="85"/>
      <c r="K82" s="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66">
        <f t="shared" si="10"/>
        <v>0</v>
      </c>
      <c r="AM82" s="28" t="str">
        <f t="shared" si="9"/>
        <v>OK</v>
      </c>
    </row>
    <row r="83" spans="1:39" ht="17.25" hidden="1" thickBot="1">
      <c r="A83" s="96"/>
      <c r="B83" s="93"/>
      <c r="C83" s="94"/>
      <c r="D83" s="88"/>
      <c r="E83" s="88"/>
      <c r="F83" s="88"/>
      <c r="G83" s="89"/>
      <c r="H83" s="104"/>
      <c r="I83" s="105">
        <f t="shared" si="7"/>
        <v>0</v>
      </c>
      <c r="J83" s="90"/>
      <c r="K83" s="91"/>
      <c r="L83" s="113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5"/>
      <c r="AL83" s="92">
        <f t="shared" si="10"/>
        <v>0</v>
      </c>
      <c r="AM83" s="122" t="str">
        <f t="shared" si="9"/>
        <v>OK</v>
      </c>
    </row>
    <row r="84" spans="1:39" ht="17.25" hidden="1" thickBot="1">
      <c r="A84" s="68"/>
      <c r="B84" s="78"/>
      <c r="C84" s="95"/>
      <c r="D84" s="83"/>
      <c r="E84" s="83"/>
      <c r="F84" s="83"/>
      <c r="G84" s="84"/>
      <c r="H84" s="102"/>
      <c r="I84" s="106">
        <f t="shared" si="7"/>
        <v>0</v>
      </c>
      <c r="J84" s="85"/>
      <c r="K84" s="16"/>
      <c r="L84" s="116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66">
        <f t="shared" si="10"/>
        <v>0</v>
      </c>
      <c r="AM84" s="28" t="str">
        <f t="shared" si="9"/>
        <v>OK</v>
      </c>
    </row>
    <row r="85" spans="1:39" ht="17.25" hidden="1" thickBot="1">
      <c r="A85" s="87"/>
      <c r="B85" s="93"/>
      <c r="C85" s="94"/>
      <c r="D85" s="88"/>
      <c r="E85" s="88"/>
      <c r="F85" s="88"/>
      <c r="G85" s="89"/>
      <c r="H85" s="104"/>
      <c r="I85" s="105">
        <f t="shared" si="7"/>
        <v>0</v>
      </c>
      <c r="J85" s="90"/>
      <c r="K85" s="91"/>
      <c r="L85" s="113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5"/>
      <c r="AL85" s="92">
        <f t="shared" si="10"/>
        <v>0</v>
      </c>
      <c r="AM85" s="122" t="str">
        <f t="shared" si="9"/>
        <v>OK</v>
      </c>
    </row>
    <row r="86" spans="1:39" ht="17.25" hidden="1" thickBot="1">
      <c r="A86" s="68"/>
      <c r="B86" s="78"/>
      <c r="C86" s="95"/>
      <c r="D86" s="83"/>
      <c r="E86" s="83"/>
      <c r="F86" s="83"/>
      <c r="G86" s="84"/>
      <c r="H86" s="102"/>
      <c r="I86" s="106">
        <f t="shared" si="7"/>
        <v>0</v>
      </c>
      <c r="J86" s="85"/>
      <c r="K86" s="16"/>
      <c r="L86" s="116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66">
        <f t="shared" si="10"/>
        <v>0</v>
      </c>
      <c r="AM86" s="28" t="str">
        <f t="shared" si="9"/>
        <v>OK</v>
      </c>
    </row>
    <row r="87" spans="1:39" ht="17.25" hidden="1" thickBot="1">
      <c r="A87" s="87"/>
      <c r="B87" s="93"/>
      <c r="C87" s="94"/>
      <c r="D87" s="88"/>
      <c r="E87" s="88"/>
      <c r="F87" s="88"/>
      <c r="G87" s="89"/>
      <c r="H87" s="104"/>
      <c r="I87" s="105">
        <f t="shared" si="7"/>
        <v>0</v>
      </c>
      <c r="J87" s="90"/>
      <c r="K87" s="91"/>
      <c r="L87" s="113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5"/>
      <c r="AL87" s="92">
        <f t="shared" si="10"/>
        <v>0</v>
      </c>
      <c r="AM87" s="122" t="str">
        <f t="shared" si="9"/>
        <v>OK</v>
      </c>
    </row>
    <row r="88" spans="1:39" ht="17.25" hidden="1" thickBot="1">
      <c r="A88" s="68"/>
      <c r="B88" s="78"/>
      <c r="C88" s="95"/>
      <c r="D88" s="83"/>
      <c r="E88" s="83"/>
      <c r="F88" s="83"/>
      <c r="G88" s="84"/>
      <c r="H88" s="102"/>
      <c r="I88" s="106">
        <f t="shared" si="7"/>
        <v>0</v>
      </c>
      <c r="J88" s="85"/>
      <c r="K88" s="16"/>
      <c r="L88" s="116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66">
        <f t="shared" si="10"/>
        <v>0</v>
      </c>
      <c r="AM88" s="28" t="str">
        <f t="shared" si="9"/>
        <v>OK</v>
      </c>
    </row>
    <row r="89" spans="1:39" ht="17.25" hidden="1" thickBot="1">
      <c r="A89" s="87"/>
      <c r="B89" s="93"/>
      <c r="C89" s="94"/>
      <c r="D89" s="88"/>
      <c r="E89" s="88"/>
      <c r="F89" s="88"/>
      <c r="G89" s="89"/>
      <c r="H89" s="104"/>
      <c r="I89" s="105">
        <f t="shared" si="7"/>
        <v>0</v>
      </c>
      <c r="J89" s="90"/>
      <c r="K89" s="91"/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5"/>
      <c r="AL89" s="92">
        <f t="shared" si="10"/>
        <v>0</v>
      </c>
      <c r="AM89" s="122" t="str">
        <f t="shared" si="9"/>
        <v>OK</v>
      </c>
    </row>
    <row r="90" spans="1:39" ht="17.25" hidden="1" thickBot="1">
      <c r="A90" s="68"/>
      <c r="B90" s="78"/>
      <c r="C90" s="95"/>
      <c r="D90" s="83"/>
      <c r="E90" s="83"/>
      <c r="F90" s="83"/>
      <c r="G90" s="84"/>
      <c r="H90" s="102"/>
      <c r="I90" s="106">
        <f t="shared" si="7"/>
        <v>0</v>
      </c>
      <c r="J90" s="85"/>
      <c r="K90" s="16"/>
      <c r="L90" s="116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66">
        <f t="shared" si="10"/>
        <v>0</v>
      </c>
      <c r="AM90" s="28" t="str">
        <f t="shared" si="9"/>
        <v>OK</v>
      </c>
    </row>
    <row r="91" spans="1:39" ht="17.25" hidden="1" thickBot="1">
      <c r="A91" s="87"/>
      <c r="B91" s="93"/>
      <c r="C91" s="94"/>
      <c r="D91" s="88"/>
      <c r="E91" s="88"/>
      <c r="F91" s="88"/>
      <c r="G91" s="89"/>
      <c r="H91" s="104"/>
      <c r="I91" s="105">
        <f t="shared" si="7"/>
        <v>0</v>
      </c>
      <c r="J91" s="90"/>
      <c r="K91" s="91"/>
      <c r="L91" s="113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5"/>
      <c r="AL91" s="92">
        <f t="shared" si="10"/>
        <v>0</v>
      </c>
      <c r="AM91" s="122" t="str">
        <f t="shared" si="9"/>
        <v>OK</v>
      </c>
    </row>
    <row r="92" spans="1:39" ht="17.25" hidden="1" thickBot="1">
      <c r="A92" s="68"/>
      <c r="B92" s="78"/>
      <c r="C92" s="95"/>
      <c r="D92" s="83"/>
      <c r="E92" s="83"/>
      <c r="F92" s="83"/>
      <c r="G92" s="84"/>
      <c r="H92" s="102"/>
      <c r="I92" s="106">
        <f t="shared" si="7"/>
        <v>0</v>
      </c>
      <c r="J92" s="85"/>
      <c r="K92" s="16"/>
      <c r="L92" s="116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66">
        <f t="shared" si="10"/>
        <v>0</v>
      </c>
      <c r="AM92" s="28" t="str">
        <f t="shared" si="9"/>
        <v>OK</v>
      </c>
    </row>
    <row r="93" spans="1:39" ht="17.25" hidden="1" thickBot="1">
      <c r="A93" s="87"/>
      <c r="B93" s="93"/>
      <c r="C93" s="94"/>
      <c r="D93" s="88"/>
      <c r="E93" s="88"/>
      <c r="F93" s="88"/>
      <c r="G93" s="89"/>
      <c r="H93" s="104"/>
      <c r="I93" s="105">
        <f t="shared" si="7"/>
        <v>0</v>
      </c>
      <c r="J93" s="90"/>
      <c r="K93" s="91"/>
      <c r="L93" s="113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5"/>
      <c r="AL93" s="92">
        <f t="shared" si="10"/>
        <v>0</v>
      </c>
      <c r="AM93" s="122" t="str">
        <f t="shared" si="9"/>
        <v>OK</v>
      </c>
    </row>
    <row r="94" spans="1:39" ht="17.25" hidden="1" thickBot="1">
      <c r="A94" s="68"/>
      <c r="B94" s="78"/>
      <c r="C94" s="95"/>
      <c r="D94" s="83"/>
      <c r="E94" s="83"/>
      <c r="F94" s="83"/>
      <c r="G94" s="84"/>
      <c r="H94" s="102"/>
      <c r="I94" s="106">
        <f t="shared" si="7"/>
        <v>0</v>
      </c>
      <c r="J94" s="85"/>
      <c r="K94" s="16"/>
      <c r="L94" s="116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66">
        <f t="shared" si="10"/>
        <v>0</v>
      </c>
      <c r="AM94" s="28" t="str">
        <f t="shared" si="9"/>
        <v>OK</v>
      </c>
    </row>
    <row r="95" spans="1:39" ht="17.25" hidden="1" thickBot="1">
      <c r="A95" s="87"/>
      <c r="B95" s="93"/>
      <c r="C95" s="94"/>
      <c r="D95" s="88"/>
      <c r="E95" s="88"/>
      <c r="F95" s="88"/>
      <c r="G95" s="89"/>
      <c r="H95" s="104"/>
      <c r="I95" s="105">
        <f t="shared" si="7"/>
        <v>0</v>
      </c>
      <c r="J95" s="90"/>
      <c r="K95" s="91"/>
      <c r="L95" s="113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5"/>
      <c r="AL95" s="92">
        <f t="shared" si="10"/>
        <v>0</v>
      </c>
      <c r="AM95" s="122" t="str">
        <f t="shared" si="9"/>
        <v>OK</v>
      </c>
    </row>
    <row r="96" spans="1:39" ht="17.25" hidden="1" thickBot="1">
      <c r="A96" s="97"/>
      <c r="B96" s="98"/>
      <c r="C96" s="99"/>
      <c r="D96" s="83"/>
      <c r="E96" s="83"/>
      <c r="F96" s="83"/>
      <c r="G96" s="84"/>
      <c r="H96" s="107"/>
      <c r="I96" s="108">
        <f t="shared" si="7"/>
        <v>0</v>
      </c>
      <c r="J96" s="85"/>
      <c r="K96" s="16"/>
      <c r="L96" s="119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1"/>
      <c r="AL96" s="66">
        <f t="shared" si="10"/>
        <v>0</v>
      </c>
      <c r="AM96" s="28" t="str">
        <f t="shared" si="9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29919</v>
      </c>
      <c r="I97" s="46">
        <f>SUM(I6:I96)</f>
        <v>4</v>
      </c>
      <c r="J97" s="47">
        <f>SUM(J6:J74)</f>
        <v>0</v>
      </c>
      <c r="K97" s="9"/>
      <c r="L97" s="45">
        <f>SUM(L6:L96)</f>
        <v>1</v>
      </c>
      <c r="M97" s="45">
        <f t="shared" ref="M97:AI97" si="11">SUM(M6:M96)</f>
        <v>0</v>
      </c>
      <c r="N97" s="45">
        <f t="shared" si="11"/>
        <v>0</v>
      </c>
      <c r="O97" s="45">
        <f t="shared" si="11"/>
        <v>0</v>
      </c>
      <c r="P97" s="45">
        <f t="shared" si="11"/>
        <v>0</v>
      </c>
      <c r="Q97" s="45">
        <f t="shared" si="11"/>
        <v>0</v>
      </c>
      <c r="R97" s="45">
        <f t="shared" si="11"/>
        <v>0</v>
      </c>
      <c r="S97" s="45">
        <f t="shared" si="11"/>
        <v>0</v>
      </c>
      <c r="T97" s="45">
        <f t="shared" si="11"/>
        <v>0</v>
      </c>
      <c r="U97" s="45">
        <f t="shared" si="11"/>
        <v>0</v>
      </c>
      <c r="V97" s="45">
        <f t="shared" si="11"/>
        <v>0</v>
      </c>
      <c r="W97" s="45">
        <f t="shared" si="11"/>
        <v>0</v>
      </c>
      <c r="X97" s="45">
        <f t="shared" si="11"/>
        <v>0</v>
      </c>
      <c r="Y97" s="45">
        <f t="shared" si="11"/>
        <v>0</v>
      </c>
      <c r="Z97" s="45">
        <f t="shared" si="11"/>
        <v>0</v>
      </c>
      <c r="AA97" s="45">
        <f t="shared" si="11"/>
        <v>0</v>
      </c>
      <c r="AB97" s="45">
        <f t="shared" si="11"/>
        <v>0</v>
      </c>
      <c r="AC97" s="45">
        <f t="shared" si="11"/>
        <v>0</v>
      </c>
      <c r="AD97" s="45">
        <f t="shared" si="11"/>
        <v>0</v>
      </c>
      <c r="AE97" s="45">
        <f t="shared" si="11"/>
        <v>0</v>
      </c>
      <c r="AF97" s="45">
        <f t="shared" si="11"/>
        <v>0</v>
      </c>
      <c r="AG97" s="45">
        <f t="shared" si="11"/>
        <v>0</v>
      </c>
      <c r="AH97" s="45">
        <f t="shared" si="11"/>
        <v>0</v>
      </c>
      <c r="AI97" s="45">
        <f t="shared" si="11"/>
        <v>3</v>
      </c>
      <c r="AJ97" s="49">
        <f>SUM(AJ6:AJ96)</f>
        <v>0</v>
      </c>
      <c r="AK97" s="61">
        <f>SUM(AK6:AK96)</f>
        <v>0</v>
      </c>
      <c r="AL97" s="67">
        <f>SUM(AL6:AL96)</f>
        <v>4</v>
      </c>
      <c r="AM97" s="48" t="str">
        <f>IF(AL97=SUM(I97),"OK","NG")</f>
        <v>OK</v>
      </c>
    </row>
    <row r="101" spans="1:39">
      <c r="H101" s="86"/>
    </row>
  </sheetData>
  <autoFilter ref="A5:AM97" xr:uid="{00000000-0001-0000-0C00-000000000000}">
    <filterColumn colId="8">
      <filters>
        <filter val="1"/>
        <filter val="3"/>
        <filter val="4"/>
      </filters>
    </filterColumn>
  </autoFilter>
  <mergeCells count="37">
    <mergeCell ref="AM4:AM5"/>
    <mergeCell ref="AG4:AG5"/>
    <mergeCell ref="AH4:AH5"/>
    <mergeCell ref="AI4:AI5"/>
    <mergeCell ref="AJ4:AJ5"/>
    <mergeCell ref="AK4:AK5"/>
    <mergeCell ref="AL4:AL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B1:C1"/>
    <mergeCell ref="F1:G1"/>
    <mergeCell ref="H1:J3"/>
    <mergeCell ref="B2:C2"/>
    <mergeCell ref="AM2:AM3"/>
    <mergeCell ref="B3:C3"/>
  </mergeCells>
  <phoneticPr fontId="3" type="noConversion"/>
  <conditionalFormatting sqref="A4 AM6:AM97">
    <cfRule type="containsText" dxfId="53" priority="7" operator="containsText" text="NG">
      <formula>NOT(ISERROR(SEARCH("NG",A4)))</formula>
    </cfRule>
    <cfRule type="containsText" dxfId="52" priority="8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51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 filterMode="1">
    <pageSetUpPr fitToPage="1"/>
  </sheetPr>
  <dimension ref="A1:AM100"/>
  <sheetViews>
    <sheetView showGridLines="0" zoomScale="85" zoomScaleNormal="85" workbookViewId="0">
      <pane ySplit="5" topLeftCell="A33" activePane="bottomLeft" state="frozen"/>
      <selection activeCell="P19" sqref="P19"/>
      <selection pane="bottomLeft" activeCell="O106" sqref="O106"/>
    </sheetView>
  </sheetViews>
  <sheetFormatPr defaultColWidth="9" defaultRowHeight="16.5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16" width="8.75"/>
    <col min="17" max="20" width="9" customWidth="1"/>
    <col min="21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5" customHeight="1" thickBot="1">
      <c r="A1" s="37" t="s">
        <v>13</v>
      </c>
      <c r="B1" s="168">
        <f>H97</f>
        <v>23290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4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5" customHeight="1" thickBot="1">
      <c r="A2" s="37" t="s">
        <v>14</v>
      </c>
      <c r="B2" s="173">
        <f>I97</f>
        <v>10</v>
      </c>
      <c r="C2" s="174"/>
      <c r="D2" s="75"/>
      <c r="E2" s="71"/>
      <c r="F2" s="2"/>
      <c r="G2" s="2"/>
      <c r="H2" s="171"/>
      <c r="I2" s="171"/>
      <c r="J2" s="171"/>
      <c r="K2" s="3"/>
      <c r="L2" s="4">
        <f t="shared" ref="L2:AK2" si="0">SUBTOTAL(9,L6:L96)</f>
        <v>3</v>
      </c>
      <c r="M2" s="4">
        <f t="shared" si="0"/>
        <v>0</v>
      </c>
      <c r="N2" s="4">
        <f t="shared" si="0"/>
        <v>2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39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0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5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0</v>
      </c>
      <c r="AH2" s="5">
        <f t="shared" si="0"/>
        <v>0</v>
      </c>
      <c r="AI2" s="5">
        <f t="shared" si="0"/>
        <v>0</v>
      </c>
      <c r="AJ2" s="5">
        <f t="shared" si="0"/>
        <v>0</v>
      </c>
      <c r="AK2" s="59">
        <f t="shared" si="0"/>
        <v>0</v>
      </c>
      <c r="AL2" s="62">
        <f>SUBTOTAL(9,AL6:AL96)</f>
        <v>10</v>
      </c>
      <c r="AM2" s="175"/>
    </row>
    <row r="3" spans="1:39" customFormat="1" ht="22.5" customHeight="1" thickBot="1">
      <c r="A3" s="38" t="s">
        <v>15</v>
      </c>
      <c r="B3" s="177">
        <f>IF(ISERROR(B2/(B2+B1)*1000000),"",(B2/(B2+B1)*1000000))</f>
        <v>429.18454935622316</v>
      </c>
      <c r="C3" s="178"/>
      <c r="D3" s="73"/>
      <c r="E3" s="72"/>
      <c r="F3" s="32"/>
      <c r="G3" s="32"/>
      <c r="H3" s="172"/>
      <c r="I3" s="172"/>
      <c r="J3" s="172"/>
      <c r="K3" s="6"/>
      <c r="L3" s="7">
        <f t="shared" ref="L3:AK3" si="1">SUM(L6:L96)</f>
        <v>3</v>
      </c>
      <c r="M3" s="7">
        <f t="shared" si="1"/>
        <v>0</v>
      </c>
      <c r="N3" s="7">
        <f t="shared" si="1"/>
        <v>2</v>
      </c>
      <c r="O3" s="7">
        <f t="shared" si="1"/>
        <v>0</v>
      </c>
      <c r="P3" s="7">
        <f t="shared" si="1"/>
        <v>0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40">
        <f t="shared" si="1"/>
        <v>0</v>
      </c>
      <c r="U3" s="8">
        <f t="shared" si="1"/>
        <v>0</v>
      </c>
      <c r="V3" s="8">
        <f t="shared" si="1"/>
        <v>0</v>
      </c>
      <c r="W3" s="8">
        <f t="shared" si="1"/>
        <v>0</v>
      </c>
      <c r="X3" s="8">
        <f t="shared" si="1"/>
        <v>0</v>
      </c>
      <c r="Y3" s="8">
        <f t="shared" si="1"/>
        <v>0</v>
      </c>
      <c r="Z3" s="8">
        <f t="shared" si="1"/>
        <v>0</v>
      </c>
      <c r="AA3" s="8">
        <f t="shared" si="1"/>
        <v>0</v>
      </c>
      <c r="AB3" s="8">
        <f t="shared" si="1"/>
        <v>0</v>
      </c>
      <c r="AC3" s="8">
        <f t="shared" si="1"/>
        <v>5</v>
      </c>
      <c r="AD3" s="8">
        <f t="shared" si="1"/>
        <v>0</v>
      </c>
      <c r="AE3" s="8">
        <f t="shared" si="1"/>
        <v>0</v>
      </c>
      <c r="AF3" s="8">
        <f t="shared" si="1"/>
        <v>0</v>
      </c>
      <c r="AG3" s="8">
        <f t="shared" si="1"/>
        <v>0</v>
      </c>
      <c r="AH3" s="8">
        <f t="shared" si="1"/>
        <v>0</v>
      </c>
      <c r="AI3" s="8">
        <f t="shared" si="1"/>
        <v>0</v>
      </c>
      <c r="AJ3" s="8">
        <f t="shared" si="1"/>
        <v>0</v>
      </c>
      <c r="AK3" s="60">
        <f t="shared" si="1"/>
        <v>0</v>
      </c>
      <c r="AL3" s="63">
        <f>SUM(AL6:AL96)</f>
        <v>10</v>
      </c>
      <c r="AM3" s="176"/>
    </row>
    <row r="4" spans="1:39" customFormat="1" ht="43.5" customHeight="1">
      <c r="A4" s="163" t="str">
        <f>AM97</f>
        <v>OK</v>
      </c>
      <c r="B4" s="163"/>
      <c r="C4" s="163"/>
      <c r="D4" s="164"/>
      <c r="E4" s="165" t="s">
        <v>16</v>
      </c>
      <c r="F4" s="165"/>
      <c r="G4" s="165"/>
      <c r="H4" s="165" t="s">
        <v>17</v>
      </c>
      <c r="I4" s="165"/>
      <c r="J4" s="165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1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56" t="s">
        <v>12</v>
      </c>
      <c r="AL4" s="158" t="s">
        <v>36</v>
      </c>
      <c r="AM4" s="149" t="s">
        <v>37</v>
      </c>
    </row>
    <row r="5" spans="1:39" customFormat="1" ht="33.75" thickBot="1">
      <c r="A5" s="34" t="s">
        <v>3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137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6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3"/>
      <c r="AJ5" s="155"/>
      <c r="AK5" s="157"/>
      <c r="AL5" s="159"/>
      <c r="AM5" s="150"/>
    </row>
    <row r="6" spans="1:39" customFormat="1" hidden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34"/>
      <c r="I6" s="15">
        <f>SUM(L6:AK6)</f>
        <v>0</v>
      </c>
      <c r="J6" s="15"/>
      <c r="K6" s="16"/>
      <c r="L6" s="15"/>
      <c r="M6" s="15"/>
      <c r="N6" s="15"/>
      <c r="O6" s="15"/>
      <c r="P6" s="15"/>
      <c r="Q6" s="15"/>
      <c r="R6" s="15"/>
      <c r="S6" s="15"/>
      <c r="T6" s="41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3"/>
      <c r="AJ6" s="56"/>
      <c r="AK6" s="53"/>
      <c r="AL6" s="64">
        <f>SUM(L6:AK6)</f>
        <v>0</v>
      </c>
      <c r="AM6" s="31" t="str">
        <f t="shared" ref="AM6:AM74" si="2">IF(AL6=I6,"OK","NG")</f>
        <v>OK</v>
      </c>
    </row>
    <row r="7" spans="1:39" customFormat="1" hidden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135"/>
      <c r="I7" s="21">
        <f t="shared" ref="I7:I70" si="3">SUM(L7:AK7)</f>
        <v>0</v>
      </c>
      <c r="J7" s="21"/>
      <c r="K7" s="16"/>
      <c r="L7" s="21"/>
      <c r="M7" s="21"/>
      <c r="N7" s="21"/>
      <c r="O7" s="21"/>
      <c r="P7" s="21"/>
      <c r="Q7" s="21"/>
      <c r="R7" s="21"/>
      <c r="S7" s="21"/>
      <c r="T7" s="42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4"/>
      <c r="AJ7" s="57"/>
      <c r="AK7" s="54"/>
      <c r="AL7" s="65">
        <f t="shared" ref="AL7:AL74" si="4">SUM(L7:AK7)</f>
        <v>0</v>
      </c>
      <c r="AM7" s="22" t="str">
        <f t="shared" si="2"/>
        <v>OK</v>
      </c>
    </row>
    <row r="8" spans="1:39" customFormat="1" hidden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36"/>
      <c r="I8" s="27">
        <f t="shared" si="3"/>
        <v>0</v>
      </c>
      <c r="J8" s="27"/>
      <c r="K8" s="16"/>
      <c r="L8" s="27"/>
      <c r="M8" s="27"/>
      <c r="N8" s="27"/>
      <c r="O8" s="27"/>
      <c r="P8" s="27"/>
      <c r="Q8" s="27"/>
      <c r="R8" s="27"/>
      <c r="S8" s="27"/>
      <c r="T8" s="4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5"/>
      <c r="AJ8" s="58"/>
      <c r="AK8" s="55"/>
      <c r="AL8" s="66">
        <f t="shared" si="4"/>
        <v>0</v>
      </c>
      <c r="AM8" s="28" t="str">
        <f t="shared" si="2"/>
        <v>OK</v>
      </c>
    </row>
    <row r="9" spans="1:39" customFormat="1" hidden="1">
      <c r="A9" s="17" t="s">
        <v>68</v>
      </c>
      <c r="B9" s="77">
        <v>10897</v>
      </c>
      <c r="C9" s="17" t="s">
        <v>62</v>
      </c>
      <c r="D9" s="69"/>
      <c r="E9" s="18"/>
      <c r="F9" s="18"/>
      <c r="G9" s="19"/>
      <c r="H9" s="135"/>
      <c r="I9" s="21">
        <f t="shared" si="3"/>
        <v>0</v>
      </c>
      <c r="J9" s="21"/>
      <c r="K9" s="16"/>
      <c r="L9" s="21"/>
      <c r="M9" s="21"/>
      <c r="N9" s="21"/>
      <c r="O9" s="21"/>
      <c r="P9" s="21"/>
      <c r="Q9" s="21"/>
      <c r="R9" s="21"/>
      <c r="S9" s="21"/>
      <c r="T9" s="42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4"/>
      <c r="AJ9" s="57"/>
      <c r="AK9" s="54"/>
      <c r="AL9" s="65">
        <f t="shared" si="4"/>
        <v>0</v>
      </c>
      <c r="AM9" s="22" t="str">
        <f t="shared" si="2"/>
        <v>OK</v>
      </c>
    </row>
    <row r="10" spans="1:39" customFormat="1" hidden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36"/>
      <c r="I10" s="27">
        <f t="shared" si="3"/>
        <v>0</v>
      </c>
      <c r="J10" s="27"/>
      <c r="K10" s="16"/>
      <c r="L10" s="27"/>
      <c r="M10" s="27"/>
      <c r="N10" s="27"/>
      <c r="O10" s="27"/>
      <c r="P10" s="27"/>
      <c r="Q10" s="27"/>
      <c r="R10" s="27"/>
      <c r="S10" s="27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5"/>
      <c r="AJ10" s="58"/>
      <c r="AK10" s="55"/>
      <c r="AL10" s="66">
        <f t="shared" si="4"/>
        <v>0</v>
      </c>
      <c r="AM10" s="28" t="str">
        <f t="shared" si="2"/>
        <v>OK</v>
      </c>
    </row>
    <row r="11" spans="1:39" customFormat="1" hidden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135"/>
      <c r="I11" s="21">
        <f t="shared" si="3"/>
        <v>0</v>
      </c>
      <c r="J11" s="21"/>
      <c r="K11" s="16"/>
      <c r="L11" s="21"/>
      <c r="M11" s="21"/>
      <c r="N11" s="21"/>
      <c r="O11" s="21"/>
      <c r="P11" s="21"/>
      <c r="Q11" s="21"/>
      <c r="R11" s="21"/>
      <c r="S11" s="21"/>
      <c r="T11" s="42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4"/>
      <c r="AJ11" s="57"/>
      <c r="AK11" s="54"/>
      <c r="AL11" s="65">
        <f t="shared" si="4"/>
        <v>0</v>
      </c>
      <c r="AM11" s="22" t="str">
        <f t="shared" si="2"/>
        <v>OK</v>
      </c>
    </row>
    <row r="12" spans="1:39" customFormat="1" hidden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36"/>
      <c r="I12" s="27">
        <f t="shared" si="3"/>
        <v>0</v>
      </c>
      <c r="J12" s="27"/>
      <c r="K12" s="16"/>
      <c r="L12" s="27"/>
      <c r="M12" s="27"/>
      <c r="N12" s="27"/>
      <c r="O12" s="27"/>
      <c r="P12" s="27"/>
      <c r="Q12" s="27"/>
      <c r="R12" s="27"/>
      <c r="S12" s="27"/>
      <c r="T12" s="43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8"/>
      <c r="AK12" s="55"/>
      <c r="AL12" s="66">
        <f t="shared" si="4"/>
        <v>0</v>
      </c>
      <c r="AM12" s="28" t="str">
        <f t="shared" si="2"/>
        <v>OK</v>
      </c>
    </row>
    <row r="13" spans="1:39" customFormat="1" hidden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135"/>
      <c r="I13" s="21">
        <f t="shared" si="3"/>
        <v>0</v>
      </c>
      <c r="J13" s="21"/>
      <c r="K13" s="16"/>
      <c r="L13" s="21"/>
      <c r="M13" s="21"/>
      <c r="N13" s="21"/>
      <c r="O13" s="21"/>
      <c r="P13" s="21"/>
      <c r="Q13" s="21"/>
      <c r="R13" s="21"/>
      <c r="S13" s="21"/>
      <c r="T13" s="4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4"/>
      <c r="AJ13" s="57"/>
      <c r="AK13" s="54"/>
      <c r="AL13" s="65">
        <f t="shared" si="4"/>
        <v>0</v>
      </c>
      <c r="AM13" s="22" t="str">
        <f t="shared" si="2"/>
        <v>OK</v>
      </c>
    </row>
    <row r="14" spans="1:39" customFormat="1" hidden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36"/>
      <c r="I14" s="27">
        <f t="shared" si="3"/>
        <v>0</v>
      </c>
      <c r="J14" s="27"/>
      <c r="K14" s="16"/>
      <c r="L14" s="27"/>
      <c r="M14" s="27"/>
      <c r="N14" s="27"/>
      <c r="O14" s="27"/>
      <c r="P14" s="27"/>
      <c r="Q14" s="27"/>
      <c r="R14" s="27"/>
      <c r="S14" s="27"/>
      <c r="T14" s="43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5"/>
      <c r="AJ14" s="58"/>
      <c r="AK14" s="55"/>
      <c r="AL14" s="66">
        <f t="shared" si="4"/>
        <v>0</v>
      </c>
      <c r="AM14" s="28" t="str">
        <f t="shared" si="2"/>
        <v>OK</v>
      </c>
    </row>
    <row r="15" spans="1:39" customFormat="1" hidden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135"/>
      <c r="I15" s="21">
        <f t="shared" si="3"/>
        <v>0</v>
      </c>
      <c r="J15" s="21"/>
      <c r="K15" s="16"/>
      <c r="L15" s="21"/>
      <c r="M15" s="21"/>
      <c r="N15" s="21"/>
      <c r="O15" s="21"/>
      <c r="P15" s="21"/>
      <c r="Q15" s="21"/>
      <c r="R15" s="21"/>
      <c r="S15" s="21"/>
      <c r="T15" s="42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4"/>
      <c r="AJ15" s="57"/>
      <c r="AK15" s="54"/>
      <c r="AL15" s="65">
        <f t="shared" si="4"/>
        <v>0</v>
      </c>
      <c r="AM15" s="22" t="str">
        <f t="shared" si="2"/>
        <v>OK</v>
      </c>
    </row>
    <row r="16" spans="1:39" customFormat="1" hidden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36"/>
      <c r="I16" s="27">
        <f t="shared" si="3"/>
        <v>0</v>
      </c>
      <c r="J16" s="27"/>
      <c r="K16" s="16"/>
      <c r="L16" s="27"/>
      <c r="M16" s="27"/>
      <c r="N16" s="27"/>
      <c r="O16" s="27"/>
      <c r="P16" s="27"/>
      <c r="Q16" s="27"/>
      <c r="R16" s="27"/>
      <c r="S16" s="27"/>
      <c r="T16" s="43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8"/>
      <c r="AK16" s="55"/>
      <c r="AL16" s="66">
        <f t="shared" si="4"/>
        <v>0</v>
      </c>
      <c r="AM16" s="28" t="str">
        <f t="shared" si="2"/>
        <v>OK</v>
      </c>
    </row>
    <row r="17" spans="1:39" customFormat="1" hidden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135"/>
      <c r="I17" s="21">
        <f t="shared" si="3"/>
        <v>0</v>
      </c>
      <c r="J17" s="21"/>
      <c r="K17" s="16"/>
      <c r="L17" s="21"/>
      <c r="M17" s="21"/>
      <c r="N17" s="21"/>
      <c r="O17" s="21"/>
      <c r="P17" s="21"/>
      <c r="Q17" s="21"/>
      <c r="R17" s="21"/>
      <c r="S17" s="21"/>
      <c r="T17" s="42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4"/>
      <c r="AJ17" s="57"/>
      <c r="AK17" s="54"/>
      <c r="AL17" s="65">
        <f t="shared" si="4"/>
        <v>0</v>
      </c>
      <c r="AM17" s="22" t="str">
        <f t="shared" si="2"/>
        <v>OK</v>
      </c>
    </row>
    <row r="18" spans="1:39" customFormat="1" hidden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36"/>
      <c r="I18" s="27">
        <f t="shared" si="3"/>
        <v>0</v>
      </c>
      <c r="J18" s="27"/>
      <c r="K18" s="16"/>
      <c r="L18" s="27"/>
      <c r="M18" s="27"/>
      <c r="N18" s="27"/>
      <c r="O18" s="27"/>
      <c r="P18" s="27"/>
      <c r="Q18" s="27"/>
      <c r="R18" s="27"/>
      <c r="S18" s="27"/>
      <c r="T18" s="43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8"/>
      <c r="AK18" s="55"/>
      <c r="AL18" s="66">
        <f t="shared" si="4"/>
        <v>0</v>
      </c>
      <c r="AM18" s="28" t="str">
        <f t="shared" si="2"/>
        <v>OK</v>
      </c>
    </row>
    <row r="19" spans="1:39" customFormat="1" hidden="1">
      <c r="A19" s="17" t="s">
        <v>91</v>
      </c>
      <c r="B19" s="77">
        <v>14988</v>
      </c>
      <c r="C19" s="17" t="s">
        <v>64</v>
      </c>
      <c r="D19" s="69"/>
      <c r="E19" s="18"/>
      <c r="F19" s="18"/>
      <c r="G19" s="19"/>
      <c r="H19" s="135"/>
      <c r="I19" s="21">
        <f t="shared" si="3"/>
        <v>0</v>
      </c>
      <c r="J19" s="21"/>
      <c r="K19" s="16"/>
      <c r="L19" s="21"/>
      <c r="M19" s="21"/>
      <c r="N19" s="21"/>
      <c r="O19" s="21"/>
      <c r="P19" s="21"/>
      <c r="Q19" s="21"/>
      <c r="R19" s="21"/>
      <c r="S19" s="21"/>
      <c r="T19" s="42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4"/>
      <c r="AJ19" s="57"/>
      <c r="AK19" s="54"/>
      <c r="AL19" s="65">
        <f t="shared" si="4"/>
        <v>0</v>
      </c>
      <c r="AM19" s="22" t="str">
        <f t="shared" si="2"/>
        <v>OK</v>
      </c>
    </row>
    <row r="20" spans="1:39" customFormat="1" hidden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136"/>
      <c r="I20" s="27">
        <f t="shared" si="3"/>
        <v>0</v>
      </c>
      <c r="J20" s="27"/>
      <c r="K20" s="16"/>
      <c r="L20" s="27"/>
      <c r="M20" s="27"/>
      <c r="N20" s="27"/>
      <c r="O20" s="27"/>
      <c r="P20" s="27"/>
      <c r="Q20" s="27"/>
      <c r="R20" s="27"/>
      <c r="S20" s="27"/>
      <c r="T20" s="43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8"/>
      <c r="AK20" s="55"/>
      <c r="AL20" s="66">
        <f t="shared" si="4"/>
        <v>0</v>
      </c>
      <c r="AM20" s="28" t="str">
        <f t="shared" si="2"/>
        <v>OK</v>
      </c>
    </row>
    <row r="21" spans="1:39" customFormat="1" hidden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135"/>
      <c r="I21" s="21">
        <f t="shared" si="3"/>
        <v>0</v>
      </c>
      <c r="J21" s="21"/>
      <c r="K21" s="16"/>
      <c r="L21" s="21"/>
      <c r="M21" s="21"/>
      <c r="N21" s="21"/>
      <c r="O21" s="21"/>
      <c r="P21" s="21"/>
      <c r="Q21" s="21"/>
      <c r="R21" s="21"/>
      <c r="S21" s="21"/>
      <c r="T21" s="4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4"/>
      <c r="AJ21" s="57"/>
      <c r="AK21" s="54"/>
      <c r="AL21" s="65">
        <f t="shared" si="4"/>
        <v>0</v>
      </c>
      <c r="AM21" s="22" t="str">
        <f t="shared" si="2"/>
        <v>OK</v>
      </c>
    </row>
    <row r="22" spans="1:39" customFormat="1" hidden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36"/>
      <c r="I22" s="27">
        <f t="shared" si="3"/>
        <v>0</v>
      </c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43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5"/>
      <c r="AJ22" s="58"/>
      <c r="AK22" s="55"/>
      <c r="AL22" s="66">
        <f t="shared" si="4"/>
        <v>0</v>
      </c>
      <c r="AM22" s="28" t="str">
        <f t="shared" si="2"/>
        <v>OK</v>
      </c>
    </row>
    <row r="23" spans="1:39" customFormat="1" hidden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135"/>
      <c r="I23" s="21">
        <f t="shared" si="3"/>
        <v>0</v>
      </c>
      <c r="J23" s="21"/>
      <c r="K23" s="16"/>
      <c r="L23" s="21"/>
      <c r="M23" s="21"/>
      <c r="N23" s="21"/>
      <c r="O23" s="21"/>
      <c r="P23" s="21"/>
      <c r="Q23" s="21"/>
      <c r="R23" s="21"/>
      <c r="S23" s="21"/>
      <c r="T23" s="42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7"/>
      <c r="AK23" s="54"/>
      <c r="AL23" s="65">
        <f>SUM(L23:AK23)</f>
        <v>0</v>
      </c>
      <c r="AM23" s="22" t="str">
        <f t="shared" si="2"/>
        <v>OK</v>
      </c>
    </row>
    <row r="24" spans="1:39" customFormat="1" hidden="1">
      <c r="A24" s="68" t="s">
        <v>44</v>
      </c>
      <c r="B24" s="78">
        <v>10163</v>
      </c>
      <c r="C24" s="23" t="s">
        <v>45</v>
      </c>
      <c r="D24" s="24"/>
      <c r="E24" s="24"/>
      <c r="F24" s="24"/>
      <c r="G24" s="25"/>
      <c r="H24" s="136">
        <v>1650</v>
      </c>
      <c r="I24" s="27">
        <f t="shared" si="3"/>
        <v>0</v>
      </c>
      <c r="J24" s="27"/>
      <c r="K24" s="16"/>
      <c r="L24" s="27"/>
      <c r="M24" s="27"/>
      <c r="N24" s="27"/>
      <c r="O24" s="27"/>
      <c r="P24" s="27"/>
      <c r="Q24" s="27"/>
      <c r="R24" s="27"/>
      <c r="S24" s="27"/>
      <c r="T24" s="43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5"/>
      <c r="AJ24" s="58"/>
      <c r="AK24" s="55"/>
      <c r="AL24" s="66">
        <f t="shared" si="4"/>
        <v>0</v>
      </c>
      <c r="AM24" s="28" t="str">
        <f t="shared" si="2"/>
        <v>OK</v>
      </c>
    </row>
    <row r="25" spans="1:39" customFormat="1" hidden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135"/>
      <c r="I25" s="21">
        <f t="shared" si="3"/>
        <v>0</v>
      </c>
      <c r="J25" s="21"/>
      <c r="K25" s="16"/>
      <c r="L25" s="21"/>
      <c r="M25" s="21"/>
      <c r="N25" s="21"/>
      <c r="O25" s="21"/>
      <c r="P25" s="21"/>
      <c r="Q25" s="21"/>
      <c r="R25" s="21"/>
      <c r="S25" s="21"/>
      <c r="T25" s="42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4"/>
      <c r="AJ25" s="57"/>
      <c r="AK25" s="54"/>
      <c r="AL25" s="65">
        <f t="shared" si="4"/>
        <v>0</v>
      </c>
      <c r="AM25" s="22" t="str">
        <f t="shared" si="2"/>
        <v>OK</v>
      </c>
    </row>
    <row r="26" spans="1:39" customFormat="1" hidden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36"/>
      <c r="I26" s="27">
        <f t="shared" si="3"/>
        <v>0</v>
      </c>
      <c r="J26" s="27"/>
      <c r="K26" s="16"/>
      <c r="L26" s="27"/>
      <c r="M26" s="27"/>
      <c r="N26" s="27"/>
      <c r="O26" s="27"/>
      <c r="P26" s="27"/>
      <c r="Q26" s="27"/>
      <c r="R26" s="27"/>
      <c r="S26" s="27"/>
      <c r="T26" s="43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8"/>
      <c r="AK26" s="55"/>
      <c r="AL26" s="66">
        <f t="shared" si="4"/>
        <v>0</v>
      </c>
      <c r="AM26" s="28" t="str">
        <f t="shared" si="2"/>
        <v>OK</v>
      </c>
    </row>
    <row r="27" spans="1:39" customFormat="1" hidden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135"/>
      <c r="I27" s="21">
        <f t="shared" si="3"/>
        <v>0</v>
      </c>
      <c r="J27" s="21"/>
      <c r="K27" s="16"/>
      <c r="L27" s="21"/>
      <c r="M27" s="21"/>
      <c r="N27" s="21"/>
      <c r="O27" s="21"/>
      <c r="P27" s="21"/>
      <c r="Q27" s="21"/>
      <c r="R27" s="21"/>
      <c r="S27" s="21"/>
      <c r="T27" s="4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7"/>
      <c r="AK27" s="54"/>
      <c r="AL27" s="65">
        <f t="shared" si="4"/>
        <v>0</v>
      </c>
      <c r="AM27" s="22" t="str">
        <f t="shared" si="2"/>
        <v>OK</v>
      </c>
    </row>
    <row r="28" spans="1:39" customFormat="1" hidden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136"/>
      <c r="I28" s="27">
        <f t="shared" si="3"/>
        <v>0</v>
      </c>
      <c r="J28" s="27"/>
      <c r="K28" s="16"/>
      <c r="L28" s="27"/>
      <c r="M28" s="27"/>
      <c r="N28" s="27"/>
      <c r="O28" s="27"/>
      <c r="P28" s="27"/>
      <c r="Q28" s="27"/>
      <c r="R28" s="27"/>
      <c r="S28" s="27"/>
      <c r="T28" s="43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5"/>
      <c r="AJ28" s="58"/>
      <c r="AK28" s="55"/>
      <c r="AL28" s="66">
        <f t="shared" si="4"/>
        <v>0</v>
      </c>
      <c r="AM28" s="28" t="str">
        <f t="shared" si="2"/>
        <v>OK</v>
      </c>
    </row>
    <row r="29" spans="1:39" customFormat="1" hidden="1">
      <c r="A29" s="80" t="s">
        <v>71</v>
      </c>
      <c r="B29" s="77">
        <v>10151</v>
      </c>
      <c r="C29" s="17" t="s">
        <v>51</v>
      </c>
      <c r="D29" s="69"/>
      <c r="E29" s="18"/>
      <c r="F29" s="18"/>
      <c r="G29" s="19"/>
      <c r="H29" s="135">
        <f>1320+660</f>
        <v>1980</v>
      </c>
      <c r="I29" s="21">
        <f t="shared" si="3"/>
        <v>0</v>
      </c>
      <c r="J29" s="21"/>
      <c r="K29" s="16"/>
      <c r="L29" s="21"/>
      <c r="M29" s="21"/>
      <c r="N29" s="21"/>
      <c r="O29" s="21"/>
      <c r="P29" s="21"/>
      <c r="Q29" s="21"/>
      <c r="R29" s="21"/>
      <c r="S29" s="21"/>
      <c r="T29" s="42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4"/>
      <c r="AJ29" s="57"/>
      <c r="AK29" s="54"/>
      <c r="AL29" s="65">
        <f t="shared" si="4"/>
        <v>0</v>
      </c>
      <c r="AM29" s="22" t="str">
        <f t="shared" si="2"/>
        <v>OK</v>
      </c>
    </row>
    <row r="30" spans="1:39" customFormat="1" hidden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137">
        <f>575+648</f>
        <v>1223</v>
      </c>
      <c r="I30" s="27">
        <f t="shared" si="3"/>
        <v>0</v>
      </c>
      <c r="J30" s="27"/>
      <c r="K30" s="16"/>
      <c r="L30" s="27"/>
      <c r="M30" s="27"/>
      <c r="N30" s="27"/>
      <c r="O30" s="27"/>
      <c r="P30" s="27"/>
      <c r="Q30" s="27"/>
      <c r="R30" s="27"/>
      <c r="S30" s="27"/>
      <c r="T30" s="43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5"/>
      <c r="AJ30" s="58"/>
      <c r="AK30" s="55"/>
      <c r="AL30" s="66">
        <f t="shared" si="4"/>
        <v>0</v>
      </c>
      <c r="AM30" s="28" t="str">
        <f t="shared" si="2"/>
        <v>OK</v>
      </c>
    </row>
    <row r="31" spans="1:39" customFormat="1" hidden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135"/>
      <c r="I31" s="21">
        <f t="shared" si="3"/>
        <v>0</v>
      </c>
      <c r="J31" s="21"/>
      <c r="K31" s="16"/>
      <c r="L31" s="21"/>
      <c r="M31" s="21"/>
      <c r="N31" s="21"/>
      <c r="O31" s="21"/>
      <c r="P31" s="21"/>
      <c r="Q31" s="21"/>
      <c r="R31" s="21"/>
      <c r="S31" s="21"/>
      <c r="T31" s="4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7"/>
      <c r="AK31" s="54"/>
      <c r="AL31" s="65">
        <f t="shared" si="4"/>
        <v>0</v>
      </c>
      <c r="AM31" s="22" t="str">
        <f t="shared" si="2"/>
        <v>OK</v>
      </c>
    </row>
    <row r="32" spans="1:39" customFormat="1" hidden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136"/>
      <c r="I32" s="27">
        <f t="shared" si="3"/>
        <v>0</v>
      </c>
      <c r="J32" s="27"/>
      <c r="K32" s="16"/>
      <c r="L32" s="27"/>
      <c r="M32" s="27"/>
      <c r="N32" s="27"/>
      <c r="O32" s="27"/>
      <c r="P32" s="27"/>
      <c r="Q32" s="27"/>
      <c r="R32" s="27"/>
      <c r="S32" s="27"/>
      <c r="T32" s="43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5"/>
      <c r="AJ32" s="58"/>
      <c r="AK32" s="55"/>
      <c r="AL32" s="66">
        <f t="shared" si="4"/>
        <v>0</v>
      </c>
      <c r="AM32" s="28" t="str">
        <f t="shared" si="2"/>
        <v>OK</v>
      </c>
    </row>
    <row r="33" spans="1:39" customFormat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135">
        <v>2124</v>
      </c>
      <c r="I33" s="21">
        <f t="shared" si="3"/>
        <v>5</v>
      </c>
      <c r="J33" s="21"/>
      <c r="K33" s="16"/>
      <c r="L33" s="21">
        <v>2</v>
      </c>
      <c r="M33" s="21"/>
      <c r="N33" s="21">
        <v>2</v>
      </c>
      <c r="O33" s="21"/>
      <c r="P33" s="21"/>
      <c r="Q33" s="21"/>
      <c r="R33" s="21"/>
      <c r="S33" s="21"/>
      <c r="T33" s="42"/>
      <c r="U33" s="51"/>
      <c r="V33" s="51"/>
      <c r="W33" s="51"/>
      <c r="X33" s="51"/>
      <c r="Y33" s="51"/>
      <c r="Z33" s="51"/>
      <c r="AA33" s="51"/>
      <c r="AB33" s="51"/>
      <c r="AC33" s="51">
        <v>1</v>
      </c>
      <c r="AD33" s="51"/>
      <c r="AE33" s="51"/>
      <c r="AF33" s="51"/>
      <c r="AG33" s="51"/>
      <c r="AH33" s="51"/>
      <c r="AI33" s="54"/>
      <c r="AJ33" s="57"/>
      <c r="AK33" s="54"/>
      <c r="AL33" s="65">
        <f t="shared" si="4"/>
        <v>5</v>
      </c>
      <c r="AM33" s="22" t="str">
        <f t="shared" si="2"/>
        <v>OK</v>
      </c>
    </row>
    <row r="34" spans="1:39" customFormat="1" hidden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136">
        <v>1500</v>
      </c>
      <c r="I34" s="27">
        <f t="shared" si="3"/>
        <v>0</v>
      </c>
      <c r="J34" s="27"/>
      <c r="K34" s="16"/>
      <c r="L34" s="27"/>
      <c r="M34" s="27"/>
      <c r="N34" s="27"/>
      <c r="O34" s="27"/>
      <c r="P34" s="27"/>
      <c r="Q34" s="27"/>
      <c r="R34" s="27"/>
      <c r="S34" s="27"/>
      <c r="T34" s="43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5"/>
      <c r="AJ34" s="58"/>
      <c r="AK34" s="55"/>
      <c r="AL34" s="66">
        <f t="shared" si="4"/>
        <v>0</v>
      </c>
      <c r="AM34" s="28" t="str">
        <f t="shared" si="2"/>
        <v>OK</v>
      </c>
    </row>
    <row r="35" spans="1:39" customFormat="1" hidden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135"/>
      <c r="I35" s="21">
        <f t="shared" si="3"/>
        <v>0</v>
      </c>
      <c r="J35" s="21"/>
      <c r="K35" s="16"/>
      <c r="L35" s="21"/>
      <c r="M35" s="21"/>
      <c r="N35" s="21"/>
      <c r="O35" s="21"/>
      <c r="P35" s="21"/>
      <c r="Q35" s="21"/>
      <c r="R35" s="21"/>
      <c r="S35" s="21"/>
      <c r="T35" s="42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4"/>
      <c r="AJ35" s="57"/>
      <c r="AK35" s="54"/>
      <c r="AL35" s="65">
        <f t="shared" si="4"/>
        <v>0</v>
      </c>
      <c r="AM35" s="22" t="str">
        <f t="shared" si="2"/>
        <v>OK</v>
      </c>
    </row>
    <row r="36" spans="1:39" customFormat="1" hidden="1">
      <c r="A36" s="68" t="s">
        <v>76</v>
      </c>
      <c r="B36" s="78">
        <v>10135</v>
      </c>
      <c r="C36" s="23" t="s">
        <v>56</v>
      </c>
      <c r="D36" s="24"/>
      <c r="E36" s="24"/>
      <c r="F36" s="24"/>
      <c r="G36" s="25"/>
      <c r="H36" s="136"/>
      <c r="I36" s="27">
        <f t="shared" si="3"/>
        <v>0</v>
      </c>
      <c r="J36" s="27"/>
      <c r="K36" s="16"/>
      <c r="L36" s="27"/>
      <c r="M36" s="27"/>
      <c r="N36" s="27"/>
      <c r="O36" s="27"/>
      <c r="P36" s="27"/>
      <c r="Q36" s="27"/>
      <c r="R36" s="27"/>
      <c r="S36" s="27"/>
      <c r="T36" s="43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5"/>
      <c r="AJ36" s="58"/>
      <c r="AK36" s="55"/>
      <c r="AL36" s="66">
        <f t="shared" si="4"/>
        <v>0</v>
      </c>
      <c r="AM36" s="28" t="str">
        <f t="shared" si="2"/>
        <v>OK</v>
      </c>
    </row>
    <row r="37" spans="1:39" customFormat="1">
      <c r="A37" s="80" t="s">
        <v>77</v>
      </c>
      <c r="B37" s="77">
        <v>10133</v>
      </c>
      <c r="C37" s="17" t="s">
        <v>55</v>
      </c>
      <c r="D37" s="69"/>
      <c r="E37" s="18"/>
      <c r="F37" s="18"/>
      <c r="G37" s="19"/>
      <c r="H37" s="135">
        <f>1142+657</f>
        <v>1799</v>
      </c>
      <c r="I37" s="21">
        <f t="shared" si="3"/>
        <v>2</v>
      </c>
      <c r="J37" s="21"/>
      <c r="K37" s="16"/>
      <c r="L37" s="21">
        <v>1</v>
      </c>
      <c r="M37" s="21"/>
      <c r="N37" s="21"/>
      <c r="O37" s="21"/>
      <c r="P37" s="21"/>
      <c r="Q37" s="21"/>
      <c r="R37" s="21"/>
      <c r="S37" s="21"/>
      <c r="T37" s="42"/>
      <c r="U37" s="51"/>
      <c r="V37" s="51"/>
      <c r="W37" s="51"/>
      <c r="X37" s="51"/>
      <c r="Y37" s="51"/>
      <c r="Z37" s="51"/>
      <c r="AA37" s="51"/>
      <c r="AB37" s="51"/>
      <c r="AC37" s="51">
        <v>1</v>
      </c>
      <c r="AD37" s="51"/>
      <c r="AE37" s="51"/>
      <c r="AF37" s="51"/>
      <c r="AG37" s="51"/>
      <c r="AH37" s="51"/>
      <c r="AI37" s="54"/>
      <c r="AJ37" s="57"/>
      <c r="AK37" s="54"/>
      <c r="AL37" s="65">
        <f t="shared" si="4"/>
        <v>2</v>
      </c>
      <c r="AM37" s="22" t="str">
        <f t="shared" si="2"/>
        <v>OK</v>
      </c>
    </row>
    <row r="38" spans="1:39" customFormat="1" hidden="1">
      <c r="A38" s="68" t="s">
        <v>78</v>
      </c>
      <c r="B38" s="78">
        <v>10131</v>
      </c>
      <c r="C38" s="23" t="s">
        <v>56</v>
      </c>
      <c r="D38" s="24"/>
      <c r="E38" s="24"/>
      <c r="F38" s="24"/>
      <c r="G38" s="25"/>
      <c r="H38" s="136">
        <v>73</v>
      </c>
      <c r="I38" s="27">
        <f t="shared" si="3"/>
        <v>0</v>
      </c>
      <c r="J38" s="27"/>
      <c r="K38" s="16"/>
      <c r="L38" s="27"/>
      <c r="M38" s="27"/>
      <c r="N38" s="27"/>
      <c r="O38" s="27"/>
      <c r="P38" s="27"/>
      <c r="Q38" s="27"/>
      <c r="R38" s="27"/>
      <c r="S38" s="27"/>
      <c r="T38" s="43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5"/>
      <c r="AJ38" s="58"/>
      <c r="AK38" s="55"/>
      <c r="AL38" s="66">
        <f t="shared" ref="AL38:AL50" si="5">SUM(L38:AK38)</f>
        <v>0</v>
      </c>
      <c r="AM38" s="28" t="str">
        <f t="shared" si="2"/>
        <v>OK</v>
      </c>
    </row>
    <row r="39" spans="1:39" customFormat="1" hidden="1">
      <c r="A39" s="17" t="s">
        <v>79</v>
      </c>
      <c r="B39" s="77">
        <v>10129</v>
      </c>
      <c r="C39" s="17" t="s">
        <v>57</v>
      </c>
      <c r="D39" s="69"/>
      <c r="E39" s="18"/>
      <c r="F39" s="18"/>
      <c r="G39" s="19"/>
      <c r="H39" s="135"/>
      <c r="I39" s="21">
        <f t="shared" si="3"/>
        <v>0</v>
      </c>
      <c r="J39" s="21"/>
      <c r="K39" s="16"/>
      <c r="L39" s="21"/>
      <c r="M39" s="21"/>
      <c r="N39" s="21"/>
      <c r="O39" s="21"/>
      <c r="P39" s="21"/>
      <c r="Q39" s="21"/>
      <c r="R39" s="21"/>
      <c r="S39" s="21"/>
      <c r="T39" s="42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4"/>
      <c r="AJ39" s="57"/>
      <c r="AK39" s="54"/>
      <c r="AL39" s="65">
        <f t="shared" si="5"/>
        <v>0</v>
      </c>
      <c r="AM39" s="22" t="str">
        <f t="shared" si="2"/>
        <v>OK</v>
      </c>
    </row>
    <row r="40" spans="1:39" customFormat="1" hidden="1">
      <c r="A40" s="68" t="s">
        <v>80</v>
      </c>
      <c r="B40" s="78">
        <v>10127</v>
      </c>
      <c r="C40" s="23" t="s">
        <v>58</v>
      </c>
      <c r="D40" s="24"/>
      <c r="E40" s="24"/>
      <c r="F40" s="24"/>
      <c r="G40" s="25"/>
      <c r="H40" s="136"/>
      <c r="I40" s="27">
        <f t="shared" si="3"/>
        <v>0</v>
      </c>
      <c r="J40" s="27"/>
      <c r="K40" s="16"/>
      <c r="L40" s="27"/>
      <c r="M40" s="27"/>
      <c r="N40" s="27"/>
      <c r="O40" s="27"/>
      <c r="P40" s="27"/>
      <c r="Q40" s="27"/>
      <c r="R40" s="27"/>
      <c r="S40" s="27"/>
      <c r="T40" s="43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5"/>
      <c r="AJ40" s="58"/>
      <c r="AK40" s="55"/>
      <c r="AL40" s="66">
        <f t="shared" si="5"/>
        <v>0</v>
      </c>
      <c r="AM40" s="28" t="str">
        <f t="shared" si="2"/>
        <v>OK</v>
      </c>
    </row>
    <row r="41" spans="1:39" customFormat="1" hidden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135"/>
      <c r="I41" s="21">
        <f t="shared" si="3"/>
        <v>0</v>
      </c>
      <c r="J41" s="21"/>
      <c r="K41" s="16"/>
      <c r="L41" s="21"/>
      <c r="M41" s="21"/>
      <c r="N41" s="21"/>
      <c r="O41" s="21"/>
      <c r="P41" s="21"/>
      <c r="Q41" s="21"/>
      <c r="R41" s="21"/>
      <c r="S41" s="21"/>
      <c r="T41" s="4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4"/>
      <c r="AJ41" s="57"/>
      <c r="AK41" s="54"/>
      <c r="AL41" s="65">
        <f t="shared" si="5"/>
        <v>0</v>
      </c>
      <c r="AM41" s="22" t="str">
        <f t="shared" si="2"/>
        <v>OK</v>
      </c>
    </row>
    <row r="42" spans="1:39" customFormat="1" hidden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136"/>
      <c r="I42" s="27">
        <f t="shared" si="3"/>
        <v>0</v>
      </c>
      <c r="J42" s="27"/>
      <c r="K42" s="16"/>
      <c r="L42" s="27"/>
      <c r="M42" s="27"/>
      <c r="N42" s="27"/>
      <c r="O42" s="27"/>
      <c r="P42" s="27"/>
      <c r="Q42" s="27"/>
      <c r="R42" s="27"/>
      <c r="S42" s="27"/>
      <c r="T42" s="43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5"/>
      <c r="AJ42" s="58"/>
      <c r="AK42" s="55"/>
      <c r="AL42" s="66">
        <f t="shared" si="5"/>
        <v>0</v>
      </c>
      <c r="AM42" s="28" t="str">
        <f t="shared" si="2"/>
        <v>OK</v>
      </c>
    </row>
    <row r="43" spans="1:39" customFormat="1" hidden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135"/>
      <c r="I43" s="21">
        <f t="shared" si="3"/>
        <v>0</v>
      </c>
      <c r="J43" s="21"/>
      <c r="K43" s="16"/>
      <c r="L43" s="21"/>
      <c r="M43" s="21"/>
      <c r="N43" s="21"/>
      <c r="O43" s="21"/>
      <c r="P43" s="21"/>
      <c r="Q43" s="21"/>
      <c r="R43" s="21"/>
      <c r="S43" s="21"/>
      <c r="T43" s="42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4"/>
      <c r="AJ43" s="57"/>
      <c r="AK43" s="54"/>
      <c r="AL43" s="65">
        <f t="shared" si="5"/>
        <v>0</v>
      </c>
      <c r="AM43" s="22" t="str">
        <f t="shared" si="2"/>
        <v>OK</v>
      </c>
    </row>
    <row r="44" spans="1:39" customFormat="1" hidden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136"/>
      <c r="I44" s="27">
        <f t="shared" si="3"/>
        <v>0</v>
      </c>
      <c r="J44" s="27"/>
      <c r="K44" s="16"/>
      <c r="L44" s="27"/>
      <c r="M44" s="27"/>
      <c r="N44" s="27"/>
      <c r="O44" s="27"/>
      <c r="P44" s="27"/>
      <c r="Q44" s="27"/>
      <c r="R44" s="27"/>
      <c r="S44" s="27"/>
      <c r="T44" s="43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5"/>
      <c r="AJ44" s="58"/>
      <c r="AK44" s="55"/>
      <c r="AL44" s="66">
        <f t="shared" si="5"/>
        <v>0</v>
      </c>
      <c r="AM44" s="28" t="str">
        <f t="shared" si="2"/>
        <v>OK</v>
      </c>
    </row>
    <row r="45" spans="1:39" customFormat="1" hidden="1">
      <c r="A45" s="17" t="s">
        <v>107</v>
      </c>
      <c r="B45" s="77">
        <v>13467</v>
      </c>
      <c r="C45" s="17" t="s">
        <v>87</v>
      </c>
      <c r="D45" s="69"/>
      <c r="E45" s="18"/>
      <c r="F45" s="18"/>
      <c r="G45" s="19"/>
      <c r="H45" s="135">
        <f>850+912</f>
        <v>1762</v>
      </c>
      <c r="I45" s="21">
        <f t="shared" si="3"/>
        <v>0</v>
      </c>
      <c r="J45" s="21"/>
      <c r="K45" s="16"/>
      <c r="L45" s="21"/>
      <c r="M45" s="21"/>
      <c r="N45" s="21"/>
      <c r="O45" s="21"/>
      <c r="P45" s="21"/>
      <c r="Q45" s="21"/>
      <c r="R45" s="21"/>
      <c r="S45" s="21"/>
      <c r="T45" s="4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4"/>
      <c r="AJ45" s="57"/>
      <c r="AK45" s="54"/>
      <c r="AL45" s="65">
        <f t="shared" si="5"/>
        <v>0</v>
      </c>
      <c r="AM45" s="22" t="str">
        <f t="shared" si="2"/>
        <v>OK</v>
      </c>
    </row>
    <row r="46" spans="1:39" customFormat="1" hidden="1">
      <c r="A46" s="68" t="s">
        <v>111</v>
      </c>
      <c r="B46" s="78">
        <v>15948</v>
      </c>
      <c r="C46" s="23" t="s">
        <v>87</v>
      </c>
      <c r="D46" s="24"/>
      <c r="E46" s="24"/>
      <c r="F46" s="24"/>
      <c r="G46" s="25"/>
      <c r="H46" s="136"/>
      <c r="I46" s="27">
        <f t="shared" si="3"/>
        <v>0</v>
      </c>
      <c r="J46" s="27"/>
      <c r="K46" s="16"/>
      <c r="L46" s="27"/>
      <c r="M46" s="27"/>
      <c r="N46" s="27"/>
      <c r="O46" s="27"/>
      <c r="P46" s="27"/>
      <c r="Q46" s="27"/>
      <c r="R46" s="27"/>
      <c r="S46" s="27"/>
      <c r="T46" s="43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5"/>
      <c r="AJ46" s="58"/>
      <c r="AK46" s="55"/>
      <c r="AL46" s="66">
        <f t="shared" si="5"/>
        <v>0</v>
      </c>
      <c r="AM46" s="28" t="str">
        <f t="shared" si="2"/>
        <v>OK</v>
      </c>
    </row>
    <row r="47" spans="1:39" customFormat="1" hidden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135"/>
      <c r="I47" s="21">
        <f t="shared" si="3"/>
        <v>0</v>
      </c>
      <c r="J47" s="21"/>
      <c r="K47" s="16"/>
      <c r="L47" s="21"/>
      <c r="M47" s="21"/>
      <c r="N47" s="21"/>
      <c r="O47" s="21"/>
      <c r="P47" s="21"/>
      <c r="Q47" s="21"/>
      <c r="R47" s="21"/>
      <c r="S47" s="21"/>
      <c r="T47" s="42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4"/>
      <c r="AJ47" s="57"/>
      <c r="AK47" s="54"/>
      <c r="AL47" s="65">
        <f t="shared" si="5"/>
        <v>0</v>
      </c>
      <c r="AM47" s="22" t="str">
        <f t="shared" si="2"/>
        <v>OK</v>
      </c>
    </row>
    <row r="48" spans="1:39" customFormat="1" hidden="1">
      <c r="A48" s="68" t="s">
        <v>121</v>
      </c>
      <c r="B48" s="78">
        <v>16598</v>
      </c>
      <c r="C48" s="23" t="s">
        <v>87</v>
      </c>
      <c r="D48" s="24"/>
      <c r="E48" s="24"/>
      <c r="F48" s="24"/>
      <c r="G48" s="25"/>
      <c r="H48" s="136">
        <v>1006</v>
      </c>
      <c r="I48" s="27">
        <f t="shared" si="3"/>
        <v>0</v>
      </c>
      <c r="J48" s="27"/>
      <c r="K48" s="16"/>
      <c r="L48" s="27"/>
      <c r="M48" s="27"/>
      <c r="N48" s="27"/>
      <c r="O48" s="27"/>
      <c r="P48" s="27"/>
      <c r="Q48" s="27"/>
      <c r="R48" s="27"/>
      <c r="S48" s="27"/>
      <c r="T48" s="43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5"/>
      <c r="AJ48" s="58"/>
      <c r="AK48" s="55"/>
      <c r="AL48" s="66">
        <f t="shared" si="5"/>
        <v>0</v>
      </c>
      <c r="AM48" s="28" t="str">
        <f t="shared" si="2"/>
        <v>OK</v>
      </c>
    </row>
    <row r="49" spans="1:39" customFormat="1" hidden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135"/>
      <c r="I49" s="21">
        <f t="shared" si="3"/>
        <v>0</v>
      </c>
      <c r="J49" s="21"/>
      <c r="K49" s="16"/>
      <c r="L49" s="21"/>
      <c r="M49" s="21"/>
      <c r="N49" s="21"/>
      <c r="O49" s="21"/>
      <c r="P49" s="21"/>
      <c r="Q49" s="21"/>
      <c r="R49" s="21"/>
      <c r="S49" s="21"/>
      <c r="T49" s="4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4"/>
      <c r="AJ49" s="57"/>
      <c r="AK49" s="54"/>
      <c r="AL49" s="65">
        <f t="shared" si="5"/>
        <v>0</v>
      </c>
      <c r="AM49" s="22" t="str">
        <f t="shared" si="2"/>
        <v>OK</v>
      </c>
    </row>
    <row r="50" spans="1:39" customFormat="1" hidden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136"/>
      <c r="I50" s="27">
        <f t="shared" si="3"/>
        <v>0</v>
      </c>
      <c r="J50" s="27"/>
      <c r="K50" s="16"/>
      <c r="L50" s="27"/>
      <c r="M50" s="27"/>
      <c r="N50" s="27"/>
      <c r="O50" s="27"/>
      <c r="P50" s="27"/>
      <c r="Q50" s="27"/>
      <c r="R50" s="27"/>
      <c r="S50" s="27"/>
      <c r="T50" s="43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8"/>
      <c r="AK50" s="55"/>
      <c r="AL50" s="66">
        <f t="shared" si="5"/>
        <v>0</v>
      </c>
      <c r="AM50" s="28" t="str">
        <f t="shared" si="2"/>
        <v>OK</v>
      </c>
    </row>
    <row r="51" spans="1:39" customFormat="1" hidden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135"/>
      <c r="I51" s="21">
        <f t="shared" si="3"/>
        <v>0</v>
      </c>
      <c r="J51" s="21"/>
      <c r="K51" s="16"/>
      <c r="L51" s="21"/>
      <c r="M51" s="21"/>
      <c r="N51" s="21"/>
      <c r="O51" s="21"/>
      <c r="P51" s="21"/>
      <c r="Q51" s="21"/>
      <c r="R51" s="21"/>
      <c r="S51" s="21"/>
      <c r="T51" s="4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4"/>
      <c r="AJ51" s="57"/>
      <c r="AK51" s="54"/>
      <c r="AL51" s="65">
        <f>SUM(L51:AK51)</f>
        <v>0</v>
      </c>
      <c r="AM51" s="22" t="str">
        <f t="shared" si="2"/>
        <v>OK</v>
      </c>
    </row>
    <row r="52" spans="1:39" customFormat="1" hidden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136"/>
      <c r="I52" s="27">
        <f t="shared" si="3"/>
        <v>0</v>
      </c>
      <c r="J52" s="27"/>
      <c r="K52" s="16"/>
      <c r="L52" s="27"/>
      <c r="M52" s="27"/>
      <c r="N52" s="27"/>
      <c r="O52" s="27"/>
      <c r="P52" s="27"/>
      <c r="Q52" s="27"/>
      <c r="R52" s="27"/>
      <c r="S52" s="27"/>
      <c r="T52" s="43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5"/>
      <c r="AJ52" s="58"/>
      <c r="AK52" s="55"/>
      <c r="AL52" s="66">
        <f t="shared" ref="AL52:AL64" si="6">SUM(L52:AK52)</f>
        <v>0</v>
      </c>
      <c r="AM52" s="28" t="str">
        <f t="shared" si="2"/>
        <v>OK</v>
      </c>
    </row>
    <row r="53" spans="1:39" customFormat="1" hidden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135"/>
      <c r="I53" s="21">
        <f t="shared" si="3"/>
        <v>0</v>
      </c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42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4"/>
      <c r="AJ53" s="57"/>
      <c r="AK53" s="54"/>
      <c r="AL53" s="65">
        <f t="shared" si="6"/>
        <v>0</v>
      </c>
      <c r="AM53" s="22" t="str">
        <f t="shared" si="2"/>
        <v>OK</v>
      </c>
    </row>
    <row r="54" spans="1:39" customFormat="1" hidden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136"/>
      <c r="I54" s="27">
        <f t="shared" si="3"/>
        <v>0</v>
      </c>
      <c r="J54" s="27"/>
      <c r="K54" s="16"/>
      <c r="L54" s="27"/>
      <c r="M54" s="27"/>
      <c r="N54" s="27"/>
      <c r="O54" s="27"/>
      <c r="P54" s="27"/>
      <c r="Q54" s="27"/>
      <c r="R54" s="27"/>
      <c r="S54" s="27"/>
      <c r="T54" s="43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5"/>
      <c r="AJ54" s="58"/>
      <c r="AK54" s="55"/>
      <c r="AL54" s="66">
        <f t="shared" si="6"/>
        <v>0</v>
      </c>
      <c r="AM54" s="28" t="str">
        <f t="shared" si="2"/>
        <v>OK</v>
      </c>
    </row>
    <row r="55" spans="1:39" customFormat="1" hidden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135"/>
      <c r="I55" s="21">
        <f t="shared" si="3"/>
        <v>0</v>
      </c>
      <c r="J55" s="21"/>
      <c r="K55" s="16"/>
      <c r="L55" s="21"/>
      <c r="M55" s="21"/>
      <c r="N55" s="21"/>
      <c r="O55" s="21"/>
      <c r="P55" s="21"/>
      <c r="Q55" s="21"/>
      <c r="R55" s="21"/>
      <c r="S55" s="21"/>
      <c r="T55" s="42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4"/>
      <c r="AJ55" s="57"/>
      <c r="AK55" s="54"/>
      <c r="AL55" s="65">
        <f t="shared" si="6"/>
        <v>0</v>
      </c>
      <c r="AM55" s="22" t="str">
        <f t="shared" si="2"/>
        <v>OK</v>
      </c>
    </row>
    <row r="56" spans="1:39" customFormat="1" hidden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136"/>
      <c r="I56" s="27">
        <f t="shared" si="3"/>
        <v>0</v>
      </c>
      <c r="J56" s="27"/>
      <c r="K56" s="16"/>
      <c r="L56" s="27"/>
      <c r="M56" s="27"/>
      <c r="N56" s="27"/>
      <c r="O56" s="27"/>
      <c r="P56" s="27"/>
      <c r="Q56" s="27"/>
      <c r="R56" s="27"/>
      <c r="S56" s="27"/>
      <c r="T56" s="43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5"/>
      <c r="AJ56" s="58"/>
      <c r="AK56" s="55"/>
      <c r="AL56" s="66">
        <f t="shared" si="6"/>
        <v>0</v>
      </c>
      <c r="AM56" s="28" t="str">
        <f t="shared" si="2"/>
        <v>OK</v>
      </c>
    </row>
    <row r="57" spans="1:39" customFormat="1" hidden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135"/>
      <c r="I57" s="21">
        <f t="shared" si="3"/>
        <v>0</v>
      </c>
      <c r="J57" s="21"/>
      <c r="K57" s="16"/>
      <c r="L57" s="21"/>
      <c r="M57" s="21"/>
      <c r="N57" s="21"/>
      <c r="O57" s="21"/>
      <c r="P57" s="21"/>
      <c r="Q57" s="21"/>
      <c r="R57" s="21"/>
      <c r="S57" s="21"/>
      <c r="T57" s="42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4"/>
      <c r="AJ57" s="57"/>
      <c r="AK57" s="54"/>
      <c r="AL57" s="65">
        <f t="shared" si="6"/>
        <v>0</v>
      </c>
      <c r="AM57" s="22" t="str">
        <f t="shared" si="2"/>
        <v>OK</v>
      </c>
    </row>
    <row r="58" spans="1:39" customFormat="1" hidden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136"/>
      <c r="I58" s="27">
        <f t="shared" si="3"/>
        <v>0</v>
      </c>
      <c r="J58" s="27"/>
      <c r="K58" s="16"/>
      <c r="L58" s="27"/>
      <c r="M58" s="27"/>
      <c r="N58" s="27"/>
      <c r="O58" s="27"/>
      <c r="P58" s="27"/>
      <c r="Q58" s="27"/>
      <c r="R58" s="27"/>
      <c r="S58" s="27"/>
      <c r="T58" s="43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5"/>
      <c r="AJ58" s="58"/>
      <c r="AK58" s="55"/>
      <c r="AL58" s="66">
        <f t="shared" si="6"/>
        <v>0</v>
      </c>
      <c r="AM58" s="28" t="str">
        <f t="shared" si="2"/>
        <v>OK</v>
      </c>
    </row>
    <row r="59" spans="1:39" customFormat="1" hidden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135"/>
      <c r="I59" s="21">
        <f t="shared" si="3"/>
        <v>0</v>
      </c>
      <c r="J59" s="21"/>
      <c r="K59" s="16"/>
      <c r="L59" s="21"/>
      <c r="M59" s="21"/>
      <c r="N59" s="21"/>
      <c r="O59" s="21"/>
      <c r="P59" s="21"/>
      <c r="Q59" s="21"/>
      <c r="R59" s="21"/>
      <c r="S59" s="21"/>
      <c r="T59" s="4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4"/>
      <c r="AJ59" s="57"/>
      <c r="AK59" s="54"/>
      <c r="AL59" s="65">
        <f t="shared" si="6"/>
        <v>0</v>
      </c>
      <c r="AM59" s="22" t="str">
        <f t="shared" si="2"/>
        <v>OK</v>
      </c>
    </row>
    <row r="60" spans="1:39" customFormat="1" hidden="1">
      <c r="A60" s="68" t="s">
        <v>84</v>
      </c>
      <c r="B60" s="78">
        <v>11380</v>
      </c>
      <c r="C60" s="23" t="s">
        <v>60</v>
      </c>
      <c r="D60" s="24"/>
      <c r="E60" s="24"/>
      <c r="F60" s="24"/>
      <c r="G60" s="25"/>
      <c r="H60" s="136"/>
      <c r="I60" s="27">
        <f t="shared" si="3"/>
        <v>0</v>
      </c>
      <c r="J60" s="27"/>
      <c r="K60" s="16"/>
      <c r="L60" s="27"/>
      <c r="M60" s="27"/>
      <c r="N60" s="27"/>
      <c r="O60" s="27"/>
      <c r="P60" s="27"/>
      <c r="Q60" s="27"/>
      <c r="R60" s="27"/>
      <c r="S60" s="27"/>
      <c r="T60" s="43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5"/>
      <c r="AJ60" s="58"/>
      <c r="AK60" s="55"/>
      <c r="AL60" s="66">
        <f t="shared" si="6"/>
        <v>0</v>
      </c>
      <c r="AM60" s="28" t="str">
        <f t="shared" si="2"/>
        <v>OK</v>
      </c>
    </row>
    <row r="61" spans="1:39" customFormat="1" hidden="1">
      <c r="A61" s="80" t="s">
        <v>112</v>
      </c>
      <c r="B61" s="77">
        <v>18518</v>
      </c>
      <c r="C61" s="17" t="s">
        <v>87</v>
      </c>
      <c r="D61" s="69"/>
      <c r="E61" s="18"/>
      <c r="F61" s="18"/>
      <c r="G61" s="19"/>
      <c r="H61" s="135">
        <v>457</v>
      </c>
      <c r="I61" s="21">
        <f t="shared" si="3"/>
        <v>0</v>
      </c>
      <c r="J61" s="21"/>
      <c r="K61" s="16"/>
      <c r="L61" s="21"/>
      <c r="M61" s="21"/>
      <c r="N61" s="21"/>
      <c r="O61" s="21"/>
      <c r="P61" s="21"/>
      <c r="Q61" s="21"/>
      <c r="R61" s="21"/>
      <c r="S61" s="21"/>
      <c r="T61" s="4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4"/>
      <c r="AJ61" s="57"/>
      <c r="AK61" s="54"/>
      <c r="AL61" s="65">
        <f t="shared" si="6"/>
        <v>0</v>
      </c>
      <c r="AM61" s="22" t="str">
        <f t="shared" si="2"/>
        <v>OK</v>
      </c>
    </row>
    <row r="62" spans="1:39" customFormat="1" hidden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136">
        <v>1006</v>
      </c>
      <c r="I62" s="27">
        <f t="shared" si="3"/>
        <v>0</v>
      </c>
      <c r="J62" s="27"/>
      <c r="K62" s="16"/>
      <c r="L62" s="27"/>
      <c r="M62" s="27"/>
      <c r="N62" s="27"/>
      <c r="O62" s="27"/>
      <c r="P62" s="27"/>
      <c r="Q62" s="27"/>
      <c r="R62" s="27"/>
      <c r="S62" s="27"/>
      <c r="T62" s="43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5"/>
      <c r="AJ62" s="58"/>
      <c r="AK62" s="55"/>
      <c r="AL62" s="66">
        <f t="shared" si="6"/>
        <v>0</v>
      </c>
      <c r="AM62" s="28" t="str">
        <f t="shared" si="2"/>
        <v>OK</v>
      </c>
    </row>
    <row r="63" spans="1:39" customFormat="1" hidden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135"/>
      <c r="I63" s="21">
        <f t="shared" si="3"/>
        <v>0</v>
      </c>
      <c r="J63" s="21"/>
      <c r="K63" s="16"/>
      <c r="L63" s="21"/>
      <c r="M63" s="21"/>
      <c r="N63" s="21"/>
      <c r="O63" s="21"/>
      <c r="P63" s="21"/>
      <c r="Q63" s="21"/>
      <c r="R63" s="21"/>
      <c r="S63" s="21"/>
      <c r="T63" s="4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4"/>
      <c r="AJ63" s="57"/>
      <c r="AK63" s="54"/>
      <c r="AL63" s="65">
        <f t="shared" si="6"/>
        <v>0</v>
      </c>
      <c r="AM63" s="22" t="str">
        <f t="shared" si="2"/>
        <v>OK</v>
      </c>
    </row>
    <row r="64" spans="1:39" customFormat="1" hidden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136">
        <f>1000+360</f>
        <v>1360</v>
      </c>
      <c r="I64" s="27">
        <f t="shared" si="3"/>
        <v>0</v>
      </c>
      <c r="J64" s="27"/>
      <c r="K64" s="16"/>
      <c r="L64" s="27"/>
      <c r="M64" s="27"/>
      <c r="N64" s="27"/>
      <c r="O64" s="27"/>
      <c r="P64" s="27"/>
      <c r="Q64" s="27"/>
      <c r="R64" s="27"/>
      <c r="S64" s="27"/>
      <c r="T64" s="43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5"/>
      <c r="AJ64" s="58"/>
      <c r="AK64" s="55"/>
      <c r="AL64" s="66">
        <f t="shared" si="6"/>
        <v>0</v>
      </c>
      <c r="AM64" s="28" t="str">
        <f t="shared" si="2"/>
        <v>OK</v>
      </c>
    </row>
    <row r="65" spans="1:39" customFormat="1" hidden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135"/>
      <c r="I65" s="21">
        <f t="shared" si="3"/>
        <v>0</v>
      </c>
      <c r="J65" s="21"/>
      <c r="K65" s="16"/>
      <c r="L65" s="21"/>
      <c r="M65" s="21"/>
      <c r="N65" s="21"/>
      <c r="O65" s="21"/>
      <c r="P65" s="21"/>
      <c r="Q65" s="21"/>
      <c r="R65" s="21"/>
      <c r="S65" s="21"/>
      <c r="T65" s="4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4"/>
      <c r="AJ65" s="57"/>
      <c r="AK65" s="54"/>
      <c r="AL65" s="65">
        <f t="shared" si="4"/>
        <v>0</v>
      </c>
      <c r="AM65" s="22" t="str">
        <f t="shared" si="2"/>
        <v>OK</v>
      </c>
    </row>
    <row r="66" spans="1:39" customFormat="1" hidden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136"/>
      <c r="I66" s="27">
        <f t="shared" si="3"/>
        <v>0</v>
      </c>
      <c r="J66" s="27"/>
      <c r="K66" s="16"/>
      <c r="L66" s="27"/>
      <c r="M66" s="27"/>
      <c r="N66" s="27"/>
      <c r="O66" s="27"/>
      <c r="P66" s="27"/>
      <c r="Q66" s="27"/>
      <c r="R66" s="27"/>
      <c r="S66" s="27"/>
      <c r="T66" s="43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5"/>
      <c r="AJ66" s="58"/>
      <c r="AK66" s="55"/>
      <c r="AL66" s="66">
        <f t="shared" si="4"/>
        <v>0</v>
      </c>
      <c r="AM66" s="28" t="str">
        <f t="shared" si="2"/>
        <v>OK</v>
      </c>
    </row>
    <row r="67" spans="1:39" customFormat="1" hidden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135">
        <f>1230+1300+1400</f>
        <v>3930</v>
      </c>
      <c r="I67" s="21">
        <f t="shared" si="3"/>
        <v>0</v>
      </c>
      <c r="J67" s="21"/>
      <c r="K67" s="16"/>
      <c r="L67" s="21"/>
      <c r="M67" s="21"/>
      <c r="N67" s="21"/>
      <c r="O67" s="21"/>
      <c r="P67" s="21"/>
      <c r="Q67" s="21"/>
      <c r="R67" s="21"/>
      <c r="S67" s="21"/>
      <c r="T67" s="4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4"/>
      <c r="AJ67" s="57"/>
      <c r="AK67" s="54"/>
      <c r="AL67" s="65">
        <f t="shared" si="4"/>
        <v>0</v>
      </c>
      <c r="AM67" s="22" t="str">
        <f t="shared" si="2"/>
        <v>OK</v>
      </c>
    </row>
    <row r="68" spans="1:39" customFormat="1" hidden="1">
      <c r="A68" s="81" t="s">
        <v>132</v>
      </c>
      <c r="B68" s="78">
        <v>20269</v>
      </c>
      <c r="C68" s="23" t="s">
        <v>131</v>
      </c>
      <c r="D68" s="24"/>
      <c r="E68" s="24"/>
      <c r="F68" s="24"/>
      <c r="G68" s="25"/>
      <c r="H68" s="136"/>
      <c r="I68" s="27">
        <f t="shared" si="3"/>
        <v>0</v>
      </c>
      <c r="J68" s="27"/>
      <c r="K68" s="16"/>
      <c r="L68" s="27"/>
      <c r="M68" s="27"/>
      <c r="N68" s="27"/>
      <c r="O68" s="27"/>
      <c r="P68" s="27"/>
      <c r="Q68" s="27"/>
      <c r="R68" s="27"/>
      <c r="S68" s="27"/>
      <c r="T68" s="43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5"/>
      <c r="AJ68" s="58"/>
      <c r="AK68" s="55"/>
      <c r="AL68" s="66">
        <f t="shared" si="4"/>
        <v>0</v>
      </c>
      <c r="AM68" s="28" t="str">
        <f t="shared" si="2"/>
        <v>OK</v>
      </c>
    </row>
    <row r="69" spans="1:39" customFormat="1" hidden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135"/>
      <c r="I69" s="21">
        <f t="shared" si="3"/>
        <v>0</v>
      </c>
      <c r="J69" s="21"/>
      <c r="K69" s="16"/>
      <c r="L69" s="21"/>
      <c r="M69" s="21"/>
      <c r="N69" s="21"/>
      <c r="O69" s="21"/>
      <c r="P69" s="21"/>
      <c r="Q69" s="21"/>
      <c r="R69" s="21"/>
      <c r="S69" s="21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7"/>
      <c r="AK69" s="54"/>
      <c r="AL69" s="65">
        <f t="shared" si="4"/>
        <v>0</v>
      </c>
      <c r="AM69" s="22" t="str">
        <f t="shared" si="2"/>
        <v>OK</v>
      </c>
    </row>
    <row r="70" spans="1:39" customFormat="1" ht="17.25" thickBot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136">
        <f>1260+1260+900</f>
        <v>3420</v>
      </c>
      <c r="I70" s="27">
        <f t="shared" si="3"/>
        <v>3</v>
      </c>
      <c r="J70" s="27"/>
      <c r="K70" s="16"/>
      <c r="L70" s="27"/>
      <c r="M70" s="27"/>
      <c r="N70" s="27"/>
      <c r="O70" s="27"/>
      <c r="P70" s="27"/>
      <c r="Q70" s="27"/>
      <c r="R70" s="27"/>
      <c r="S70" s="27"/>
      <c r="T70" s="43"/>
      <c r="U70" s="52"/>
      <c r="V70" s="52"/>
      <c r="W70" s="52"/>
      <c r="X70" s="52"/>
      <c r="Y70" s="52"/>
      <c r="Z70" s="52"/>
      <c r="AA70" s="52"/>
      <c r="AB70" s="52"/>
      <c r="AC70" s="52">
        <v>3</v>
      </c>
      <c r="AD70" s="52"/>
      <c r="AE70" s="52"/>
      <c r="AF70" s="52"/>
      <c r="AG70" s="52"/>
      <c r="AH70" s="52"/>
      <c r="AI70" s="55"/>
      <c r="AJ70" s="58"/>
      <c r="AK70" s="55"/>
      <c r="AL70" s="66">
        <f t="shared" si="4"/>
        <v>3</v>
      </c>
      <c r="AM70" s="28" t="str">
        <f t="shared" si="2"/>
        <v>OK</v>
      </c>
    </row>
    <row r="71" spans="1:39" customFormat="1" ht="17.25" hidden="1" thickBot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135"/>
      <c r="I71" s="21">
        <f t="shared" ref="I71:I96" si="7">SUM(L71:AK71)</f>
        <v>0</v>
      </c>
      <c r="J71" s="21"/>
      <c r="K71" s="16"/>
      <c r="L71" s="21"/>
      <c r="M71" s="21"/>
      <c r="N71" s="21"/>
      <c r="O71" s="21"/>
      <c r="P71" s="21"/>
      <c r="Q71" s="21"/>
      <c r="R71" s="21"/>
      <c r="S71" s="21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4"/>
      <c r="AJ71" s="57"/>
      <c r="AK71" s="54"/>
      <c r="AL71" s="65">
        <f t="shared" si="4"/>
        <v>0</v>
      </c>
      <c r="AM71" s="22" t="str">
        <f t="shared" si="2"/>
        <v>OK</v>
      </c>
    </row>
    <row r="72" spans="1:39" customFormat="1" ht="17.25" hidden="1" thickBot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136"/>
      <c r="I72" s="27">
        <f t="shared" si="7"/>
        <v>0</v>
      </c>
      <c r="J72" s="27"/>
      <c r="K72" s="16"/>
      <c r="L72" s="27"/>
      <c r="M72" s="27"/>
      <c r="N72" s="27"/>
      <c r="O72" s="27"/>
      <c r="P72" s="27"/>
      <c r="Q72" s="27"/>
      <c r="R72" s="27"/>
      <c r="S72" s="27"/>
      <c r="T72" s="43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5"/>
      <c r="AJ72" s="58"/>
      <c r="AK72" s="55"/>
      <c r="AL72" s="66">
        <f t="shared" si="4"/>
        <v>0</v>
      </c>
      <c r="AM72" s="28" t="str">
        <f t="shared" si="2"/>
        <v>OK</v>
      </c>
    </row>
    <row r="73" spans="1:39" customFormat="1" ht="17.25" hidden="1" thickBot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138"/>
      <c r="I73" s="101">
        <f t="shared" si="7"/>
        <v>0</v>
      </c>
      <c r="J73" s="21"/>
      <c r="K73" s="16"/>
      <c r="L73" s="21"/>
      <c r="M73" s="21"/>
      <c r="N73" s="21"/>
      <c r="O73" s="21"/>
      <c r="P73" s="21"/>
      <c r="Q73" s="21"/>
      <c r="R73" s="21"/>
      <c r="S73" s="21"/>
      <c r="T73" s="42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4"/>
      <c r="AJ73" s="57"/>
      <c r="AK73" s="54"/>
      <c r="AL73" s="65">
        <f t="shared" si="4"/>
        <v>0</v>
      </c>
      <c r="AM73" s="22" t="str">
        <f t="shared" si="2"/>
        <v>OK</v>
      </c>
    </row>
    <row r="74" spans="1:39" customFormat="1" ht="17.25" hidden="1" thickBot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139"/>
      <c r="I74" s="103">
        <f t="shared" si="7"/>
        <v>0</v>
      </c>
      <c r="J74" s="27"/>
      <c r="K74" s="16"/>
      <c r="L74" s="100"/>
      <c r="M74" s="100"/>
      <c r="N74" s="100"/>
      <c r="O74" s="100"/>
      <c r="P74" s="100"/>
      <c r="Q74" s="100"/>
      <c r="R74" s="100"/>
      <c r="S74" s="100"/>
      <c r="T74" s="109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1"/>
      <c r="AJ74" s="112"/>
      <c r="AK74" s="111"/>
      <c r="AL74" s="66">
        <f t="shared" si="4"/>
        <v>0</v>
      </c>
      <c r="AM74" s="28" t="str">
        <f t="shared" si="2"/>
        <v>OK</v>
      </c>
    </row>
    <row r="75" spans="1:39" ht="17.25" hidden="1" thickBot="1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40"/>
      <c r="I75" s="105">
        <f t="shared" si="7"/>
        <v>0</v>
      </c>
      <c r="J75" s="90"/>
      <c r="K75" s="91"/>
      <c r="L75" s="113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5"/>
      <c r="AL75" s="92">
        <f t="shared" ref="AL75:AL80" si="8">SUM(L75:AK75)</f>
        <v>0</v>
      </c>
      <c r="AM75" s="122" t="str">
        <f t="shared" ref="AM75:AM96" si="9">IF(AL75=I75,"OK","NG")</f>
        <v>OK</v>
      </c>
    </row>
    <row r="76" spans="1:39" ht="17.25" hidden="1" thickBot="1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139"/>
      <c r="I76" s="106">
        <f t="shared" si="7"/>
        <v>0</v>
      </c>
      <c r="J76" s="85"/>
      <c r="K76" s="16"/>
      <c r="L76" s="1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8"/>
      <c r="AL76" s="66">
        <f t="shared" si="8"/>
        <v>0</v>
      </c>
      <c r="AM76" s="28" t="str">
        <f t="shared" si="9"/>
        <v>OK</v>
      </c>
    </row>
    <row r="77" spans="1:39" ht="17.25" hidden="1" thickBot="1">
      <c r="A77" s="87" t="s">
        <v>165</v>
      </c>
      <c r="B77" s="93">
        <v>13007</v>
      </c>
      <c r="C77" s="94" t="s">
        <v>164</v>
      </c>
      <c r="D77" s="88"/>
      <c r="E77" s="88"/>
      <c r="F77" s="88"/>
      <c r="G77" s="89"/>
      <c r="H77" s="104"/>
      <c r="I77" s="105">
        <f t="shared" si="7"/>
        <v>0</v>
      </c>
      <c r="J77" s="90"/>
      <c r="K77" s="91"/>
      <c r="L77" s="113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5"/>
      <c r="AL77" s="92">
        <f t="shared" si="8"/>
        <v>0</v>
      </c>
      <c r="AM77" s="122" t="str">
        <f t="shared" si="9"/>
        <v>OK</v>
      </c>
    </row>
    <row r="78" spans="1:39" ht="17.25" hidden="1" thickBot="1">
      <c r="A78" s="68"/>
      <c r="B78" s="78"/>
      <c r="C78" s="95"/>
      <c r="D78" s="83"/>
      <c r="E78" s="83"/>
      <c r="F78" s="83"/>
      <c r="G78" s="84"/>
      <c r="H78" s="102"/>
      <c r="I78" s="106">
        <f t="shared" si="7"/>
        <v>0</v>
      </c>
      <c r="J78" s="85"/>
      <c r="K78" s="16"/>
      <c r="L78" s="1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66">
        <f t="shared" si="8"/>
        <v>0</v>
      </c>
      <c r="AM78" s="28" t="str">
        <f t="shared" si="9"/>
        <v>OK</v>
      </c>
    </row>
    <row r="79" spans="1:39" ht="17.25" hidden="1" thickBot="1">
      <c r="A79" s="87"/>
      <c r="B79" s="93"/>
      <c r="C79" s="94"/>
      <c r="D79" s="88"/>
      <c r="E79" s="88"/>
      <c r="F79" s="88"/>
      <c r="G79" s="89"/>
      <c r="H79" s="104"/>
      <c r="I79" s="105">
        <f t="shared" si="7"/>
        <v>0</v>
      </c>
      <c r="J79" s="90"/>
      <c r="K79" s="91"/>
      <c r="L79" s="113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5"/>
      <c r="AL79" s="92">
        <f t="shared" si="8"/>
        <v>0</v>
      </c>
      <c r="AM79" s="122" t="str">
        <f t="shared" si="9"/>
        <v>OK</v>
      </c>
    </row>
    <row r="80" spans="1:39" ht="17.25" hidden="1" thickBot="1">
      <c r="A80" s="68"/>
      <c r="B80" s="78"/>
      <c r="C80" s="95"/>
      <c r="D80" s="83"/>
      <c r="E80" s="83"/>
      <c r="F80" s="83"/>
      <c r="G80" s="84"/>
      <c r="H80" s="102"/>
      <c r="I80" s="106">
        <f t="shared" si="7"/>
        <v>0</v>
      </c>
      <c r="J80" s="85"/>
      <c r="K80" s="16"/>
      <c r="L80" s="116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66">
        <f t="shared" si="8"/>
        <v>0</v>
      </c>
      <c r="AM80" s="28" t="str">
        <f t="shared" si="9"/>
        <v>OK</v>
      </c>
    </row>
    <row r="81" spans="1:39" ht="17.25" hidden="1" thickBot="1">
      <c r="A81" s="87"/>
      <c r="B81" s="93"/>
      <c r="C81" s="94"/>
      <c r="D81" s="88"/>
      <c r="E81" s="88"/>
      <c r="F81" s="88"/>
      <c r="G81" s="89"/>
      <c r="H81" s="104"/>
      <c r="I81" s="105">
        <f t="shared" si="7"/>
        <v>0</v>
      </c>
      <c r="J81" s="90"/>
      <c r="K81" s="91"/>
      <c r="L81" s="113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5"/>
      <c r="AL81" s="92">
        <f t="shared" ref="AL81:AL96" si="10">SUM(L81:AK81)</f>
        <v>0</v>
      </c>
      <c r="AM81" s="122" t="str">
        <f t="shared" si="9"/>
        <v>OK</v>
      </c>
    </row>
    <row r="82" spans="1:39" ht="17.25" hidden="1" thickBot="1">
      <c r="A82" s="68"/>
      <c r="B82" s="78"/>
      <c r="C82" s="95"/>
      <c r="D82" s="83"/>
      <c r="E82" s="83"/>
      <c r="F82" s="83"/>
      <c r="G82" s="84"/>
      <c r="H82" s="102"/>
      <c r="I82" s="106">
        <f t="shared" si="7"/>
        <v>0</v>
      </c>
      <c r="J82" s="85"/>
      <c r="K82" s="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66">
        <f t="shared" si="10"/>
        <v>0</v>
      </c>
      <c r="AM82" s="28" t="str">
        <f t="shared" si="9"/>
        <v>OK</v>
      </c>
    </row>
    <row r="83" spans="1:39" ht="17.25" hidden="1" thickBot="1">
      <c r="A83" s="96"/>
      <c r="B83" s="93"/>
      <c r="C83" s="94"/>
      <c r="D83" s="88"/>
      <c r="E83" s="88"/>
      <c r="F83" s="88"/>
      <c r="G83" s="89"/>
      <c r="H83" s="104"/>
      <c r="I83" s="105">
        <f t="shared" si="7"/>
        <v>0</v>
      </c>
      <c r="J83" s="90"/>
      <c r="K83" s="91"/>
      <c r="L83" s="113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5"/>
      <c r="AL83" s="92">
        <f t="shared" si="10"/>
        <v>0</v>
      </c>
      <c r="AM83" s="122" t="str">
        <f t="shared" si="9"/>
        <v>OK</v>
      </c>
    </row>
    <row r="84" spans="1:39" ht="17.25" hidden="1" thickBot="1">
      <c r="A84" s="68"/>
      <c r="B84" s="78"/>
      <c r="C84" s="95"/>
      <c r="D84" s="83"/>
      <c r="E84" s="83"/>
      <c r="F84" s="83"/>
      <c r="G84" s="84"/>
      <c r="H84" s="102"/>
      <c r="I84" s="106">
        <f t="shared" si="7"/>
        <v>0</v>
      </c>
      <c r="J84" s="85"/>
      <c r="K84" s="16"/>
      <c r="L84" s="116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66">
        <f t="shared" si="10"/>
        <v>0</v>
      </c>
      <c r="AM84" s="28" t="str">
        <f t="shared" si="9"/>
        <v>OK</v>
      </c>
    </row>
    <row r="85" spans="1:39" ht="17.25" hidden="1" thickBot="1">
      <c r="A85" s="87"/>
      <c r="B85" s="93"/>
      <c r="C85" s="94"/>
      <c r="D85" s="88"/>
      <c r="E85" s="88"/>
      <c r="F85" s="88"/>
      <c r="G85" s="89"/>
      <c r="H85" s="104"/>
      <c r="I85" s="105">
        <f t="shared" si="7"/>
        <v>0</v>
      </c>
      <c r="J85" s="90"/>
      <c r="K85" s="91"/>
      <c r="L85" s="113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5"/>
      <c r="AL85" s="92">
        <f t="shared" si="10"/>
        <v>0</v>
      </c>
      <c r="AM85" s="122" t="str">
        <f t="shared" si="9"/>
        <v>OK</v>
      </c>
    </row>
    <row r="86" spans="1:39" ht="17.25" hidden="1" thickBot="1">
      <c r="A86" s="68"/>
      <c r="B86" s="78"/>
      <c r="C86" s="95"/>
      <c r="D86" s="83"/>
      <c r="E86" s="83"/>
      <c r="F86" s="83"/>
      <c r="G86" s="84"/>
      <c r="H86" s="102"/>
      <c r="I86" s="106">
        <f t="shared" si="7"/>
        <v>0</v>
      </c>
      <c r="J86" s="85"/>
      <c r="K86" s="16"/>
      <c r="L86" s="116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66">
        <f t="shared" si="10"/>
        <v>0</v>
      </c>
      <c r="AM86" s="28" t="str">
        <f t="shared" si="9"/>
        <v>OK</v>
      </c>
    </row>
    <row r="87" spans="1:39" ht="17.25" hidden="1" thickBot="1">
      <c r="A87" s="87"/>
      <c r="B87" s="93"/>
      <c r="C87" s="94"/>
      <c r="D87" s="88"/>
      <c r="E87" s="88"/>
      <c r="F87" s="88"/>
      <c r="G87" s="89"/>
      <c r="H87" s="104"/>
      <c r="I87" s="105">
        <f t="shared" si="7"/>
        <v>0</v>
      </c>
      <c r="J87" s="90"/>
      <c r="K87" s="91"/>
      <c r="L87" s="113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5"/>
      <c r="AL87" s="92">
        <f t="shared" si="10"/>
        <v>0</v>
      </c>
      <c r="AM87" s="122" t="str">
        <f t="shared" si="9"/>
        <v>OK</v>
      </c>
    </row>
    <row r="88" spans="1:39" ht="17.25" hidden="1" thickBot="1">
      <c r="A88" s="68"/>
      <c r="B88" s="78"/>
      <c r="C88" s="95"/>
      <c r="D88" s="83"/>
      <c r="E88" s="83"/>
      <c r="F88" s="83"/>
      <c r="G88" s="84"/>
      <c r="H88" s="102"/>
      <c r="I88" s="106">
        <f t="shared" si="7"/>
        <v>0</v>
      </c>
      <c r="J88" s="85"/>
      <c r="K88" s="16"/>
      <c r="L88" s="116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66">
        <f t="shared" si="10"/>
        <v>0</v>
      </c>
      <c r="AM88" s="28" t="str">
        <f t="shared" si="9"/>
        <v>OK</v>
      </c>
    </row>
    <row r="89" spans="1:39" ht="17.25" hidden="1" thickBot="1">
      <c r="A89" s="87"/>
      <c r="B89" s="93"/>
      <c r="C89" s="94"/>
      <c r="D89" s="88"/>
      <c r="E89" s="88"/>
      <c r="F89" s="88"/>
      <c r="G89" s="89"/>
      <c r="H89" s="104"/>
      <c r="I89" s="105">
        <f t="shared" si="7"/>
        <v>0</v>
      </c>
      <c r="J89" s="90"/>
      <c r="K89" s="91"/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5"/>
      <c r="AL89" s="92">
        <f t="shared" si="10"/>
        <v>0</v>
      </c>
      <c r="AM89" s="122" t="str">
        <f t="shared" si="9"/>
        <v>OK</v>
      </c>
    </row>
    <row r="90" spans="1:39" ht="17.25" hidden="1" thickBot="1">
      <c r="A90" s="68"/>
      <c r="B90" s="78"/>
      <c r="C90" s="95"/>
      <c r="D90" s="83"/>
      <c r="E90" s="83"/>
      <c r="F90" s="83"/>
      <c r="G90" s="84"/>
      <c r="H90" s="102"/>
      <c r="I90" s="106">
        <f t="shared" si="7"/>
        <v>0</v>
      </c>
      <c r="J90" s="85"/>
      <c r="K90" s="16"/>
      <c r="L90" s="116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66">
        <f t="shared" si="10"/>
        <v>0</v>
      </c>
      <c r="AM90" s="28" t="str">
        <f t="shared" si="9"/>
        <v>OK</v>
      </c>
    </row>
    <row r="91" spans="1:39" ht="17.25" hidden="1" thickBot="1">
      <c r="A91" s="87"/>
      <c r="B91" s="93"/>
      <c r="C91" s="94"/>
      <c r="D91" s="88"/>
      <c r="E91" s="88"/>
      <c r="F91" s="88"/>
      <c r="G91" s="89"/>
      <c r="H91" s="104"/>
      <c r="I91" s="105">
        <f t="shared" si="7"/>
        <v>0</v>
      </c>
      <c r="J91" s="90"/>
      <c r="K91" s="91"/>
      <c r="L91" s="113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5"/>
      <c r="AL91" s="92">
        <f t="shared" si="10"/>
        <v>0</v>
      </c>
      <c r="AM91" s="122" t="str">
        <f t="shared" si="9"/>
        <v>OK</v>
      </c>
    </row>
    <row r="92" spans="1:39" ht="17.25" hidden="1" thickBot="1">
      <c r="A92" s="68"/>
      <c r="B92" s="78"/>
      <c r="C92" s="95"/>
      <c r="D92" s="83"/>
      <c r="E92" s="83"/>
      <c r="F92" s="83"/>
      <c r="G92" s="84"/>
      <c r="H92" s="102"/>
      <c r="I92" s="106">
        <f t="shared" si="7"/>
        <v>0</v>
      </c>
      <c r="J92" s="85"/>
      <c r="K92" s="16"/>
      <c r="L92" s="116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66">
        <f t="shared" si="10"/>
        <v>0</v>
      </c>
      <c r="AM92" s="28" t="str">
        <f t="shared" si="9"/>
        <v>OK</v>
      </c>
    </row>
    <row r="93" spans="1:39" ht="17.25" hidden="1" thickBot="1">
      <c r="A93" s="87"/>
      <c r="B93" s="93"/>
      <c r="C93" s="94"/>
      <c r="D93" s="88"/>
      <c r="E93" s="88"/>
      <c r="F93" s="88"/>
      <c r="G93" s="89"/>
      <c r="H93" s="104"/>
      <c r="I93" s="105">
        <f t="shared" si="7"/>
        <v>0</v>
      </c>
      <c r="J93" s="90"/>
      <c r="K93" s="91"/>
      <c r="L93" s="113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5"/>
      <c r="AL93" s="92">
        <f t="shared" si="10"/>
        <v>0</v>
      </c>
      <c r="AM93" s="122" t="str">
        <f t="shared" si="9"/>
        <v>OK</v>
      </c>
    </row>
    <row r="94" spans="1:39" ht="17.25" hidden="1" thickBot="1">
      <c r="A94" s="68"/>
      <c r="B94" s="78"/>
      <c r="C94" s="95"/>
      <c r="D94" s="83"/>
      <c r="E94" s="83"/>
      <c r="F94" s="83"/>
      <c r="G94" s="84"/>
      <c r="H94" s="102"/>
      <c r="I94" s="106">
        <f t="shared" si="7"/>
        <v>0</v>
      </c>
      <c r="J94" s="85"/>
      <c r="K94" s="16"/>
      <c r="L94" s="116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66">
        <f t="shared" si="10"/>
        <v>0</v>
      </c>
      <c r="AM94" s="28" t="str">
        <f t="shared" si="9"/>
        <v>OK</v>
      </c>
    </row>
    <row r="95" spans="1:39" ht="17.25" hidden="1" thickBot="1">
      <c r="A95" s="87"/>
      <c r="B95" s="93"/>
      <c r="C95" s="94"/>
      <c r="D95" s="88"/>
      <c r="E95" s="88"/>
      <c r="F95" s="88"/>
      <c r="G95" s="89"/>
      <c r="H95" s="104"/>
      <c r="I95" s="105">
        <f t="shared" si="7"/>
        <v>0</v>
      </c>
      <c r="J95" s="90"/>
      <c r="K95" s="91"/>
      <c r="L95" s="113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5"/>
      <c r="AL95" s="92">
        <f t="shared" si="10"/>
        <v>0</v>
      </c>
      <c r="AM95" s="122" t="str">
        <f t="shared" si="9"/>
        <v>OK</v>
      </c>
    </row>
    <row r="96" spans="1:39" ht="17.25" hidden="1" thickBot="1">
      <c r="A96" s="97"/>
      <c r="B96" s="98"/>
      <c r="C96" s="99"/>
      <c r="D96" s="83"/>
      <c r="E96" s="83"/>
      <c r="F96" s="83"/>
      <c r="G96" s="84"/>
      <c r="H96" s="107"/>
      <c r="I96" s="108">
        <f t="shared" si="7"/>
        <v>0</v>
      </c>
      <c r="J96" s="85"/>
      <c r="K96" s="16"/>
      <c r="L96" s="119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1"/>
      <c r="AL96" s="66">
        <f t="shared" si="10"/>
        <v>0</v>
      </c>
      <c r="AM96" s="28" t="str">
        <f t="shared" si="9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23290</v>
      </c>
      <c r="I97" s="46">
        <f>SUM(I6:I96)</f>
        <v>10</v>
      </c>
      <c r="J97" s="47">
        <f>SUM(J6:J74)</f>
        <v>0</v>
      </c>
      <c r="K97" s="9"/>
      <c r="L97" s="45">
        <f>SUM(L6:L96)</f>
        <v>3</v>
      </c>
      <c r="M97" s="45">
        <f t="shared" ref="M97:AI97" si="11">SUM(M6:M96)</f>
        <v>0</v>
      </c>
      <c r="N97" s="45">
        <f t="shared" si="11"/>
        <v>2</v>
      </c>
      <c r="O97" s="45">
        <f t="shared" si="11"/>
        <v>0</v>
      </c>
      <c r="P97" s="45">
        <f t="shared" si="11"/>
        <v>0</v>
      </c>
      <c r="Q97" s="45">
        <f t="shared" si="11"/>
        <v>0</v>
      </c>
      <c r="R97" s="45">
        <f t="shared" si="11"/>
        <v>0</v>
      </c>
      <c r="S97" s="45">
        <f t="shared" si="11"/>
        <v>0</v>
      </c>
      <c r="T97" s="45">
        <f t="shared" si="11"/>
        <v>0</v>
      </c>
      <c r="U97" s="45">
        <f t="shared" si="11"/>
        <v>0</v>
      </c>
      <c r="V97" s="45">
        <f t="shared" si="11"/>
        <v>0</v>
      </c>
      <c r="W97" s="45">
        <f t="shared" si="11"/>
        <v>0</v>
      </c>
      <c r="X97" s="45">
        <f t="shared" si="11"/>
        <v>0</v>
      </c>
      <c r="Y97" s="45">
        <f t="shared" si="11"/>
        <v>0</v>
      </c>
      <c r="Z97" s="45">
        <f t="shared" si="11"/>
        <v>0</v>
      </c>
      <c r="AA97" s="45">
        <f t="shared" si="11"/>
        <v>0</v>
      </c>
      <c r="AB97" s="45">
        <f t="shared" si="11"/>
        <v>0</v>
      </c>
      <c r="AC97" s="45">
        <f t="shared" si="11"/>
        <v>5</v>
      </c>
      <c r="AD97" s="45">
        <f t="shared" si="11"/>
        <v>0</v>
      </c>
      <c r="AE97" s="45">
        <f t="shared" si="11"/>
        <v>0</v>
      </c>
      <c r="AF97" s="45">
        <f t="shared" si="11"/>
        <v>0</v>
      </c>
      <c r="AG97" s="45">
        <f t="shared" si="11"/>
        <v>0</v>
      </c>
      <c r="AH97" s="45">
        <f t="shared" si="11"/>
        <v>0</v>
      </c>
      <c r="AI97" s="45">
        <f t="shared" si="11"/>
        <v>0</v>
      </c>
      <c r="AJ97" s="49">
        <f>SUM(AJ6:AJ96)</f>
        <v>0</v>
      </c>
      <c r="AK97" s="61">
        <f>SUM(AK6:AK96)</f>
        <v>0</v>
      </c>
      <c r="AL97" s="67">
        <f>SUM(AL6:AL96)</f>
        <v>10</v>
      </c>
      <c r="AM97" s="48" t="str">
        <f>IF(AL97=SUM(I97),"OK","NG")</f>
        <v>OK</v>
      </c>
    </row>
    <row r="100" spans="1:39">
      <c r="L100" s="86"/>
    </row>
  </sheetData>
  <autoFilter ref="A5:AM97" xr:uid="{00000000-0001-0000-0E00-000000000000}">
    <filterColumn colId="8">
      <filters>
        <filter val="10"/>
        <filter val="2"/>
        <filter val="3"/>
        <filter val="5"/>
      </filters>
    </filterColumn>
  </autoFilter>
  <mergeCells count="37">
    <mergeCell ref="AM4:AM5"/>
    <mergeCell ref="AG4:AG5"/>
    <mergeCell ref="AH4:AH5"/>
    <mergeCell ref="AI4:AI5"/>
    <mergeCell ref="AJ4:AJ5"/>
    <mergeCell ref="AK4:AK5"/>
    <mergeCell ref="AL4:AL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B1:C1"/>
    <mergeCell ref="F1:G1"/>
    <mergeCell ref="H1:J3"/>
    <mergeCell ref="B2:C2"/>
    <mergeCell ref="AM2:AM3"/>
    <mergeCell ref="B3:C3"/>
  </mergeCells>
  <phoneticPr fontId="3" type="noConversion"/>
  <conditionalFormatting sqref="A4 AM6:AM97">
    <cfRule type="containsText" dxfId="51" priority="7" operator="containsText" text="NG">
      <formula>NOT(ISERROR(SEARCH("NG",A4)))</formula>
    </cfRule>
    <cfRule type="containsText" dxfId="50" priority="8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51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6" filterMode="1">
    <pageSetUpPr fitToPage="1"/>
  </sheetPr>
  <dimension ref="A1:AM100"/>
  <sheetViews>
    <sheetView showGridLines="0" zoomScale="85" zoomScaleNormal="85" workbookViewId="0">
      <pane ySplit="5" topLeftCell="A15" activePane="bottomLeft" state="frozen"/>
      <selection activeCell="P19" sqref="P19"/>
      <selection pane="bottomLeft" activeCell="O70" sqref="O70"/>
    </sheetView>
  </sheetViews>
  <sheetFormatPr defaultColWidth="9" defaultRowHeight="16.5"/>
  <cols>
    <col min="1" max="1" width="14.75" style="132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16" width="8.75"/>
    <col min="17" max="20" width="9" customWidth="1"/>
    <col min="21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5" customHeight="1" thickBot="1">
      <c r="A1" s="37" t="s">
        <v>13</v>
      </c>
      <c r="B1" s="168">
        <f>H97</f>
        <v>23818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5" customHeight="1" thickBot="1">
      <c r="A2" s="37" t="s">
        <v>14</v>
      </c>
      <c r="B2" s="173">
        <f>I97</f>
        <v>13</v>
      </c>
      <c r="C2" s="174"/>
      <c r="D2" s="75"/>
      <c r="E2" s="71"/>
      <c r="F2" s="2"/>
      <c r="G2" s="2"/>
      <c r="H2" s="171"/>
      <c r="I2" s="171"/>
      <c r="J2" s="171"/>
      <c r="K2" s="3"/>
      <c r="L2" s="4">
        <f t="shared" ref="L2:AK2" si="0">SUBTOTAL(9,L6:L96)</f>
        <v>1</v>
      </c>
      <c r="M2" s="4">
        <f t="shared" si="0"/>
        <v>1</v>
      </c>
      <c r="N2" s="4">
        <f t="shared" si="0"/>
        <v>2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39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1</v>
      </c>
      <c r="Z2" s="5">
        <f t="shared" si="0"/>
        <v>2</v>
      </c>
      <c r="AA2" s="5">
        <f t="shared" si="0"/>
        <v>0</v>
      </c>
      <c r="AB2" s="5">
        <f t="shared" si="0"/>
        <v>1</v>
      </c>
      <c r="AC2" s="5">
        <f t="shared" si="0"/>
        <v>2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0</v>
      </c>
      <c r="AH2" s="5">
        <f t="shared" si="0"/>
        <v>0</v>
      </c>
      <c r="AI2" s="5">
        <f t="shared" si="0"/>
        <v>3</v>
      </c>
      <c r="AJ2" s="5">
        <f t="shared" si="0"/>
        <v>0</v>
      </c>
      <c r="AK2" s="59">
        <f t="shared" si="0"/>
        <v>0</v>
      </c>
      <c r="AL2" s="62">
        <f>SUBTOTAL(9,AL6:AL96)</f>
        <v>13</v>
      </c>
      <c r="AM2" s="175"/>
    </row>
    <row r="3" spans="1:39" customFormat="1" ht="22.5" customHeight="1" thickBot="1">
      <c r="A3" s="38" t="s">
        <v>15</v>
      </c>
      <c r="B3" s="177">
        <f>IF(ISERROR(B2/(B2+B1)*1000000),"",(B2/(B2+B1)*1000000))</f>
        <v>545.50795182745173</v>
      </c>
      <c r="C3" s="178"/>
      <c r="D3" s="73"/>
      <c r="E3" s="72"/>
      <c r="F3" s="32"/>
      <c r="G3" s="32"/>
      <c r="H3" s="172"/>
      <c r="I3" s="172"/>
      <c r="J3" s="172"/>
      <c r="K3" s="6"/>
      <c r="L3" s="7">
        <f t="shared" ref="L3:AK3" si="1">SUM(L6:L96)</f>
        <v>1</v>
      </c>
      <c r="M3" s="7">
        <f t="shared" si="1"/>
        <v>1</v>
      </c>
      <c r="N3" s="7">
        <f t="shared" si="1"/>
        <v>2</v>
      </c>
      <c r="O3" s="7">
        <f t="shared" si="1"/>
        <v>0</v>
      </c>
      <c r="P3" s="7">
        <f t="shared" si="1"/>
        <v>0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40">
        <f t="shared" si="1"/>
        <v>0</v>
      </c>
      <c r="U3" s="8">
        <f t="shared" si="1"/>
        <v>0</v>
      </c>
      <c r="V3" s="8">
        <f t="shared" si="1"/>
        <v>0</v>
      </c>
      <c r="W3" s="8">
        <f t="shared" si="1"/>
        <v>0</v>
      </c>
      <c r="X3" s="8">
        <f t="shared" si="1"/>
        <v>0</v>
      </c>
      <c r="Y3" s="8">
        <f t="shared" si="1"/>
        <v>1</v>
      </c>
      <c r="Z3" s="8">
        <f t="shared" si="1"/>
        <v>2</v>
      </c>
      <c r="AA3" s="8">
        <f t="shared" si="1"/>
        <v>0</v>
      </c>
      <c r="AB3" s="8">
        <f t="shared" si="1"/>
        <v>1</v>
      </c>
      <c r="AC3" s="8">
        <f t="shared" si="1"/>
        <v>2</v>
      </c>
      <c r="AD3" s="8">
        <f t="shared" si="1"/>
        <v>0</v>
      </c>
      <c r="AE3" s="8">
        <f t="shared" si="1"/>
        <v>0</v>
      </c>
      <c r="AF3" s="8">
        <f t="shared" si="1"/>
        <v>0</v>
      </c>
      <c r="AG3" s="8">
        <f t="shared" si="1"/>
        <v>0</v>
      </c>
      <c r="AH3" s="8">
        <f t="shared" si="1"/>
        <v>0</v>
      </c>
      <c r="AI3" s="8">
        <f t="shared" si="1"/>
        <v>3</v>
      </c>
      <c r="AJ3" s="8">
        <f t="shared" si="1"/>
        <v>0</v>
      </c>
      <c r="AK3" s="60">
        <f t="shared" si="1"/>
        <v>0</v>
      </c>
      <c r="AL3" s="63">
        <f>SUM(AL6:AL96)</f>
        <v>13</v>
      </c>
      <c r="AM3" s="176"/>
    </row>
    <row r="4" spans="1:39" customFormat="1" ht="43.5" customHeight="1">
      <c r="A4" s="163" t="str">
        <f>AM97</f>
        <v>OK</v>
      </c>
      <c r="B4" s="163"/>
      <c r="C4" s="163"/>
      <c r="D4" s="164"/>
      <c r="E4" s="165" t="s">
        <v>16</v>
      </c>
      <c r="F4" s="165"/>
      <c r="G4" s="165"/>
      <c r="H4" s="165" t="s">
        <v>17</v>
      </c>
      <c r="I4" s="165"/>
      <c r="J4" s="165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1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56" t="s">
        <v>12</v>
      </c>
      <c r="AL4" s="158" t="s">
        <v>36</v>
      </c>
      <c r="AM4" s="149" t="s">
        <v>37</v>
      </c>
    </row>
    <row r="5" spans="1:39" customFormat="1" ht="33.75" thickBot="1">
      <c r="A5" s="34" t="s">
        <v>3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138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6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3"/>
      <c r="AJ5" s="155"/>
      <c r="AK5" s="157"/>
      <c r="AL5" s="159"/>
      <c r="AM5" s="150"/>
    </row>
    <row r="6" spans="1:39" customFormat="1" hidden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34"/>
      <c r="I6" s="15">
        <f>SUM(L6:AK6)</f>
        <v>0</v>
      </c>
      <c r="J6" s="15"/>
      <c r="K6" s="16"/>
      <c r="L6" s="15"/>
      <c r="M6" s="15"/>
      <c r="N6" s="15"/>
      <c r="O6" s="15"/>
      <c r="P6" s="15"/>
      <c r="Q6" s="15"/>
      <c r="R6" s="15"/>
      <c r="S6" s="15"/>
      <c r="T6" s="41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3"/>
      <c r="AJ6" s="56"/>
      <c r="AK6" s="53"/>
      <c r="AL6" s="64">
        <f>SUM(L6:AK6)</f>
        <v>0</v>
      </c>
      <c r="AM6" s="31" t="str">
        <f t="shared" ref="AM6:AM74" si="2">IF(AL6=I6,"OK","NG")</f>
        <v>OK</v>
      </c>
    </row>
    <row r="7" spans="1:39" customFormat="1" hidden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135"/>
      <c r="I7" s="21">
        <f t="shared" ref="I7:I70" si="3">SUM(L7:AK7)</f>
        <v>0</v>
      </c>
      <c r="J7" s="21"/>
      <c r="K7" s="16"/>
      <c r="L7" s="21"/>
      <c r="M7" s="21"/>
      <c r="N7" s="21"/>
      <c r="O7" s="21"/>
      <c r="P7" s="21"/>
      <c r="Q7" s="21"/>
      <c r="R7" s="21"/>
      <c r="S7" s="21"/>
      <c r="T7" s="42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4"/>
      <c r="AJ7" s="57"/>
      <c r="AK7" s="54"/>
      <c r="AL7" s="65">
        <f t="shared" ref="AL7:AL74" si="4">SUM(L7:AK7)</f>
        <v>0</v>
      </c>
      <c r="AM7" s="22" t="str">
        <f t="shared" si="2"/>
        <v>OK</v>
      </c>
    </row>
    <row r="8" spans="1:39" customFormat="1" hidden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36"/>
      <c r="I8" s="27">
        <f t="shared" si="3"/>
        <v>0</v>
      </c>
      <c r="J8" s="27"/>
      <c r="K8" s="16"/>
      <c r="L8" s="27"/>
      <c r="M8" s="27"/>
      <c r="N8" s="27"/>
      <c r="O8" s="27"/>
      <c r="P8" s="27"/>
      <c r="Q8" s="27"/>
      <c r="R8" s="27"/>
      <c r="S8" s="27"/>
      <c r="T8" s="4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5"/>
      <c r="AJ8" s="58"/>
      <c r="AK8" s="55"/>
      <c r="AL8" s="66">
        <f t="shared" si="4"/>
        <v>0</v>
      </c>
      <c r="AM8" s="28" t="str">
        <f t="shared" si="2"/>
        <v>OK</v>
      </c>
    </row>
    <row r="9" spans="1:39" customFormat="1" hidden="1">
      <c r="A9" s="17" t="s">
        <v>68</v>
      </c>
      <c r="B9" s="77">
        <v>10897</v>
      </c>
      <c r="C9" s="17" t="s">
        <v>62</v>
      </c>
      <c r="D9" s="69"/>
      <c r="E9" s="18"/>
      <c r="F9" s="18"/>
      <c r="G9" s="19"/>
      <c r="H9" s="135"/>
      <c r="I9" s="21">
        <f t="shared" si="3"/>
        <v>0</v>
      </c>
      <c r="J9" s="21"/>
      <c r="K9" s="16"/>
      <c r="L9" s="21"/>
      <c r="M9" s="21"/>
      <c r="N9" s="21"/>
      <c r="O9" s="21"/>
      <c r="P9" s="21"/>
      <c r="Q9" s="21"/>
      <c r="R9" s="21"/>
      <c r="S9" s="21"/>
      <c r="T9" s="42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4"/>
      <c r="AJ9" s="57"/>
      <c r="AK9" s="54"/>
      <c r="AL9" s="65">
        <f t="shared" si="4"/>
        <v>0</v>
      </c>
      <c r="AM9" s="22" t="str">
        <f t="shared" si="2"/>
        <v>OK</v>
      </c>
    </row>
    <row r="10" spans="1:39" customFormat="1" hidden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36"/>
      <c r="I10" s="27">
        <f t="shared" si="3"/>
        <v>0</v>
      </c>
      <c r="J10" s="27"/>
      <c r="K10" s="16"/>
      <c r="L10" s="27"/>
      <c r="M10" s="27"/>
      <c r="N10" s="27"/>
      <c r="O10" s="27"/>
      <c r="P10" s="27"/>
      <c r="Q10" s="27"/>
      <c r="R10" s="27"/>
      <c r="S10" s="27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5"/>
      <c r="AJ10" s="58"/>
      <c r="AK10" s="55"/>
      <c r="AL10" s="66">
        <f t="shared" si="4"/>
        <v>0</v>
      </c>
      <c r="AM10" s="28" t="str">
        <f t="shared" si="2"/>
        <v>OK</v>
      </c>
    </row>
    <row r="11" spans="1:39" customFormat="1" hidden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135"/>
      <c r="I11" s="21">
        <f t="shared" si="3"/>
        <v>0</v>
      </c>
      <c r="J11" s="21"/>
      <c r="K11" s="16"/>
      <c r="L11" s="21"/>
      <c r="M11" s="21"/>
      <c r="N11" s="21"/>
      <c r="O11" s="21"/>
      <c r="P11" s="21"/>
      <c r="Q11" s="21"/>
      <c r="R11" s="21"/>
      <c r="S11" s="21"/>
      <c r="T11" s="42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4"/>
      <c r="AJ11" s="57"/>
      <c r="AK11" s="54"/>
      <c r="AL11" s="65">
        <f t="shared" si="4"/>
        <v>0</v>
      </c>
      <c r="AM11" s="22" t="str">
        <f t="shared" si="2"/>
        <v>OK</v>
      </c>
    </row>
    <row r="12" spans="1:39" customFormat="1" hidden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36"/>
      <c r="I12" s="27">
        <f t="shared" si="3"/>
        <v>0</v>
      </c>
      <c r="J12" s="27"/>
      <c r="K12" s="16"/>
      <c r="L12" s="27"/>
      <c r="M12" s="27"/>
      <c r="N12" s="27"/>
      <c r="O12" s="27"/>
      <c r="P12" s="27"/>
      <c r="Q12" s="27"/>
      <c r="R12" s="27"/>
      <c r="S12" s="27"/>
      <c r="T12" s="43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8"/>
      <c r="AK12" s="55"/>
      <c r="AL12" s="66">
        <f t="shared" si="4"/>
        <v>0</v>
      </c>
      <c r="AM12" s="28" t="str">
        <f t="shared" si="2"/>
        <v>OK</v>
      </c>
    </row>
    <row r="13" spans="1:39" customFormat="1" hidden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135"/>
      <c r="I13" s="21">
        <f t="shared" si="3"/>
        <v>0</v>
      </c>
      <c r="J13" s="21"/>
      <c r="K13" s="16"/>
      <c r="L13" s="21"/>
      <c r="M13" s="21"/>
      <c r="N13" s="21"/>
      <c r="O13" s="21"/>
      <c r="P13" s="21"/>
      <c r="Q13" s="21"/>
      <c r="R13" s="21"/>
      <c r="S13" s="21"/>
      <c r="T13" s="4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4"/>
      <c r="AJ13" s="57"/>
      <c r="AK13" s="54"/>
      <c r="AL13" s="65">
        <f t="shared" si="4"/>
        <v>0</v>
      </c>
      <c r="AM13" s="22" t="str">
        <f t="shared" si="2"/>
        <v>OK</v>
      </c>
    </row>
    <row r="14" spans="1:39" customFormat="1" hidden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36"/>
      <c r="I14" s="27">
        <f t="shared" si="3"/>
        <v>0</v>
      </c>
      <c r="J14" s="27"/>
      <c r="K14" s="16"/>
      <c r="L14" s="27"/>
      <c r="M14" s="27"/>
      <c r="N14" s="27"/>
      <c r="O14" s="27"/>
      <c r="P14" s="27"/>
      <c r="Q14" s="27"/>
      <c r="R14" s="27"/>
      <c r="S14" s="27"/>
      <c r="T14" s="43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5"/>
      <c r="AJ14" s="58"/>
      <c r="AK14" s="55"/>
      <c r="AL14" s="66">
        <f t="shared" si="4"/>
        <v>0</v>
      </c>
      <c r="AM14" s="28" t="str">
        <f t="shared" si="2"/>
        <v>OK</v>
      </c>
    </row>
    <row r="15" spans="1:39" customFormat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135">
        <f>720+600</f>
        <v>1320</v>
      </c>
      <c r="I15" s="21">
        <f t="shared" si="3"/>
        <v>1</v>
      </c>
      <c r="J15" s="21"/>
      <c r="K15" s="16"/>
      <c r="L15" s="21"/>
      <c r="M15" s="21"/>
      <c r="N15" s="21"/>
      <c r="O15" s="21"/>
      <c r="P15" s="21"/>
      <c r="Q15" s="21"/>
      <c r="R15" s="21"/>
      <c r="S15" s="21"/>
      <c r="T15" s="42"/>
      <c r="U15" s="51"/>
      <c r="V15" s="51"/>
      <c r="W15" s="51"/>
      <c r="X15" s="51"/>
      <c r="Y15" s="51">
        <v>1</v>
      </c>
      <c r="Z15" s="51"/>
      <c r="AA15" s="51"/>
      <c r="AB15" s="51"/>
      <c r="AC15" s="51"/>
      <c r="AD15" s="51"/>
      <c r="AE15" s="51"/>
      <c r="AF15" s="51"/>
      <c r="AG15" s="51"/>
      <c r="AH15" s="51"/>
      <c r="AI15" s="54"/>
      <c r="AJ15" s="57"/>
      <c r="AK15" s="54"/>
      <c r="AL15" s="65">
        <f t="shared" si="4"/>
        <v>1</v>
      </c>
      <c r="AM15" s="22" t="str">
        <f t="shared" si="2"/>
        <v>OK</v>
      </c>
    </row>
    <row r="16" spans="1:39" customFormat="1" hidden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36"/>
      <c r="I16" s="27">
        <f t="shared" si="3"/>
        <v>0</v>
      </c>
      <c r="J16" s="27"/>
      <c r="K16" s="16"/>
      <c r="L16" s="27"/>
      <c r="M16" s="27"/>
      <c r="N16" s="27"/>
      <c r="O16" s="27"/>
      <c r="P16" s="27"/>
      <c r="Q16" s="27"/>
      <c r="R16" s="27"/>
      <c r="S16" s="27"/>
      <c r="T16" s="43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8"/>
      <c r="AK16" s="55"/>
      <c r="AL16" s="66">
        <f t="shared" si="4"/>
        <v>0</v>
      </c>
      <c r="AM16" s="28" t="str">
        <f t="shared" si="2"/>
        <v>OK</v>
      </c>
    </row>
    <row r="17" spans="1:39" customFormat="1" hidden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135"/>
      <c r="I17" s="21">
        <f t="shared" si="3"/>
        <v>0</v>
      </c>
      <c r="J17" s="21"/>
      <c r="K17" s="16"/>
      <c r="L17" s="21"/>
      <c r="M17" s="21"/>
      <c r="N17" s="21"/>
      <c r="O17" s="21"/>
      <c r="P17" s="21"/>
      <c r="Q17" s="21"/>
      <c r="R17" s="21"/>
      <c r="S17" s="21"/>
      <c r="T17" s="42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4"/>
      <c r="AJ17" s="57"/>
      <c r="AK17" s="54"/>
      <c r="AL17" s="65">
        <f t="shared" si="4"/>
        <v>0</v>
      </c>
      <c r="AM17" s="22" t="str">
        <f t="shared" si="2"/>
        <v>OK</v>
      </c>
    </row>
    <row r="18" spans="1:39" customFormat="1" hidden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36"/>
      <c r="I18" s="27">
        <f t="shared" si="3"/>
        <v>0</v>
      </c>
      <c r="J18" s="27"/>
      <c r="K18" s="16"/>
      <c r="L18" s="27"/>
      <c r="M18" s="27"/>
      <c r="N18" s="27"/>
      <c r="O18" s="27"/>
      <c r="P18" s="27"/>
      <c r="Q18" s="27"/>
      <c r="R18" s="27"/>
      <c r="S18" s="27"/>
      <c r="T18" s="43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8"/>
      <c r="AK18" s="55"/>
      <c r="AL18" s="66">
        <f t="shared" si="4"/>
        <v>0</v>
      </c>
      <c r="AM18" s="28" t="str">
        <f t="shared" si="2"/>
        <v>OK</v>
      </c>
    </row>
    <row r="19" spans="1:39" customFormat="1" hidden="1">
      <c r="A19" s="17" t="s">
        <v>91</v>
      </c>
      <c r="B19" s="77">
        <v>14988</v>
      </c>
      <c r="C19" s="17" t="s">
        <v>168</v>
      </c>
      <c r="D19" s="69"/>
      <c r="E19" s="18"/>
      <c r="F19" s="18"/>
      <c r="G19" s="19"/>
      <c r="H19" s="135"/>
      <c r="I19" s="21">
        <f t="shared" si="3"/>
        <v>0</v>
      </c>
      <c r="J19" s="21"/>
      <c r="K19" s="16"/>
      <c r="L19" s="21"/>
      <c r="M19" s="21"/>
      <c r="N19" s="21"/>
      <c r="O19" s="21"/>
      <c r="P19" s="21"/>
      <c r="Q19" s="21"/>
      <c r="R19" s="21"/>
      <c r="S19" s="21"/>
      <c r="T19" s="42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4"/>
      <c r="AJ19" s="57"/>
      <c r="AK19" s="54"/>
      <c r="AL19" s="65">
        <f t="shared" si="4"/>
        <v>0</v>
      </c>
      <c r="AM19" s="22" t="str">
        <f t="shared" si="2"/>
        <v>OK</v>
      </c>
    </row>
    <row r="20" spans="1:39" customFormat="1" hidden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137"/>
      <c r="I20" s="27">
        <f t="shared" si="3"/>
        <v>0</v>
      </c>
      <c r="J20" s="27"/>
      <c r="K20" s="16"/>
      <c r="L20" s="27"/>
      <c r="M20" s="27"/>
      <c r="N20" s="27"/>
      <c r="O20" s="27"/>
      <c r="P20" s="27"/>
      <c r="Q20" s="27"/>
      <c r="R20" s="27"/>
      <c r="S20" s="27"/>
      <c r="T20" s="43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8"/>
      <c r="AK20" s="55"/>
      <c r="AL20" s="66">
        <f t="shared" si="4"/>
        <v>0</v>
      </c>
      <c r="AM20" s="28" t="str">
        <f t="shared" si="2"/>
        <v>OK</v>
      </c>
    </row>
    <row r="21" spans="1:39" customFormat="1" hidden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135"/>
      <c r="I21" s="21">
        <f t="shared" si="3"/>
        <v>0</v>
      </c>
      <c r="J21" s="21"/>
      <c r="K21" s="16"/>
      <c r="L21" s="21"/>
      <c r="M21" s="21"/>
      <c r="N21" s="21"/>
      <c r="O21" s="21"/>
      <c r="P21" s="21"/>
      <c r="Q21" s="21"/>
      <c r="R21" s="21"/>
      <c r="S21" s="21"/>
      <c r="T21" s="4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4"/>
      <c r="AJ21" s="57"/>
      <c r="AK21" s="54"/>
      <c r="AL21" s="65">
        <f t="shared" si="4"/>
        <v>0</v>
      </c>
      <c r="AM21" s="22" t="str">
        <f t="shared" si="2"/>
        <v>OK</v>
      </c>
    </row>
    <row r="22" spans="1:39" customFormat="1" hidden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36"/>
      <c r="I22" s="27">
        <f t="shared" si="3"/>
        <v>0</v>
      </c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43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5"/>
      <c r="AJ22" s="58"/>
      <c r="AK22" s="55"/>
      <c r="AL22" s="66">
        <f t="shared" si="4"/>
        <v>0</v>
      </c>
      <c r="AM22" s="28" t="str">
        <f t="shared" si="2"/>
        <v>OK</v>
      </c>
    </row>
    <row r="23" spans="1:39" customFormat="1" hidden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135"/>
      <c r="I23" s="21">
        <f t="shared" si="3"/>
        <v>0</v>
      </c>
      <c r="J23" s="21"/>
      <c r="K23" s="16"/>
      <c r="L23" s="21"/>
      <c r="M23" s="21"/>
      <c r="N23" s="21"/>
      <c r="O23" s="21"/>
      <c r="P23" s="21"/>
      <c r="Q23" s="21"/>
      <c r="R23" s="21"/>
      <c r="S23" s="21"/>
      <c r="T23" s="42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7"/>
      <c r="AK23" s="54"/>
      <c r="AL23" s="65">
        <f>SUM(L23:AK23)</f>
        <v>0</v>
      </c>
      <c r="AM23" s="22" t="str">
        <f t="shared" si="2"/>
        <v>OK</v>
      </c>
    </row>
    <row r="24" spans="1:39" customFormat="1">
      <c r="A24" s="68" t="s">
        <v>44</v>
      </c>
      <c r="B24" s="78">
        <v>10163</v>
      </c>
      <c r="C24" s="23" t="s">
        <v>45</v>
      </c>
      <c r="D24" s="24"/>
      <c r="E24" s="24"/>
      <c r="F24" s="24"/>
      <c r="G24" s="25"/>
      <c r="H24" s="136">
        <f>336+670+336+404</f>
        <v>1746</v>
      </c>
      <c r="I24" s="27">
        <f t="shared" si="3"/>
        <v>0</v>
      </c>
      <c r="J24" s="27"/>
      <c r="K24" s="16"/>
      <c r="L24" s="27"/>
      <c r="M24" s="27"/>
      <c r="N24" s="27"/>
      <c r="O24" s="27"/>
      <c r="P24" s="27"/>
      <c r="Q24" s="27"/>
      <c r="R24" s="27"/>
      <c r="S24" s="27"/>
      <c r="T24" s="43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5"/>
      <c r="AJ24" s="58"/>
      <c r="AK24" s="55"/>
      <c r="AL24" s="66">
        <f t="shared" si="4"/>
        <v>0</v>
      </c>
      <c r="AM24" s="28" t="str">
        <f t="shared" si="2"/>
        <v>OK</v>
      </c>
    </row>
    <row r="25" spans="1:39" customFormat="1" hidden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135"/>
      <c r="I25" s="21">
        <f t="shared" si="3"/>
        <v>0</v>
      </c>
      <c r="J25" s="21"/>
      <c r="K25" s="16"/>
      <c r="L25" s="21"/>
      <c r="M25" s="21"/>
      <c r="N25" s="21"/>
      <c r="O25" s="21"/>
      <c r="P25" s="21"/>
      <c r="Q25" s="21"/>
      <c r="R25" s="21"/>
      <c r="S25" s="21"/>
      <c r="T25" s="42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4"/>
      <c r="AJ25" s="57"/>
      <c r="AK25" s="54"/>
      <c r="AL25" s="65">
        <f t="shared" si="4"/>
        <v>0</v>
      </c>
      <c r="AM25" s="22" t="str">
        <f t="shared" si="2"/>
        <v>OK</v>
      </c>
    </row>
    <row r="26" spans="1:39" customFormat="1" hidden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36"/>
      <c r="I26" s="27">
        <f t="shared" si="3"/>
        <v>0</v>
      </c>
      <c r="J26" s="27"/>
      <c r="K26" s="16"/>
      <c r="L26" s="27"/>
      <c r="M26" s="27"/>
      <c r="N26" s="27"/>
      <c r="O26" s="27"/>
      <c r="P26" s="27"/>
      <c r="Q26" s="27"/>
      <c r="R26" s="27"/>
      <c r="S26" s="27"/>
      <c r="T26" s="43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8"/>
      <c r="AK26" s="55"/>
      <c r="AL26" s="66">
        <f t="shared" si="4"/>
        <v>0</v>
      </c>
      <c r="AM26" s="28" t="str">
        <f t="shared" si="2"/>
        <v>OK</v>
      </c>
    </row>
    <row r="27" spans="1:39" customFormat="1" hidden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135"/>
      <c r="I27" s="21">
        <f t="shared" si="3"/>
        <v>0</v>
      </c>
      <c r="J27" s="21"/>
      <c r="K27" s="16"/>
      <c r="L27" s="21"/>
      <c r="M27" s="21"/>
      <c r="N27" s="21"/>
      <c r="O27" s="21"/>
      <c r="P27" s="21"/>
      <c r="Q27" s="21"/>
      <c r="R27" s="21"/>
      <c r="S27" s="21"/>
      <c r="T27" s="4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7"/>
      <c r="AK27" s="54"/>
      <c r="AL27" s="65">
        <f t="shared" si="4"/>
        <v>0</v>
      </c>
      <c r="AM27" s="22" t="str">
        <f t="shared" si="2"/>
        <v>OK</v>
      </c>
    </row>
    <row r="28" spans="1:39" customFormat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136">
        <v>2184</v>
      </c>
      <c r="I28" s="27">
        <f t="shared" si="3"/>
        <v>3</v>
      </c>
      <c r="J28" s="27"/>
      <c r="K28" s="16"/>
      <c r="L28" s="27"/>
      <c r="M28" s="27">
        <v>1</v>
      </c>
      <c r="N28" s="27"/>
      <c r="O28" s="27"/>
      <c r="P28" s="27"/>
      <c r="Q28" s="27"/>
      <c r="R28" s="27"/>
      <c r="S28" s="27"/>
      <c r="T28" s="43"/>
      <c r="U28" s="52"/>
      <c r="V28" s="52"/>
      <c r="W28" s="52"/>
      <c r="X28" s="52"/>
      <c r="Y28" s="52"/>
      <c r="Z28" s="52">
        <v>2</v>
      </c>
      <c r="AA28" s="52"/>
      <c r="AB28" s="52"/>
      <c r="AC28" s="52"/>
      <c r="AD28" s="52"/>
      <c r="AE28" s="52"/>
      <c r="AF28" s="52"/>
      <c r="AG28" s="52"/>
      <c r="AH28" s="52"/>
      <c r="AI28" s="55"/>
      <c r="AJ28" s="58"/>
      <c r="AK28" s="55"/>
      <c r="AL28" s="66">
        <f t="shared" si="4"/>
        <v>3</v>
      </c>
      <c r="AM28" s="28" t="str">
        <f t="shared" si="2"/>
        <v>OK</v>
      </c>
    </row>
    <row r="29" spans="1:39" customFormat="1">
      <c r="A29" s="80" t="s">
        <v>71</v>
      </c>
      <c r="B29" s="77">
        <v>10151</v>
      </c>
      <c r="C29" s="17" t="s">
        <v>51</v>
      </c>
      <c r="D29" s="69"/>
      <c r="E29" s="18"/>
      <c r="F29" s="18"/>
      <c r="G29" s="19"/>
      <c r="H29" s="135">
        <v>1320</v>
      </c>
      <c r="I29" s="21">
        <f t="shared" si="3"/>
        <v>0</v>
      </c>
      <c r="J29" s="21"/>
      <c r="K29" s="16"/>
      <c r="L29" s="21"/>
      <c r="M29" s="21"/>
      <c r="N29" s="21"/>
      <c r="O29" s="21"/>
      <c r="P29" s="21"/>
      <c r="Q29" s="21"/>
      <c r="R29" s="21"/>
      <c r="S29" s="21"/>
      <c r="T29" s="42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4"/>
      <c r="AJ29" s="57"/>
      <c r="AK29" s="54"/>
      <c r="AL29" s="65">
        <f t="shared" si="4"/>
        <v>0</v>
      </c>
      <c r="AM29" s="22" t="str">
        <f t="shared" si="2"/>
        <v>OK</v>
      </c>
    </row>
    <row r="30" spans="1:39" customFormat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137">
        <f>342+648</f>
        <v>990</v>
      </c>
      <c r="I30" s="27">
        <f t="shared" si="3"/>
        <v>0</v>
      </c>
      <c r="J30" s="27"/>
      <c r="K30" s="16"/>
      <c r="L30" s="27"/>
      <c r="M30" s="27"/>
      <c r="N30" s="27"/>
      <c r="O30" s="27"/>
      <c r="P30" s="27"/>
      <c r="Q30" s="27"/>
      <c r="R30" s="27"/>
      <c r="S30" s="27"/>
      <c r="T30" s="43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5"/>
      <c r="AJ30" s="58"/>
      <c r="AK30" s="55"/>
      <c r="AL30" s="66">
        <f t="shared" si="4"/>
        <v>0</v>
      </c>
      <c r="AM30" s="28" t="str">
        <f t="shared" si="2"/>
        <v>OK</v>
      </c>
    </row>
    <row r="31" spans="1:39" customFormat="1" hidden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135"/>
      <c r="I31" s="21">
        <f t="shared" si="3"/>
        <v>0</v>
      </c>
      <c r="J31" s="21"/>
      <c r="K31" s="16"/>
      <c r="L31" s="21"/>
      <c r="M31" s="21"/>
      <c r="N31" s="21"/>
      <c r="O31" s="21"/>
      <c r="P31" s="21"/>
      <c r="Q31" s="21"/>
      <c r="R31" s="21"/>
      <c r="S31" s="21"/>
      <c r="T31" s="4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7"/>
      <c r="AK31" s="54"/>
      <c r="AL31" s="65">
        <f t="shared" si="4"/>
        <v>0</v>
      </c>
      <c r="AM31" s="22" t="str">
        <f t="shared" si="2"/>
        <v>OK</v>
      </c>
    </row>
    <row r="32" spans="1:39" customFormat="1" hidden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136"/>
      <c r="I32" s="27">
        <f t="shared" si="3"/>
        <v>0</v>
      </c>
      <c r="J32" s="27"/>
      <c r="K32" s="16"/>
      <c r="L32" s="27"/>
      <c r="M32" s="27"/>
      <c r="N32" s="27"/>
      <c r="O32" s="27"/>
      <c r="P32" s="27"/>
      <c r="Q32" s="27"/>
      <c r="R32" s="27"/>
      <c r="S32" s="27"/>
      <c r="T32" s="43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5"/>
      <c r="AJ32" s="58"/>
      <c r="AK32" s="55"/>
      <c r="AL32" s="66">
        <f t="shared" si="4"/>
        <v>0</v>
      </c>
      <c r="AM32" s="28" t="str">
        <f t="shared" si="2"/>
        <v>OK</v>
      </c>
    </row>
    <row r="33" spans="1:39" customFormat="1" hidden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135"/>
      <c r="I33" s="21">
        <f t="shared" si="3"/>
        <v>0</v>
      </c>
      <c r="J33" s="21"/>
      <c r="K33" s="16"/>
      <c r="L33" s="21"/>
      <c r="M33" s="21"/>
      <c r="N33" s="21"/>
      <c r="O33" s="21"/>
      <c r="P33" s="21"/>
      <c r="Q33" s="21"/>
      <c r="R33" s="21"/>
      <c r="S33" s="21"/>
      <c r="T33" s="42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4"/>
      <c r="AJ33" s="57"/>
      <c r="AK33" s="54"/>
      <c r="AL33" s="65">
        <f t="shared" si="4"/>
        <v>0</v>
      </c>
      <c r="AM33" s="22" t="str">
        <f t="shared" si="2"/>
        <v>OK</v>
      </c>
    </row>
    <row r="34" spans="1:39" customFormat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136">
        <f>750+330+330</f>
        <v>1410</v>
      </c>
      <c r="I34" s="27">
        <f t="shared" si="3"/>
        <v>0</v>
      </c>
      <c r="J34" s="27"/>
      <c r="K34" s="16"/>
      <c r="L34" s="27"/>
      <c r="M34" s="27"/>
      <c r="N34" s="27"/>
      <c r="O34" s="27"/>
      <c r="P34" s="27"/>
      <c r="Q34" s="27"/>
      <c r="R34" s="27"/>
      <c r="S34" s="27"/>
      <c r="T34" s="43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5"/>
      <c r="AJ34" s="58"/>
      <c r="AK34" s="55"/>
      <c r="AL34" s="66">
        <f t="shared" si="4"/>
        <v>0</v>
      </c>
      <c r="AM34" s="28" t="str">
        <f t="shared" si="2"/>
        <v>OK</v>
      </c>
    </row>
    <row r="35" spans="1:39" customFormat="1" hidden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135"/>
      <c r="I35" s="21">
        <f t="shared" si="3"/>
        <v>0</v>
      </c>
      <c r="J35" s="21"/>
      <c r="K35" s="16"/>
      <c r="L35" s="21"/>
      <c r="M35" s="21"/>
      <c r="N35" s="21"/>
      <c r="O35" s="21"/>
      <c r="P35" s="21"/>
      <c r="Q35" s="21"/>
      <c r="R35" s="21"/>
      <c r="S35" s="21"/>
      <c r="T35" s="42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4"/>
      <c r="AJ35" s="57"/>
      <c r="AK35" s="54"/>
      <c r="AL35" s="65">
        <f t="shared" si="4"/>
        <v>0</v>
      </c>
      <c r="AM35" s="22" t="str">
        <f t="shared" si="2"/>
        <v>OK</v>
      </c>
    </row>
    <row r="36" spans="1:39" customFormat="1" hidden="1">
      <c r="A36" s="68" t="s">
        <v>76</v>
      </c>
      <c r="B36" s="78">
        <v>10135</v>
      </c>
      <c r="C36" s="23" t="s">
        <v>56</v>
      </c>
      <c r="D36" s="24"/>
      <c r="E36" s="24"/>
      <c r="F36" s="24"/>
      <c r="G36" s="25"/>
      <c r="H36" s="136"/>
      <c r="I36" s="27">
        <f t="shared" si="3"/>
        <v>0</v>
      </c>
      <c r="J36" s="27"/>
      <c r="K36" s="16"/>
      <c r="L36" s="27"/>
      <c r="M36" s="27"/>
      <c r="N36" s="27"/>
      <c r="O36" s="27"/>
      <c r="P36" s="27"/>
      <c r="Q36" s="27"/>
      <c r="R36" s="27"/>
      <c r="S36" s="27"/>
      <c r="T36" s="43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5"/>
      <c r="AJ36" s="58"/>
      <c r="AK36" s="55"/>
      <c r="AL36" s="66">
        <f t="shared" si="4"/>
        <v>0</v>
      </c>
      <c r="AM36" s="28" t="str">
        <f t="shared" si="2"/>
        <v>OK</v>
      </c>
    </row>
    <row r="37" spans="1:39" customFormat="1">
      <c r="A37" s="80" t="s">
        <v>77</v>
      </c>
      <c r="B37" s="77">
        <v>10133</v>
      </c>
      <c r="C37" s="17" t="s">
        <v>55</v>
      </c>
      <c r="D37" s="69"/>
      <c r="E37" s="18"/>
      <c r="F37" s="18"/>
      <c r="G37" s="19"/>
      <c r="H37" s="135">
        <f>1220+119+1300</f>
        <v>2639</v>
      </c>
      <c r="I37" s="21">
        <f t="shared" si="3"/>
        <v>2</v>
      </c>
      <c r="J37" s="21"/>
      <c r="K37" s="16"/>
      <c r="L37" s="21"/>
      <c r="M37" s="21"/>
      <c r="N37" s="21">
        <v>2</v>
      </c>
      <c r="O37" s="21"/>
      <c r="P37" s="21"/>
      <c r="Q37" s="21"/>
      <c r="R37" s="21"/>
      <c r="S37" s="21"/>
      <c r="T37" s="42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4"/>
      <c r="AJ37" s="57"/>
      <c r="AK37" s="54"/>
      <c r="AL37" s="65">
        <f t="shared" si="4"/>
        <v>2</v>
      </c>
      <c r="AM37" s="22" t="str">
        <f t="shared" si="2"/>
        <v>OK</v>
      </c>
    </row>
    <row r="38" spans="1:39" customFormat="1">
      <c r="A38" s="68" t="s">
        <v>78</v>
      </c>
      <c r="B38" s="78">
        <v>10131</v>
      </c>
      <c r="C38" s="23" t="s">
        <v>56</v>
      </c>
      <c r="D38" s="24"/>
      <c r="E38" s="24"/>
      <c r="F38" s="24"/>
      <c r="G38" s="25"/>
      <c r="H38" s="136">
        <v>820</v>
      </c>
      <c r="I38" s="27">
        <f t="shared" si="3"/>
        <v>1</v>
      </c>
      <c r="J38" s="27"/>
      <c r="K38" s="16"/>
      <c r="L38" s="27">
        <v>1</v>
      </c>
      <c r="M38" s="27"/>
      <c r="N38" s="27"/>
      <c r="O38" s="27"/>
      <c r="P38" s="27"/>
      <c r="Q38" s="27"/>
      <c r="R38" s="27"/>
      <c r="S38" s="27"/>
      <c r="T38" s="43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5"/>
      <c r="AJ38" s="58"/>
      <c r="AK38" s="55"/>
      <c r="AL38" s="66">
        <f t="shared" ref="AL38:AL50" si="5">SUM(L38:AK38)</f>
        <v>1</v>
      </c>
      <c r="AM38" s="28" t="str">
        <f t="shared" si="2"/>
        <v>OK</v>
      </c>
    </row>
    <row r="39" spans="1:39" customFormat="1" hidden="1">
      <c r="A39" s="17" t="s">
        <v>79</v>
      </c>
      <c r="B39" s="77">
        <v>10129</v>
      </c>
      <c r="C39" s="17" t="s">
        <v>57</v>
      </c>
      <c r="D39" s="69"/>
      <c r="E39" s="18"/>
      <c r="F39" s="18"/>
      <c r="G39" s="19"/>
      <c r="H39" s="135"/>
      <c r="I39" s="21">
        <f t="shared" si="3"/>
        <v>0</v>
      </c>
      <c r="J39" s="21"/>
      <c r="K39" s="16"/>
      <c r="L39" s="21"/>
      <c r="M39" s="21"/>
      <c r="N39" s="21"/>
      <c r="O39" s="21"/>
      <c r="P39" s="21"/>
      <c r="Q39" s="21"/>
      <c r="R39" s="21"/>
      <c r="S39" s="21"/>
      <c r="T39" s="42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4"/>
      <c r="AJ39" s="57"/>
      <c r="AK39" s="54"/>
      <c r="AL39" s="65">
        <f t="shared" si="5"/>
        <v>0</v>
      </c>
      <c r="AM39" s="22" t="str">
        <f t="shared" si="2"/>
        <v>OK</v>
      </c>
    </row>
    <row r="40" spans="1:39" customFormat="1" hidden="1">
      <c r="A40" s="68" t="s">
        <v>80</v>
      </c>
      <c r="B40" s="78">
        <v>10127</v>
      </c>
      <c r="C40" s="23" t="s">
        <v>58</v>
      </c>
      <c r="D40" s="24"/>
      <c r="E40" s="24"/>
      <c r="F40" s="24"/>
      <c r="G40" s="25"/>
      <c r="H40" s="136"/>
      <c r="I40" s="27">
        <f t="shared" si="3"/>
        <v>0</v>
      </c>
      <c r="J40" s="27"/>
      <c r="K40" s="16"/>
      <c r="L40" s="27"/>
      <c r="M40" s="27"/>
      <c r="N40" s="27"/>
      <c r="O40" s="27"/>
      <c r="P40" s="27"/>
      <c r="Q40" s="27"/>
      <c r="R40" s="27"/>
      <c r="S40" s="27"/>
      <c r="T40" s="43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5"/>
      <c r="AJ40" s="58"/>
      <c r="AK40" s="55"/>
      <c r="AL40" s="66">
        <f t="shared" si="5"/>
        <v>0</v>
      </c>
      <c r="AM40" s="28" t="str">
        <f t="shared" si="2"/>
        <v>OK</v>
      </c>
    </row>
    <row r="41" spans="1:39" customFormat="1" hidden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135"/>
      <c r="I41" s="21">
        <f t="shared" si="3"/>
        <v>0</v>
      </c>
      <c r="J41" s="21"/>
      <c r="K41" s="16"/>
      <c r="L41" s="21"/>
      <c r="M41" s="21"/>
      <c r="N41" s="21"/>
      <c r="O41" s="21"/>
      <c r="P41" s="21"/>
      <c r="Q41" s="21"/>
      <c r="R41" s="21"/>
      <c r="S41" s="21"/>
      <c r="T41" s="4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4"/>
      <c r="AJ41" s="57"/>
      <c r="AK41" s="54"/>
      <c r="AL41" s="65">
        <f t="shared" si="5"/>
        <v>0</v>
      </c>
      <c r="AM41" s="22" t="str">
        <f t="shared" si="2"/>
        <v>OK</v>
      </c>
    </row>
    <row r="42" spans="1:39" customFormat="1" hidden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136"/>
      <c r="I42" s="27">
        <f t="shared" si="3"/>
        <v>0</v>
      </c>
      <c r="J42" s="27"/>
      <c r="K42" s="16"/>
      <c r="L42" s="27"/>
      <c r="M42" s="27"/>
      <c r="N42" s="27"/>
      <c r="O42" s="27"/>
      <c r="P42" s="27"/>
      <c r="Q42" s="27"/>
      <c r="R42" s="27"/>
      <c r="S42" s="27"/>
      <c r="T42" s="43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5"/>
      <c r="AJ42" s="58"/>
      <c r="AK42" s="55"/>
      <c r="AL42" s="66">
        <f t="shared" si="5"/>
        <v>0</v>
      </c>
      <c r="AM42" s="28" t="str">
        <f t="shared" si="2"/>
        <v>OK</v>
      </c>
    </row>
    <row r="43" spans="1:39" customFormat="1" hidden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135"/>
      <c r="I43" s="21">
        <f t="shared" si="3"/>
        <v>0</v>
      </c>
      <c r="J43" s="21"/>
      <c r="K43" s="16"/>
      <c r="L43" s="21"/>
      <c r="M43" s="21"/>
      <c r="N43" s="21"/>
      <c r="O43" s="21"/>
      <c r="P43" s="21"/>
      <c r="Q43" s="21"/>
      <c r="R43" s="21"/>
      <c r="S43" s="21"/>
      <c r="T43" s="42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4"/>
      <c r="AJ43" s="57"/>
      <c r="AK43" s="54"/>
      <c r="AL43" s="65">
        <f t="shared" si="5"/>
        <v>0</v>
      </c>
      <c r="AM43" s="22" t="str">
        <f t="shared" si="2"/>
        <v>OK</v>
      </c>
    </row>
    <row r="44" spans="1:39" customFormat="1" hidden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136"/>
      <c r="I44" s="27">
        <f t="shared" si="3"/>
        <v>0</v>
      </c>
      <c r="J44" s="27"/>
      <c r="K44" s="16"/>
      <c r="L44" s="27"/>
      <c r="M44" s="27"/>
      <c r="N44" s="27"/>
      <c r="O44" s="27"/>
      <c r="P44" s="27"/>
      <c r="Q44" s="27"/>
      <c r="R44" s="27"/>
      <c r="S44" s="27"/>
      <c r="T44" s="43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5"/>
      <c r="AJ44" s="58"/>
      <c r="AK44" s="55"/>
      <c r="AL44" s="66">
        <f t="shared" si="5"/>
        <v>0</v>
      </c>
      <c r="AM44" s="28" t="str">
        <f t="shared" si="2"/>
        <v>OK</v>
      </c>
    </row>
    <row r="45" spans="1:39" customFormat="1" hidden="1">
      <c r="A45" s="17" t="s">
        <v>107</v>
      </c>
      <c r="B45" s="77">
        <v>13467</v>
      </c>
      <c r="C45" s="17" t="s">
        <v>87</v>
      </c>
      <c r="D45" s="69"/>
      <c r="E45" s="18"/>
      <c r="F45" s="18"/>
      <c r="G45" s="19"/>
      <c r="H45" s="135"/>
      <c r="I45" s="21">
        <f t="shared" si="3"/>
        <v>0</v>
      </c>
      <c r="J45" s="21"/>
      <c r="K45" s="16"/>
      <c r="L45" s="21"/>
      <c r="M45" s="21"/>
      <c r="N45" s="21"/>
      <c r="O45" s="21"/>
      <c r="P45" s="21"/>
      <c r="Q45" s="21"/>
      <c r="R45" s="21"/>
      <c r="S45" s="21"/>
      <c r="T45" s="4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4"/>
      <c r="AJ45" s="57"/>
      <c r="AK45" s="54"/>
      <c r="AL45" s="65">
        <f t="shared" si="5"/>
        <v>0</v>
      </c>
      <c r="AM45" s="22" t="str">
        <f t="shared" si="2"/>
        <v>OK</v>
      </c>
    </row>
    <row r="46" spans="1:39" customFormat="1" hidden="1">
      <c r="A46" s="68" t="s">
        <v>111</v>
      </c>
      <c r="B46" s="78">
        <v>15948</v>
      </c>
      <c r="C46" s="23" t="s">
        <v>87</v>
      </c>
      <c r="D46" s="24"/>
      <c r="E46" s="24"/>
      <c r="F46" s="24"/>
      <c r="G46" s="25"/>
      <c r="H46" s="136"/>
      <c r="I46" s="27">
        <f t="shared" si="3"/>
        <v>0</v>
      </c>
      <c r="J46" s="27"/>
      <c r="K46" s="16"/>
      <c r="L46" s="27"/>
      <c r="M46" s="27"/>
      <c r="N46" s="27"/>
      <c r="O46" s="27"/>
      <c r="P46" s="27"/>
      <c r="Q46" s="27"/>
      <c r="R46" s="27"/>
      <c r="S46" s="27"/>
      <c r="T46" s="43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5"/>
      <c r="AJ46" s="58"/>
      <c r="AK46" s="55"/>
      <c r="AL46" s="66">
        <f t="shared" si="5"/>
        <v>0</v>
      </c>
      <c r="AM46" s="28" t="str">
        <f t="shared" si="2"/>
        <v>OK</v>
      </c>
    </row>
    <row r="47" spans="1:39" customFormat="1" hidden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135"/>
      <c r="I47" s="21">
        <f t="shared" si="3"/>
        <v>0</v>
      </c>
      <c r="J47" s="21"/>
      <c r="K47" s="16"/>
      <c r="L47" s="21"/>
      <c r="M47" s="21"/>
      <c r="N47" s="21"/>
      <c r="O47" s="21"/>
      <c r="P47" s="21"/>
      <c r="Q47" s="21"/>
      <c r="R47" s="21"/>
      <c r="S47" s="21"/>
      <c r="T47" s="42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4"/>
      <c r="AJ47" s="57"/>
      <c r="AK47" s="54"/>
      <c r="AL47" s="65">
        <f t="shared" si="5"/>
        <v>0</v>
      </c>
      <c r="AM47" s="22" t="str">
        <f t="shared" si="2"/>
        <v>OK</v>
      </c>
    </row>
    <row r="48" spans="1:39" customFormat="1">
      <c r="A48" s="68" t="s">
        <v>121</v>
      </c>
      <c r="B48" s="78">
        <v>16598</v>
      </c>
      <c r="C48" s="23" t="s">
        <v>87</v>
      </c>
      <c r="D48" s="24"/>
      <c r="E48" s="24"/>
      <c r="F48" s="24"/>
      <c r="G48" s="25"/>
      <c r="H48" s="136">
        <v>280</v>
      </c>
      <c r="I48" s="27">
        <f t="shared" si="3"/>
        <v>1</v>
      </c>
      <c r="J48" s="27"/>
      <c r="K48" s="16"/>
      <c r="L48" s="27"/>
      <c r="M48" s="27"/>
      <c r="N48" s="27"/>
      <c r="O48" s="27"/>
      <c r="P48" s="27"/>
      <c r="Q48" s="27"/>
      <c r="R48" s="27"/>
      <c r="S48" s="27"/>
      <c r="T48" s="43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5">
        <v>1</v>
      </c>
      <c r="AJ48" s="58"/>
      <c r="AK48" s="55"/>
      <c r="AL48" s="66">
        <f t="shared" si="5"/>
        <v>1</v>
      </c>
      <c r="AM48" s="28" t="str">
        <f t="shared" si="2"/>
        <v>OK</v>
      </c>
    </row>
    <row r="49" spans="1:39" customFormat="1" hidden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135"/>
      <c r="I49" s="21">
        <f t="shared" si="3"/>
        <v>0</v>
      </c>
      <c r="J49" s="21"/>
      <c r="K49" s="16"/>
      <c r="L49" s="21"/>
      <c r="M49" s="21"/>
      <c r="N49" s="21"/>
      <c r="O49" s="21"/>
      <c r="P49" s="21"/>
      <c r="Q49" s="21"/>
      <c r="R49" s="21"/>
      <c r="S49" s="21"/>
      <c r="T49" s="4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4"/>
      <c r="AJ49" s="57"/>
      <c r="AK49" s="54"/>
      <c r="AL49" s="65">
        <f t="shared" si="5"/>
        <v>0</v>
      </c>
      <c r="AM49" s="22" t="str">
        <f t="shared" si="2"/>
        <v>OK</v>
      </c>
    </row>
    <row r="50" spans="1:39" customFormat="1" hidden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136"/>
      <c r="I50" s="27">
        <f t="shared" si="3"/>
        <v>0</v>
      </c>
      <c r="J50" s="27"/>
      <c r="K50" s="16"/>
      <c r="L50" s="27"/>
      <c r="M50" s="27"/>
      <c r="N50" s="27"/>
      <c r="O50" s="27"/>
      <c r="P50" s="27"/>
      <c r="Q50" s="27"/>
      <c r="R50" s="27"/>
      <c r="S50" s="27"/>
      <c r="T50" s="43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8"/>
      <c r="AK50" s="55"/>
      <c r="AL50" s="66">
        <f t="shared" si="5"/>
        <v>0</v>
      </c>
      <c r="AM50" s="28" t="str">
        <f t="shared" si="2"/>
        <v>OK</v>
      </c>
    </row>
    <row r="51" spans="1:39" customFormat="1" hidden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135"/>
      <c r="I51" s="21">
        <f t="shared" si="3"/>
        <v>0</v>
      </c>
      <c r="J51" s="21"/>
      <c r="K51" s="16"/>
      <c r="L51" s="21"/>
      <c r="M51" s="21"/>
      <c r="N51" s="21"/>
      <c r="O51" s="21"/>
      <c r="P51" s="21"/>
      <c r="Q51" s="21"/>
      <c r="R51" s="21"/>
      <c r="S51" s="21"/>
      <c r="T51" s="4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4"/>
      <c r="AJ51" s="57"/>
      <c r="AK51" s="54"/>
      <c r="AL51" s="65">
        <f>SUM(L51:AK51)</f>
        <v>0</v>
      </c>
      <c r="AM51" s="22" t="str">
        <f t="shared" si="2"/>
        <v>OK</v>
      </c>
    </row>
    <row r="52" spans="1:39" customFormat="1" hidden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136"/>
      <c r="I52" s="27">
        <f t="shared" si="3"/>
        <v>0</v>
      </c>
      <c r="J52" s="27"/>
      <c r="K52" s="16"/>
      <c r="L52" s="27"/>
      <c r="M52" s="27"/>
      <c r="N52" s="27"/>
      <c r="O52" s="27"/>
      <c r="P52" s="27"/>
      <c r="Q52" s="27"/>
      <c r="R52" s="27"/>
      <c r="S52" s="27"/>
      <c r="T52" s="43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5"/>
      <c r="AJ52" s="58"/>
      <c r="AK52" s="55"/>
      <c r="AL52" s="66">
        <f t="shared" ref="AL52:AL64" si="6">SUM(L52:AK52)</f>
        <v>0</v>
      </c>
      <c r="AM52" s="28" t="str">
        <f t="shared" si="2"/>
        <v>OK</v>
      </c>
    </row>
    <row r="53" spans="1:39" customFormat="1" hidden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135"/>
      <c r="I53" s="21">
        <f t="shared" si="3"/>
        <v>0</v>
      </c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42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4"/>
      <c r="AJ53" s="57"/>
      <c r="AK53" s="54"/>
      <c r="AL53" s="65">
        <f t="shared" si="6"/>
        <v>0</v>
      </c>
      <c r="AM53" s="22" t="str">
        <f t="shared" si="2"/>
        <v>OK</v>
      </c>
    </row>
    <row r="54" spans="1:39" customFormat="1" hidden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136"/>
      <c r="I54" s="27">
        <f t="shared" si="3"/>
        <v>0</v>
      </c>
      <c r="J54" s="27"/>
      <c r="K54" s="16"/>
      <c r="L54" s="27"/>
      <c r="M54" s="27"/>
      <c r="N54" s="27"/>
      <c r="O54" s="27"/>
      <c r="P54" s="27"/>
      <c r="Q54" s="27"/>
      <c r="R54" s="27"/>
      <c r="S54" s="27"/>
      <c r="T54" s="43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5"/>
      <c r="AJ54" s="58"/>
      <c r="AK54" s="55"/>
      <c r="AL54" s="66">
        <f t="shared" si="6"/>
        <v>0</v>
      </c>
      <c r="AM54" s="28" t="str">
        <f t="shared" si="2"/>
        <v>OK</v>
      </c>
    </row>
    <row r="55" spans="1:39" customFormat="1" hidden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135"/>
      <c r="I55" s="21">
        <f t="shared" si="3"/>
        <v>0</v>
      </c>
      <c r="J55" s="21"/>
      <c r="K55" s="16"/>
      <c r="L55" s="21"/>
      <c r="M55" s="21"/>
      <c r="N55" s="21"/>
      <c r="O55" s="21"/>
      <c r="P55" s="21"/>
      <c r="Q55" s="21"/>
      <c r="R55" s="21"/>
      <c r="S55" s="21"/>
      <c r="T55" s="42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4"/>
      <c r="AJ55" s="57"/>
      <c r="AK55" s="54"/>
      <c r="AL55" s="65">
        <f t="shared" si="6"/>
        <v>0</v>
      </c>
      <c r="AM55" s="22" t="str">
        <f t="shared" si="2"/>
        <v>OK</v>
      </c>
    </row>
    <row r="56" spans="1:39" customFormat="1" hidden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136"/>
      <c r="I56" s="27">
        <f t="shared" si="3"/>
        <v>0</v>
      </c>
      <c r="J56" s="27"/>
      <c r="K56" s="16"/>
      <c r="L56" s="27"/>
      <c r="M56" s="27"/>
      <c r="N56" s="27"/>
      <c r="O56" s="27"/>
      <c r="P56" s="27"/>
      <c r="Q56" s="27"/>
      <c r="R56" s="27"/>
      <c r="S56" s="27"/>
      <c r="T56" s="43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5"/>
      <c r="AJ56" s="58"/>
      <c r="AK56" s="55"/>
      <c r="AL56" s="66">
        <f t="shared" si="6"/>
        <v>0</v>
      </c>
      <c r="AM56" s="28" t="str">
        <f t="shared" si="2"/>
        <v>OK</v>
      </c>
    </row>
    <row r="57" spans="1:39" customFormat="1" hidden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135"/>
      <c r="I57" s="21">
        <f t="shared" si="3"/>
        <v>0</v>
      </c>
      <c r="J57" s="21"/>
      <c r="K57" s="16"/>
      <c r="L57" s="21"/>
      <c r="M57" s="21"/>
      <c r="N57" s="21"/>
      <c r="O57" s="21"/>
      <c r="P57" s="21"/>
      <c r="Q57" s="21"/>
      <c r="R57" s="21"/>
      <c r="S57" s="21"/>
      <c r="T57" s="42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4"/>
      <c r="AJ57" s="57"/>
      <c r="AK57" s="54"/>
      <c r="AL57" s="65">
        <f t="shared" si="6"/>
        <v>0</v>
      </c>
      <c r="AM57" s="22" t="str">
        <f t="shared" si="2"/>
        <v>OK</v>
      </c>
    </row>
    <row r="58" spans="1:39" customFormat="1" hidden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136"/>
      <c r="I58" s="27">
        <f t="shared" si="3"/>
        <v>0</v>
      </c>
      <c r="J58" s="27"/>
      <c r="K58" s="16"/>
      <c r="L58" s="27"/>
      <c r="M58" s="27"/>
      <c r="N58" s="27"/>
      <c r="O58" s="27"/>
      <c r="P58" s="27"/>
      <c r="Q58" s="27"/>
      <c r="R58" s="27"/>
      <c r="S58" s="27"/>
      <c r="T58" s="43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5"/>
      <c r="AJ58" s="58"/>
      <c r="AK58" s="55"/>
      <c r="AL58" s="66">
        <f t="shared" si="6"/>
        <v>0</v>
      </c>
      <c r="AM58" s="28" t="str">
        <f t="shared" si="2"/>
        <v>OK</v>
      </c>
    </row>
    <row r="59" spans="1:39" customFormat="1" hidden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135"/>
      <c r="I59" s="21">
        <f t="shared" si="3"/>
        <v>0</v>
      </c>
      <c r="J59" s="21"/>
      <c r="K59" s="16"/>
      <c r="L59" s="21"/>
      <c r="M59" s="21"/>
      <c r="N59" s="21"/>
      <c r="O59" s="21"/>
      <c r="P59" s="21"/>
      <c r="Q59" s="21"/>
      <c r="R59" s="21"/>
      <c r="S59" s="21"/>
      <c r="T59" s="4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4"/>
      <c r="AJ59" s="57"/>
      <c r="AK59" s="54"/>
      <c r="AL59" s="65">
        <f t="shared" si="6"/>
        <v>0</v>
      </c>
      <c r="AM59" s="22" t="str">
        <f t="shared" si="2"/>
        <v>OK</v>
      </c>
    </row>
    <row r="60" spans="1:39" customFormat="1">
      <c r="A60" s="68" t="s">
        <v>84</v>
      </c>
      <c r="B60" s="78">
        <v>11380</v>
      </c>
      <c r="C60" s="23" t="s">
        <v>60</v>
      </c>
      <c r="D60" s="24"/>
      <c r="E60" s="24"/>
      <c r="F60" s="24"/>
      <c r="G60" s="25"/>
      <c r="H60" s="136">
        <v>880</v>
      </c>
      <c r="I60" s="27">
        <f t="shared" si="3"/>
        <v>0</v>
      </c>
      <c r="J60" s="27"/>
      <c r="K60" s="16"/>
      <c r="L60" s="27"/>
      <c r="M60" s="27"/>
      <c r="N60" s="27"/>
      <c r="O60" s="27"/>
      <c r="P60" s="27"/>
      <c r="Q60" s="27"/>
      <c r="R60" s="27"/>
      <c r="S60" s="27"/>
      <c r="T60" s="43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5"/>
      <c r="AJ60" s="58"/>
      <c r="AK60" s="55"/>
      <c r="AL60" s="66">
        <f t="shared" si="6"/>
        <v>0</v>
      </c>
      <c r="AM60" s="28" t="str">
        <f t="shared" si="2"/>
        <v>OK</v>
      </c>
    </row>
    <row r="61" spans="1:39" customFormat="1">
      <c r="A61" s="80" t="s">
        <v>112</v>
      </c>
      <c r="B61" s="77">
        <v>18518</v>
      </c>
      <c r="C61" s="17" t="s">
        <v>87</v>
      </c>
      <c r="D61" s="69"/>
      <c r="E61" s="18"/>
      <c r="F61" s="18"/>
      <c r="G61" s="19"/>
      <c r="H61" s="135">
        <f>1008+1006+1008</f>
        <v>3022</v>
      </c>
      <c r="I61" s="21">
        <f t="shared" si="3"/>
        <v>0</v>
      </c>
      <c r="J61" s="21"/>
      <c r="K61" s="16"/>
      <c r="L61" s="21"/>
      <c r="M61" s="21"/>
      <c r="N61" s="21"/>
      <c r="O61" s="21"/>
      <c r="P61" s="21"/>
      <c r="Q61" s="21"/>
      <c r="R61" s="21"/>
      <c r="S61" s="21"/>
      <c r="T61" s="4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4"/>
      <c r="AJ61" s="57"/>
      <c r="AK61" s="54"/>
      <c r="AL61" s="65">
        <f t="shared" si="6"/>
        <v>0</v>
      </c>
      <c r="AM61" s="22" t="str">
        <f t="shared" si="2"/>
        <v>OK</v>
      </c>
    </row>
    <row r="62" spans="1:39" customFormat="1" hidden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136"/>
      <c r="I62" s="27">
        <f t="shared" si="3"/>
        <v>0</v>
      </c>
      <c r="J62" s="27"/>
      <c r="K62" s="16"/>
      <c r="L62" s="27"/>
      <c r="M62" s="27"/>
      <c r="N62" s="27"/>
      <c r="O62" s="27"/>
      <c r="P62" s="27"/>
      <c r="Q62" s="27"/>
      <c r="R62" s="27"/>
      <c r="S62" s="27"/>
      <c r="T62" s="43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5"/>
      <c r="AJ62" s="58"/>
      <c r="AK62" s="55"/>
      <c r="AL62" s="66">
        <f t="shared" si="6"/>
        <v>0</v>
      </c>
      <c r="AM62" s="28" t="str">
        <f t="shared" si="2"/>
        <v>OK</v>
      </c>
    </row>
    <row r="63" spans="1:39" customFormat="1" hidden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135"/>
      <c r="I63" s="21">
        <f t="shared" si="3"/>
        <v>0</v>
      </c>
      <c r="J63" s="21"/>
      <c r="K63" s="16"/>
      <c r="L63" s="21"/>
      <c r="M63" s="21"/>
      <c r="N63" s="21"/>
      <c r="O63" s="21"/>
      <c r="P63" s="21"/>
      <c r="Q63" s="21"/>
      <c r="R63" s="21"/>
      <c r="S63" s="21"/>
      <c r="T63" s="4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4"/>
      <c r="AJ63" s="57"/>
      <c r="AK63" s="54"/>
      <c r="AL63" s="65">
        <f t="shared" si="6"/>
        <v>0</v>
      </c>
      <c r="AM63" s="22" t="str">
        <f t="shared" si="2"/>
        <v>OK</v>
      </c>
    </row>
    <row r="64" spans="1:39" customFormat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136">
        <v>1230</v>
      </c>
      <c r="I64" s="27">
        <f t="shared" si="3"/>
        <v>0</v>
      </c>
      <c r="J64" s="27"/>
      <c r="K64" s="16"/>
      <c r="L64" s="27"/>
      <c r="M64" s="27"/>
      <c r="N64" s="27"/>
      <c r="O64" s="27"/>
      <c r="P64" s="27"/>
      <c r="Q64" s="27"/>
      <c r="R64" s="27"/>
      <c r="S64" s="27"/>
      <c r="T64" s="43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5"/>
      <c r="AJ64" s="58"/>
      <c r="AK64" s="55"/>
      <c r="AL64" s="66">
        <f t="shared" si="6"/>
        <v>0</v>
      </c>
      <c r="AM64" s="28" t="str">
        <f t="shared" si="2"/>
        <v>OK</v>
      </c>
    </row>
    <row r="65" spans="1:39" customFormat="1" hidden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135"/>
      <c r="I65" s="21">
        <f t="shared" si="3"/>
        <v>0</v>
      </c>
      <c r="J65" s="21"/>
      <c r="K65" s="16"/>
      <c r="L65" s="21"/>
      <c r="M65" s="21"/>
      <c r="N65" s="21"/>
      <c r="O65" s="21"/>
      <c r="P65" s="21"/>
      <c r="Q65" s="21"/>
      <c r="R65" s="21"/>
      <c r="S65" s="21"/>
      <c r="T65" s="4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4"/>
      <c r="AJ65" s="57"/>
      <c r="AK65" s="54"/>
      <c r="AL65" s="65">
        <f t="shared" si="4"/>
        <v>0</v>
      </c>
      <c r="AM65" s="22" t="str">
        <f t="shared" si="2"/>
        <v>OK</v>
      </c>
    </row>
    <row r="66" spans="1:39" customFormat="1" hidden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136"/>
      <c r="I66" s="27">
        <f t="shared" si="3"/>
        <v>0</v>
      </c>
      <c r="J66" s="27"/>
      <c r="K66" s="16"/>
      <c r="L66" s="27"/>
      <c r="M66" s="27"/>
      <c r="N66" s="27"/>
      <c r="O66" s="27"/>
      <c r="P66" s="27"/>
      <c r="Q66" s="27"/>
      <c r="R66" s="27"/>
      <c r="S66" s="27"/>
      <c r="T66" s="43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5"/>
      <c r="AJ66" s="58"/>
      <c r="AK66" s="55"/>
      <c r="AL66" s="66">
        <f t="shared" si="4"/>
        <v>0</v>
      </c>
      <c r="AM66" s="28" t="str">
        <f t="shared" si="2"/>
        <v>OK</v>
      </c>
    </row>
    <row r="67" spans="1:39" customFormat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135">
        <v>384</v>
      </c>
      <c r="I67" s="21">
        <f t="shared" si="3"/>
        <v>0</v>
      </c>
      <c r="J67" s="21"/>
      <c r="K67" s="16"/>
      <c r="L67" s="21"/>
      <c r="M67" s="21"/>
      <c r="N67" s="21"/>
      <c r="O67" s="21"/>
      <c r="P67" s="21"/>
      <c r="Q67" s="21"/>
      <c r="R67" s="21"/>
      <c r="S67" s="21"/>
      <c r="T67" s="4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4"/>
      <c r="AJ67" s="57"/>
      <c r="AK67" s="54"/>
      <c r="AL67" s="65">
        <f t="shared" si="4"/>
        <v>0</v>
      </c>
      <c r="AM67" s="22" t="str">
        <f t="shared" si="2"/>
        <v>OK</v>
      </c>
    </row>
    <row r="68" spans="1:39" customFormat="1">
      <c r="A68" s="81" t="s">
        <v>132</v>
      </c>
      <c r="B68" s="78">
        <v>20269</v>
      </c>
      <c r="C68" s="23" t="s">
        <v>131</v>
      </c>
      <c r="D68" s="24"/>
      <c r="E68" s="24"/>
      <c r="F68" s="24"/>
      <c r="G68" s="25"/>
      <c r="H68" s="136">
        <f>800+1000+1400</f>
        <v>3200</v>
      </c>
      <c r="I68" s="27">
        <f t="shared" si="3"/>
        <v>1</v>
      </c>
      <c r="J68" s="27"/>
      <c r="K68" s="16"/>
      <c r="L68" s="27"/>
      <c r="M68" s="27"/>
      <c r="N68" s="27"/>
      <c r="O68" s="27"/>
      <c r="P68" s="27"/>
      <c r="Q68" s="27"/>
      <c r="R68" s="27"/>
      <c r="S68" s="27"/>
      <c r="T68" s="43"/>
      <c r="U68" s="52"/>
      <c r="V68" s="52"/>
      <c r="W68" s="52"/>
      <c r="X68" s="52"/>
      <c r="Y68" s="52"/>
      <c r="Z68" s="52"/>
      <c r="AA68" s="52"/>
      <c r="AB68" s="52">
        <v>1</v>
      </c>
      <c r="AC68" s="52"/>
      <c r="AD68" s="52"/>
      <c r="AE68" s="52"/>
      <c r="AF68" s="52"/>
      <c r="AG68" s="52"/>
      <c r="AH68" s="52"/>
      <c r="AI68" s="55"/>
      <c r="AJ68" s="58"/>
      <c r="AK68" s="55"/>
      <c r="AL68" s="66">
        <f t="shared" si="4"/>
        <v>1</v>
      </c>
      <c r="AM68" s="28" t="str">
        <f t="shared" si="2"/>
        <v>OK</v>
      </c>
    </row>
    <row r="69" spans="1:39" customFormat="1" hidden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135"/>
      <c r="I69" s="21">
        <f t="shared" si="3"/>
        <v>0</v>
      </c>
      <c r="J69" s="21"/>
      <c r="K69" s="16"/>
      <c r="L69" s="21"/>
      <c r="M69" s="21"/>
      <c r="N69" s="21"/>
      <c r="O69" s="21"/>
      <c r="P69" s="21"/>
      <c r="Q69" s="21"/>
      <c r="R69" s="21"/>
      <c r="S69" s="21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7"/>
      <c r="AK69" s="54"/>
      <c r="AL69" s="65">
        <f t="shared" si="4"/>
        <v>0</v>
      </c>
      <c r="AM69" s="22" t="str">
        <f t="shared" si="2"/>
        <v>OK</v>
      </c>
    </row>
    <row r="70" spans="1:39" customFormat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136">
        <f>1260+450+180</f>
        <v>1890</v>
      </c>
      <c r="I70" s="27">
        <f t="shared" si="3"/>
        <v>2</v>
      </c>
      <c r="J70" s="27"/>
      <c r="K70" s="16"/>
      <c r="L70" s="27"/>
      <c r="M70" s="27"/>
      <c r="N70" s="27"/>
      <c r="O70" s="27"/>
      <c r="P70" s="27"/>
      <c r="Q70" s="27"/>
      <c r="R70" s="27"/>
      <c r="S70" s="27"/>
      <c r="T70" s="43"/>
      <c r="U70" s="52"/>
      <c r="V70" s="52"/>
      <c r="W70" s="52"/>
      <c r="X70" s="52"/>
      <c r="Y70" s="52"/>
      <c r="Z70" s="52"/>
      <c r="AA70" s="52"/>
      <c r="AB70" s="52"/>
      <c r="AC70" s="52">
        <v>2</v>
      </c>
      <c r="AD70" s="52"/>
      <c r="AE70" s="52"/>
      <c r="AF70" s="52"/>
      <c r="AG70" s="52"/>
      <c r="AH70" s="52"/>
      <c r="AI70" s="55"/>
      <c r="AJ70" s="58"/>
      <c r="AK70" s="55"/>
      <c r="AL70" s="66">
        <f t="shared" si="4"/>
        <v>2</v>
      </c>
      <c r="AM70" s="28" t="str">
        <f t="shared" si="2"/>
        <v>OK</v>
      </c>
    </row>
    <row r="71" spans="1:39" customFormat="1" ht="17.25" thickBot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135">
        <v>503</v>
      </c>
      <c r="I71" s="21">
        <f t="shared" ref="I71:I96" si="7">SUM(L71:AK71)</f>
        <v>2</v>
      </c>
      <c r="J71" s="21"/>
      <c r="K71" s="16"/>
      <c r="L71" s="21"/>
      <c r="M71" s="21"/>
      <c r="N71" s="21"/>
      <c r="O71" s="21"/>
      <c r="P71" s="21"/>
      <c r="Q71" s="21"/>
      <c r="R71" s="21"/>
      <c r="S71" s="21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4">
        <v>2</v>
      </c>
      <c r="AJ71" s="57"/>
      <c r="AK71" s="54"/>
      <c r="AL71" s="65">
        <f t="shared" si="4"/>
        <v>2</v>
      </c>
      <c r="AM71" s="22" t="str">
        <f t="shared" si="2"/>
        <v>OK</v>
      </c>
    </row>
    <row r="72" spans="1:39" customFormat="1" ht="17.25" hidden="1" thickBot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136"/>
      <c r="I72" s="27">
        <f t="shared" si="7"/>
        <v>0</v>
      </c>
      <c r="J72" s="27"/>
      <c r="K72" s="16"/>
      <c r="L72" s="27"/>
      <c r="M72" s="27"/>
      <c r="N72" s="27"/>
      <c r="O72" s="27"/>
      <c r="P72" s="27"/>
      <c r="Q72" s="27"/>
      <c r="R72" s="27"/>
      <c r="S72" s="27"/>
      <c r="T72" s="43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5"/>
      <c r="AJ72" s="58"/>
      <c r="AK72" s="55"/>
      <c r="AL72" s="66">
        <f t="shared" si="4"/>
        <v>0</v>
      </c>
      <c r="AM72" s="28" t="str">
        <f t="shared" si="2"/>
        <v>OK</v>
      </c>
    </row>
    <row r="73" spans="1:39" customFormat="1" ht="17.25" hidden="1" thickBot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138"/>
      <c r="I73" s="101">
        <f t="shared" si="7"/>
        <v>0</v>
      </c>
      <c r="J73" s="21"/>
      <c r="K73" s="16"/>
      <c r="L73" s="21"/>
      <c r="M73" s="21"/>
      <c r="N73" s="21"/>
      <c r="O73" s="21"/>
      <c r="P73" s="21"/>
      <c r="Q73" s="21"/>
      <c r="R73" s="21"/>
      <c r="S73" s="21"/>
      <c r="T73" s="42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4"/>
      <c r="AJ73" s="57"/>
      <c r="AK73" s="54"/>
      <c r="AL73" s="65">
        <f t="shared" si="4"/>
        <v>0</v>
      </c>
      <c r="AM73" s="22" t="str">
        <f t="shared" si="2"/>
        <v>OK</v>
      </c>
    </row>
    <row r="74" spans="1:39" customFormat="1" ht="17.25" hidden="1" thickBot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139"/>
      <c r="I74" s="103">
        <f t="shared" si="7"/>
        <v>0</v>
      </c>
      <c r="J74" s="27"/>
      <c r="K74" s="16"/>
      <c r="L74" s="100"/>
      <c r="M74" s="100"/>
      <c r="N74" s="100"/>
      <c r="O74" s="100"/>
      <c r="P74" s="100"/>
      <c r="Q74" s="100"/>
      <c r="R74" s="100"/>
      <c r="S74" s="100"/>
      <c r="T74" s="109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1"/>
      <c r="AJ74" s="112"/>
      <c r="AK74" s="111"/>
      <c r="AL74" s="66">
        <f t="shared" si="4"/>
        <v>0</v>
      </c>
      <c r="AM74" s="28" t="str">
        <f t="shared" si="2"/>
        <v>OK</v>
      </c>
    </row>
    <row r="75" spans="1:39" ht="17.25" hidden="1" thickBot="1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40"/>
      <c r="I75" s="105">
        <f t="shared" si="7"/>
        <v>0</v>
      </c>
      <c r="J75" s="90"/>
      <c r="K75" s="91"/>
      <c r="L75" s="113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5"/>
      <c r="AL75" s="92">
        <f t="shared" ref="AL75:AL80" si="8">SUM(L75:AK75)</f>
        <v>0</v>
      </c>
      <c r="AM75" s="122" t="str">
        <f t="shared" ref="AM75:AM96" si="9">IF(AL75=I75,"OK","NG")</f>
        <v>OK</v>
      </c>
    </row>
    <row r="76" spans="1:39" ht="17.25" hidden="1" thickBot="1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139"/>
      <c r="I76" s="106">
        <f t="shared" si="7"/>
        <v>0</v>
      </c>
      <c r="J76" s="85"/>
      <c r="K76" s="16"/>
      <c r="L76" s="1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8"/>
      <c r="AL76" s="66">
        <f t="shared" si="8"/>
        <v>0</v>
      </c>
      <c r="AM76" s="28" t="str">
        <f t="shared" si="9"/>
        <v>OK</v>
      </c>
    </row>
    <row r="77" spans="1:39" ht="17.25" hidden="1" thickBot="1">
      <c r="A77" s="87" t="s">
        <v>165</v>
      </c>
      <c r="B77" s="93">
        <v>13007</v>
      </c>
      <c r="C77" s="94" t="s">
        <v>164</v>
      </c>
      <c r="D77" s="88"/>
      <c r="E77" s="88"/>
      <c r="F77" s="88"/>
      <c r="G77" s="89"/>
      <c r="H77" s="104"/>
      <c r="I77" s="105">
        <f t="shared" si="7"/>
        <v>0</v>
      </c>
      <c r="J77" s="90"/>
      <c r="K77" s="91"/>
      <c r="L77" s="113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5"/>
      <c r="AL77" s="92">
        <f t="shared" si="8"/>
        <v>0</v>
      </c>
      <c r="AM77" s="122" t="str">
        <f t="shared" si="9"/>
        <v>OK</v>
      </c>
    </row>
    <row r="78" spans="1:39" ht="17.25" hidden="1" thickBot="1">
      <c r="A78" s="68"/>
      <c r="B78" s="78"/>
      <c r="C78" s="95"/>
      <c r="D78" s="83"/>
      <c r="E78" s="83"/>
      <c r="F78" s="83"/>
      <c r="G78" s="84"/>
      <c r="H78" s="102"/>
      <c r="I78" s="106">
        <f t="shared" si="7"/>
        <v>0</v>
      </c>
      <c r="J78" s="85"/>
      <c r="K78" s="16"/>
      <c r="L78" s="1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66">
        <f t="shared" si="8"/>
        <v>0</v>
      </c>
      <c r="AM78" s="28" t="str">
        <f t="shared" si="9"/>
        <v>OK</v>
      </c>
    </row>
    <row r="79" spans="1:39" ht="17.25" hidden="1" thickBot="1">
      <c r="A79" s="87"/>
      <c r="B79" s="93"/>
      <c r="C79" s="94"/>
      <c r="D79" s="88"/>
      <c r="E79" s="88"/>
      <c r="F79" s="88"/>
      <c r="G79" s="89"/>
      <c r="H79" s="104"/>
      <c r="I79" s="105">
        <f t="shared" si="7"/>
        <v>0</v>
      </c>
      <c r="J79" s="90"/>
      <c r="K79" s="91"/>
      <c r="L79" s="113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5"/>
      <c r="AL79" s="92">
        <f t="shared" si="8"/>
        <v>0</v>
      </c>
      <c r="AM79" s="122" t="str">
        <f t="shared" si="9"/>
        <v>OK</v>
      </c>
    </row>
    <row r="80" spans="1:39" ht="17.25" hidden="1" thickBot="1">
      <c r="A80" s="68"/>
      <c r="B80" s="78"/>
      <c r="C80" s="95"/>
      <c r="D80" s="83"/>
      <c r="E80" s="83"/>
      <c r="F80" s="83"/>
      <c r="G80" s="84"/>
      <c r="H80" s="102"/>
      <c r="I80" s="106">
        <f t="shared" si="7"/>
        <v>0</v>
      </c>
      <c r="J80" s="85"/>
      <c r="K80" s="16"/>
      <c r="L80" s="116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66">
        <f t="shared" si="8"/>
        <v>0</v>
      </c>
      <c r="AM80" s="28" t="str">
        <f t="shared" si="9"/>
        <v>OK</v>
      </c>
    </row>
    <row r="81" spans="1:39" ht="17.25" hidden="1" thickBot="1">
      <c r="A81" s="87"/>
      <c r="B81" s="93"/>
      <c r="C81" s="94"/>
      <c r="D81" s="88"/>
      <c r="E81" s="88"/>
      <c r="F81" s="88"/>
      <c r="G81" s="89"/>
      <c r="H81" s="104"/>
      <c r="I81" s="105">
        <f t="shared" si="7"/>
        <v>0</v>
      </c>
      <c r="J81" s="90"/>
      <c r="K81" s="91"/>
      <c r="L81" s="113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5"/>
      <c r="AL81" s="92">
        <f t="shared" ref="AL81:AL96" si="10">SUM(L81:AK81)</f>
        <v>0</v>
      </c>
      <c r="AM81" s="122" t="str">
        <f t="shared" si="9"/>
        <v>OK</v>
      </c>
    </row>
    <row r="82" spans="1:39" ht="17.25" hidden="1" thickBot="1">
      <c r="A82" s="68"/>
      <c r="B82" s="78"/>
      <c r="C82" s="95"/>
      <c r="D82" s="83"/>
      <c r="E82" s="83"/>
      <c r="F82" s="83"/>
      <c r="G82" s="84"/>
      <c r="H82" s="102"/>
      <c r="I82" s="106">
        <f t="shared" si="7"/>
        <v>0</v>
      </c>
      <c r="J82" s="85"/>
      <c r="K82" s="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66">
        <f t="shared" si="10"/>
        <v>0</v>
      </c>
      <c r="AM82" s="28" t="str">
        <f t="shared" si="9"/>
        <v>OK</v>
      </c>
    </row>
    <row r="83" spans="1:39" ht="17.25" hidden="1" thickBot="1">
      <c r="A83" s="96"/>
      <c r="B83" s="93"/>
      <c r="C83" s="94"/>
      <c r="D83" s="88"/>
      <c r="E83" s="88"/>
      <c r="F83" s="88"/>
      <c r="G83" s="89"/>
      <c r="H83" s="104"/>
      <c r="I83" s="105">
        <f t="shared" si="7"/>
        <v>0</v>
      </c>
      <c r="J83" s="90"/>
      <c r="K83" s="91"/>
      <c r="L83" s="113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5"/>
      <c r="AL83" s="92">
        <f t="shared" si="10"/>
        <v>0</v>
      </c>
      <c r="AM83" s="122" t="str">
        <f t="shared" si="9"/>
        <v>OK</v>
      </c>
    </row>
    <row r="84" spans="1:39" ht="17.25" hidden="1" thickBot="1">
      <c r="A84" s="68"/>
      <c r="B84" s="78"/>
      <c r="C84" s="95"/>
      <c r="D84" s="83"/>
      <c r="E84" s="83"/>
      <c r="F84" s="83"/>
      <c r="G84" s="84"/>
      <c r="H84" s="102"/>
      <c r="I84" s="106">
        <f t="shared" si="7"/>
        <v>0</v>
      </c>
      <c r="J84" s="85"/>
      <c r="K84" s="16"/>
      <c r="L84" s="116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66">
        <f t="shared" si="10"/>
        <v>0</v>
      </c>
      <c r="AM84" s="28" t="str">
        <f t="shared" si="9"/>
        <v>OK</v>
      </c>
    </row>
    <row r="85" spans="1:39" ht="17.25" hidden="1" thickBot="1">
      <c r="A85" s="87"/>
      <c r="B85" s="93"/>
      <c r="C85" s="94"/>
      <c r="D85" s="88"/>
      <c r="E85" s="88"/>
      <c r="F85" s="88"/>
      <c r="G85" s="89"/>
      <c r="H85" s="104"/>
      <c r="I85" s="105">
        <f t="shared" si="7"/>
        <v>0</v>
      </c>
      <c r="J85" s="90"/>
      <c r="K85" s="91"/>
      <c r="L85" s="113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5"/>
      <c r="AL85" s="92">
        <f t="shared" si="10"/>
        <v>0</v>
      </c>
      <c r="AM85" s="122" t="str">
        <f t="shared" si="9"/>
        <v>OK</v>
      </c>
    </row>
    <row r="86" spans="1:39" ht="17.25" hidden="1" thickBot="1">
      <c r="A86" s="68"/>
      <c r="B86" s="78"/>
      <c r="C86" s="95"/>
      <c r="D86" s="83"/>
      <c r="E86" s="83"/>
      <c r="F86" s="83"/>
      <c r="G86" s="84"/>
      <c r="H86" s="102"/>
      <c r="I86" s="106">
        <f t="shared" si="7"/>
        <v>0</v>
      </c>
      <c r="J86" s="85"/>
      <c r="K86" s="16"/>
      <c r="L86" s="116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66">
        <f t="shared" si="10"/>
        <v>0</v>
      </c>
      <c r="AM86" s="28" t="str">
        <f t="shared" si="9"/>
        <v>OK</v>
      </c>
    </row>
    <row r="87" spans="1:39" ht="17.25" hidden="1" thickBot="1">
      <c r="A87" s="87"/>
      <c r="B87" s="93"/>
      <c r="C87" s="94"/>
      <c r="D87" s="88"/>
      <c r="E87" s="88"/>
      <c r="F87" s="88"/>
      <c r="G87" s="89"/>
      <c r="H87" s="104"/>
      <c r="I87" s="105">
        <f t="shared" si="7"/>
        <v>0</v>
      </c>
      <c r="J87" s="90"/>
      <c r="K87" s="91"/>
      <c r="L87" s="113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5"/>
      <c r="AL87" s="92">
        <f t="shared" si="10"/>
        <v>0</v>
      </c>
      <c r="AM87" s="122" t="str">
        <f t="shared" si="9"/>
        <v>OK</v>
      </c>
    </row>
    <row r="88" spans="1:39" ht="17.25" hidden="1" thickBot="1">
      <c r="A88" s="68"/>
      <c r="B88" s="78"/>
      <c r="C88" s="95"/>
      <c r="D88" s="83"/>
      <c r="E88" s="83"/>
      <c r="F88" s="83"/>
      <c r="G88" s="84"/>
      <c r="H88" s="102"/>
      <c r="I88" s="106">
        <f t="shared" si="7"/>
        <v>0</v>
      </c>
      <c r="J88" s="85"/>
      <c r="K88" s="16"/>
      <c r="L88" s="116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66">
        <f t="shared" si="10"/>
        <v>0</v>
      </c>
      <c r="AM88" s="28" t="str">
        <f t="shared" si="9"/>
        <v>OK</v>
      </c>
    </row>
    <row r="89" spans="1:39" ht="17.25" hidden="1" thickBot="1">
      <c r="A89" s="87"/>
      <c r="B89" s="93"/>
      <c r="C89" s="94"/>
      <c r="D89" s="88"/>
      <c r="E89" s="88"/>
      <c r="F89" s="88"/>
      <c r="G89" s="89"/>
      <c r="H89" s="104"/>
      <c r="I89" s="105">
        <f t="shared" si="7"/>
        <v>0</v>
      </c>
      <c r="J89" s="90"/>
      <c r="K89" s="91"/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5"/>
      <c r="AL89" s="92">
        <f t="shared" si="10"/>
        <v>0</v>
      </c>
      <c r="AM89" s="122" t="str">
        <f t="shared" si="9"/>
        <v>OK</v>
      </c>
    </row>
    <row r="90" spans="1:39" ht="17.25" hidden="1" thickBot="1">
      <c r="A90" s="68"/>
      <c r="B90" s="78"/>
      <c r="C90" s="95"/>
      <c r="D90" s="83"/>
      <c r="E90" s="83"/>
      <c r="F90" s="83"/>
      <c r="G90" s="84"/>
      <c r="H90" s="102"/>
      <c r="I90" s="106">
        <f t="shared" si="7"/>
        <v>0</v>
      </c>
      <c r="J90" s="85"/>
      <c r="K90" s="16"/>
      <c r="L90" s="116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66">
        <f t="shared" si="10"/>
        <v>0</v>
      </c>
      <c r="AM90" s="28" t="str">
        <f t="shared" si="9"/>
        <v>OK</v>
      </c>
    </row>
    <row r="91" spans="1:39" ht="17.25" hidden="1" thickBot="1">
      <c r="A91" s="87"/>
      <c r="B91" s="93"/>
      <c r="C91" s="94"/>
      <c r="D91" s="88"/>
      <c r="E91" s="88"/>
      <c r="F91" s="88"/>
      <c r="G91" s="89"/>
      <c r="H91" s="104"/>
      <c r="I91" s="105">
        <f t="shared" si="7"/>
        <v>0</v>
      </c>
      <c r="J91" s="90"/>
      <c r="K91" s="91"/>
      <c r="L91" s="113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5"/>
      <c r="AL91" s="92">
        <f t="shared" si="10"/>
        <v>0</v>
      </c>
      <c r="AM91" s="122" t="str">
        <f t="shared" si="9"/>
        <v>OK</v>
      </c>
    </row>
    <row r="92" spans="1:39" ht="17.25" hidden="1" thickBot="1">
      <c r="A92" s="68"/>
      <c r="B92" s="78"/>
      <c r="C92" s="95"/>
      <c r="D92" s="83"/>
      <c r="E92" s="83"/>
      <c r="F92" s="83"/>
      <c r="G92" s="84"/>
      <c r="H92" s="102"/>
      <c r="I92" s="106">
        <f t="shared" si="7"/>
        <v>0</v>
      </c>
      <c r="J92" s="85"/>
      <c r="K92" s="16"/>
      <c r="L92" s="116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66">
        <f t="shared" si="10"/>
        <v>0</v>
      </c>
      <c r="AM92" s="28" t="str">
        <f t="shared" si="9"/>
        <v>OK</v>
      </c>
    </row>
    <row r="93" spans="1:39" ht="17.25" hidden="1" thickBot="1">
      <c r="A93" s="87"/>
      <c r="B93" s="93"/>
      <c r="C93" s="94"/>
      <c r="D93" s="88"/>
      <c r="E93" s="88"/>
      <c r="F93" s="88"/>
      <c r="G93" s="89"/>
      <c r="H93" s="104"/>
      <c r="I93" s="105">
        <f t="shared" si="7"/>
        <v>0</v>
      </c>
      <c r="J93" s="90"/>
      <c r="K93" s="91"/>
      <c r="L93" s="113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5"/>
      <c r="AL93" s="92">
        <f t="shared" si="10"/>
        <v>0</v>
      </c>
      <c r="AM93" s="122" t="str">
        <f t="shared" si="9"/>
        <v>OK</v>
      </c>
    </row>
    <row r="94" spans="1:39" ht="17.25" hidden="1" thickBot="1">
      <c r="A94" s="68"/>
      <c r="B94" s="78"/>
      <c r="C94" s="95"/>
      <c r="D94" s="83"/>
      <c r="E94" s="83"/>
      <c r="F94" s="83"/>
      <c r="G94" s="84"/>
      <c r="H94" s="102"/>
      <c r="I94" s="106">
        <f t="shared" si="7"/>
        <v>0</v>
      </c>
      <c r="J94" s="85"/>
      <c r="K94" s="16"/>
      <c r="L94" s="116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66">
        <f t="shared" si="10"/>
        <v>0</v>
      </c>
      <c r="AM94" s="28" t="str">
        <f t="shared" si="9"/>
        <v>OK</v>
      </c>
    </row>
    <row r="95" spans="1:39" ht="17.25" hidden="1" thickBot="1">
      <c r="A95" s="87"/>
      <c r="B95" s="93"/>
      <c r="C95" s="94"/>
      <c r="D95" s="88"/>
      <c r="E95" s="88"/>
      <c r="F95" s="88"/>
      <c r="G95" s="89"/>
      <c r="H95" s="104"/>
      <c r="I95" s="105">
        <f t="shared" si="7"/>
        <v>0</v>
      </c>
      <c r="J95" s="90"/>
      <c r="K95" s="91"/>
      <c r="L95" s="113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5"/>
      <c r="AL95" s="92">
        <f t="shared" si="10"/>
        <v>0</v>
      </c>
      <c r="AM95" s="122" t="str">
        <f t="shared" si="9"/>
        <v>OK</v>
      </c>
    </row>
    <row r="96" spans="1:39" ht="17.25" hidden="1" thickBot="1">
      <c r="A96" s="97"/>
      <c r="B96" s="98"/>
      <c r="C96" s="99"/>
      <c r="D96" s="83"/>
      <c r="E96" s="83"/>
      <c r="F96" s="83"/>
      <c r="G96" s="84"/>
      <c r="H96" s="107"/>
      <c r="I96" s="108">
        <f t="shared" si="7"/>
        <v>0</v>
      </c>
      <c r="J96" s="85"/>
      <c r="K96" s="16"/>
      <c r="L96" s="119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1"/>
      <c r="AL96" s="66">
        <f t="shared" si="10"/>
        <v>0</v>
      </c>
      <c r="AM96" s="28" t="str">
        <f t="shared" si="9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23818</v>
      </c>
      <c r="I97" s="46">
        <f>SUM(I6:I96)</f>
        <v>13</v>
      </c>
      <c r="J97" s="47">
        <f>SUM(J6:J74)</f>
        <v>0</v>
      </c>
      <c r="K97" s="9"/>
      <c r="L97" s="45">
        <f>SUM(L6:L96)</f>
        <v>1</v>
      </c>
      <c r="M97" s="45">
        <f t="shared" ref="M97:AI97" si="11">SUM(M6:M96)</f>
        <v>1</v>
      </c>
      <c r="N97" s="45">
        <f t="shared" si="11"/>
        <v>2</v>
      </c>
      <c r="O97" s="45">
        <f t="shared" si="11"/>
        <v>0</v>
      </c>
      <c r="P97" s="45">
        <f t="shared" si="11"/>
        <v>0</v>
      </c>
      <c r="Q97" s="45">
        <f t="shared" si="11"/>
        <v>0</v>
      </c>
      <c r="R97" s="45">
        <f t="shared" si="11"/>
        <v>0</v>
      </c>
      <c r="S97" s="45">
        <f t="shared" si="11"/>
        <v>0</v>
      </c>
      <c r="T97" s="45">
        <f t="shared" si="11"/>
        <v>0</v>
      </c>
      <c r="U97" s="45">
        <f t="shared" si="11"/>
        <v>0</v>
      </c>
      <c r="V97" s="45">
        <f t="shared" si="11"/>
        <v>0</v>
      </c>
      <c r="W97" s="45">
        <f t="shared" si="11"/>
        <v>0</v>
      </c>
      <c r="X97" s="45">
        <f t="shared" si="11"/>
        <v>0</v>
      </c>
      <c r="Y97" s="45">
        <f t="shared" si="11"/>
        <v>1</v>
      </c>
      <c r="Z97" s="45">
        <f t="shared" si="11"/>
        <v>2</v>
      </c>
      <c r="AA97" s="45">
        <f t="shared" si="11"/>
        <v>0</v>
      </c>
      <c r="AB97" s="45">
        <f t="shared" si="11"/>
        <v>1</v>
      </c>
      <c r="AC97" s="45">
        <f t="shared" si="11"/>
        <v>2</v>
      </c>
      <c r="AD97" s="45">
        <f t="shared" si="11"/>
        <v>0</v>
      </c>
      <c r="AE97" s="45">
        <f t="shared" si="11"/>
        <v>0</v>
      </c>
      <c r="AF97" s="45">
        <f t="shared" si="11"/>
        <v>0</v>
      </c>
      <c r="AG97" s="45">
        <f t="shared" si="11"/>
        <v>0</v>
      </c>
      <c r="AH97" s="45">
        <f t="shared" si="11"/>
        <v>0</v>
      </c>
      <c r="AI97" s="45">
        <f t="shared" si="11"/>
        <v>3</v>
      </c>
      <c r="AJ97" s="49">
        <f>SUM(AJ6:AJ96)</f>
        <v>0</v>
      </c>
      <c r="AK97" s="61">
        <f>SUM(AK6:AK96)</f>
        <v>0</v>
      </c>
      <c r="AL97" s="67">
        <f>SUM(AL6:AL96)</f>
        <v>13</v>
      </c>
      <c r="AM97" s="48" t="str">
        <f>IF(AL97=SUM(I97),"OK","NG")</f>
        <v>OK</v>
      </c>
    </row>
    <row r="100" spans="1:39">
      <c r="L100" s="86"/>
    </row>
  </sheetData>
  <autoFilter ref="A5:AM97" xr:uid="{00000000-0001-0000-0D00-000000000000}">
    <filterColumn colId="7">
      <customFilters>
        <customFilter operator="notEqual" val=" "/>
      </customFilters>
    </filterColumn>
  </autoFilter>
  <mergeCells count="37">
    <mergeCell ref="AM4:AM5"/>
    <mergeCell ref="AG4:AG5"/>
    <mergeCell ref="AH4:AH5"/>
    <mergeCell ref="AI4:AI5"/>
    <mergeCell ref="AJ4:AJ5"/>
    <mergeCell ref="AK4:AK5"/>
    <mergeCell ref="AL4:AL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B1:C1"/>
    <mergeCell ref="F1:G1"/>
    <mergeCell ref="H1:J3"/>
    <mergeCell ref="B2:C2"/>
    <mergeCell ref="AM2:AM3"/>
    <mergeCell ref="B3:C3"/>
  </mergeCells>
  <phoneticPr fontId="3" type="noConversion"/>
  <conditionalFormatting sqref="A4 AM6:AM97">
    <cfRule type="containsText" dxfId="49" priority="7" operator="containsText" text="NG">
      <formula>NOT(ISERROR(SEARCH("NG",A4)))</formula>
    </cfRule>
    <cfRule type="containsText" dxfId="48" priority="8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51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 filterMode="1">
    <pageSetUpPr fitToPage="1"/>
  </sheetPr>
  <dimension ref="A1:AM103"/>
  <sheetViews>
    <sheetView showGridLines="0" zoomScale="85" zoomScaleNormal="85" workbookViewId="0">
      <pane ySplit="5" topLeftCell="A15" activePane="bottomLeft" state="frozen"/>
      <selection activeCell="P19" sqref="P19"/>
      <selection pane="bottomLeft" activeCell="A5" sqref="A5:XFD5"/>
    </sheetView>
  </sheetViews>
  <sheetFormatPr defaultColWidth="9" defaultRowHeight="16.5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16" width="8.75"/>
    <col min="17" max="20" width="9" customWidth="1"/>
    <col min="21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5" customHeight="1" thickBot="1">
      <c r="A1" s="37" t="s">
        <v>13</v>
      </c>
      <c r="B1" s="168">
        <f>H97</f>
        <v>20808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5" customHeight="1" thickBot="1">
      <c r="A2" s="37" t="s">
        <v>14</v>
      </c>
      <c r="B2" s="173">
        <f>I97</f>
        <v>14</v>
      </c>
      <c r="C2" s="174"/>
      <c r="D2" s="75"/>
      <c r="E2" s="71"/>
      <c r="F2" s="2"/>
      <c r="G2" s="2"/>
      <c r="H2" s="171"/>
      <c r="I2" s="171"/>
      <c r="J2" s="171"/>
      <c r="K2" s="3"/>
      <c r="L2" s="4">
        <f t="shared" ref="L2:AK2" si="0">SUBTOTAL(9,L6:L96)</f>
        <v>0</v>
      </c>
      <c r="M2" s="4">
        <f t="shared" si="0"/>
        <v>0</v>
      </c>
      <c r="N2" s="4">
        <f t="shared" si="0"/>
        <v>1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39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2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6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0</v>
      </c>
      <c r="AH2" s="5">
        <f t="shared" si="0"/>
        <v>0</v>
      </c>
      <c r="AI2" s="5">
        <f t="shared" si="0"/>
        <v>5</v>
      </c>
      <c r="AJ2" s="5">
        <f t="shared" si="0"/>
        <v>0</v>
      </c>
      <c r="AK2" s="59">
        <f t="shared" si="0"/>
        <v>0</v>
      </c>
      <c r="AL2" s="62">
        <f>SUBTOTAL(9,AL6:AL96)</f>
        <v>14</v>
      </c>
      <c r="AM2" s="175"/>
    </row>
    <row r="3" spans="1:39" customFormat="1" ht="22.5" customHeight="1" thickBot="1">
      <c r="A3" s="38" t="s">
        <v>15</v>
      </c>
      <c r="B3" s="177">
        <f>IF(ISERROR(B2/(B2+B1)*1000000),"",(B2/(B2+B1)*1000000))</f>
        <v>672.36576697723558</v>
      </c>
      <c r="C3" s="178"/>
      <c r="D3" s="73"/>
      <c r="E3" s="72"/>
      <c r="F3" s="32"/>
      <c r="G3" s="32"/>
      <c r="H3" s="172"/>
      <c r="I3" s="172"/>
      <c r="J3" s="172"/>
      <c r="K3" s="6"/>
      <c r="L3" s="7">
        <f t="shared" ref="L3:AK3" si="1">SUM(L6:L96)</f>
        <v>0</v>
      </c>
      <c r="M3" s="7">
        <f t="shared" si="1"/>
        <v>0</v>
      </c>
      <c r="N3" s="7">
        <f t="shared" si="1"/>
        <v>1</v>
      </c>
      <c r="O3" s="7">
        <f t="shared" si="1"/>
        <v>0</v>
      </c>
      <c r="P3" s="7">
        <f t="shared" si="1"/>
        <v>0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40">
        <f t="shared" si="1"/>
        <v>0</v>
      </c>
      <c r="U3" s="8">
        <f t="shared" si="1"/>
        <v>0</v>
      </c>
      <c r="V3" s="8">
        <f t="shared" si="1"/>
        <v>0</v>
      </c>
      <c r="W3" s="8">
        <f t="shared" si="1"/>
        <v>0</v>
      </c>
      <c r="X3" s="8">
        <f t="shared" si="1"/>
        <v>0</v>
      </c>
      <c r="Y3" s="8">
        <f t="shared" si="1"/>
        <v>2</v>
      </c>
      <c r="Z3" s="8">
        <f t="shared" si="1"/>
        <v>0</v>
      </c>
      <c r="AA3" s="8">
        <f t="shared" si="1"/>
        <v>0</v>
      </c>
      <c r="AB3" s="8">
        <f t="shared" si="1"/>
        <v>0</v>
      </c>
      <c r="AC3" s="8">
        <f t="shared" si="1"/>
        <v>6</v>
      </c>
      <c r="AD3" s="8">
        <f t="shared" si="1"/>
        <v>0</v>
      </c>
      <c r="AE3" s="8">
        <f t="shared" si="1"/>
        <v>0</v>
      </c>
      <c r="AF3" s="8">
        <f t="shared" si="1"/>
        <v>0</v>
      </c>
      <c r="AG3" s="8">
        <f t="shared" si="1"/>
        <v>0</v>
      </c>
      <c r="AH3" s="8">
        <f t="shared" si="1"/>
        <v>0</v>
      </c>
      <c r="AI3" s="8">
        <f t="shared" si="1"/>
        <v>5</v>
      </c>
      <c r="AJ3" s="8">
        <f t="shared" si="1"/>
        <v>0</v>
      </c>
      <c r="AK3" s="60">
        <f t="shared" si="1"/>
        <v>0</v>
      </c>
      <c r="AL3" s="63">
        <f>SUM(AL6:AL96)</f>
        <v>14</v>
      </c>
      <c r="AM3" s="176"/>
    </row>
    <row r="4" spans="1:39" customFormat="1" ht="43.5" customHeight="1">
      <c r="A4" s="163" t="str">
        <f>AM97</f>
        <v>OK</v>
      </c>
      <c r="B4" s="163"/>
      <c r="C4" s="163"/>
      <c r="D4" s="164"/>
      <c r="E4" s="165" t="s">
        <v>16</v>
      </c>
      <c r="F4" s="165"/>
      <c r="G4" s="165"/>
      <c r="H4" s="165" t="s">
        <v>17</v>
      </c>
      <c r="I4" s="165"/>
      <c r="J4" s="165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1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56" t="s">
        <v>12</v>
      </c>
      <c r="AL4" s="158" t="s">
        <v>36</v>
      </c>
      <c r="AM4" s="149" t="s">
        <v>37</v>
      </c>
    </row>
    <row r="5" spans="1:39" customFormat="1" ht="33.75" thickBot="1">
      <c r="A5" s="34" t="s">
        <v>3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137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6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3"/>
      <c r="AJ5" s="155"/>
      <c r="AK5" s="157"/>
      <c r="AL5" s="159"/>
      <c r="AM5" s="150"/>
    </row>
    <row r="6" spans="1:39" customFormat="1" hidden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34"/>
      <c r="I6" s="15">
        <f>SUM(L6:AK6)</f>
        <v>0</v>
      </c>
      <c r="J6" s="15"/>
      <c r="K6" s="16"/>
      <c r="L6" s="15"/>
      <c r="M6" s="15"/>
      <c r="N6" s="15"/>
      <c r="O6" s="15"/>
      <c r="P6" s="15"/>
      <c r="Q6" s="15"/>
      <c r="R6" s="15"/>
      <c r="S6" s="15"/>
      <c r="T6" s="41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3"/>
      <c r="AJ6" s="56"/>
      <c r="AK6" s="53"/>
      <c r="AL6" s="64">
        <f>SUM(L6:AK6)</f>
        <v>0</v>
      </c>
      <c r="AM6" s="31" t="str">
        <f t="shared" ref="AM6:AM74" si="2">IF(AL6=I6,"OK","NG")</f>
        <v>OK</v>
      </c>
    </row>
    <row r="7" spans="1:39" customFormat="1" hidden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135"/>
      <c r="I7" s="21">
        <f t="shared" ref="I7:I70" si="3">SUM(L7:AK7)</f>
        <v>0</v>
      </c>
      <c r="J7" s="21"/>
      <c r="K7" s="16"/>
      <c r="L7" s="21"/>
      <c r="M7" s="21"/>
      <c r="N7" s="21"/>
      <c r="O7" s="21"/>
      <c r="P7" s="21"/>
      <c r="Q7" s="21"/>
      <c r="R7" s="21"/>
      <c r="S7" s="21"/>
      <c r="T7" s="42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4"/>
      <c r="AJ7" s="57"/>
      <c r="AK7" s="54"/>
      <c r="AL7" s="65">
        <f t="shared" ref="AL7:AL74" si="4">SUM(L7:AK7)</f>
        <v>0</v>
      </c>
      <c r="AM7" s="22" t="str">
        <f t="shared" si="2"/>
        <v>OK</v>
      </c>
    </row>
    <row r="8" spans="1:39" customFormat="1" hidden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36"/>
      <c r="I8" s="27">
        <f t="shared" si="3"/>
        <v>0</v>
      </c>
      <c r="J8" s="27"/>
      <c r="K8" s="16"/>
      <c r="L8" s="27"/>
      <c r="M8" s="27"/>
      <c r="N8" s="27"/>
      <c r="O8" s="27"/>
      <c r="P8" s="27"/>
      <c r="Q8" s="27"/>
      <c r="R8" s="27"/>
      <c r="S8" s="27"/>
      <c r="T8" s="4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5"/>
      <c r="AJ8" s="58"/>
      <c r="AK8" s="55"/>
      <c r="AL8" s="66">
        <f t="shared" si="4"/>
        <v>0</v>
      </c>
      <c r="AM8" s="28" t="str">
        <f t="shared" si="2"/>
        <v>OK</v>
      </c>
    </row>
    <row r="9" spans="1:39" customFormat="1" hidden="1">
      <c r="A9" s="17" t="s">
        <v>68</v>
      </c>
      <c r="B9" s="77">
        <v>10897</v>
      </c>
      <c r="C9" s="17" t="s">
        <v>62</v>
      </c>
      <c r="D9" s="69"/>
      <c r="E9" s="18"/>
      <c r="F9" s="18"/>
      <c r="G9" s="19"/>
      <c r="H9" s="135"/>
      <c r="I9" s="21">
        <f t="shared" si="3"/>
        <v>0</v>
      </c>
      <c r="J9" s="21"/>
      <c r="K9" s="16"/>
      <c r="L9" s="21"/>
      <c r="M9" s="21"/>
      <c r="N9" s="21"/>
      <c r="O9" s="21"/>
      <c r="P9" s="21"/>
      <c r="Q9" s="21"/>
      <c r="R9" s="21"/>
      <c r="S9" s="21"/>
      <c r="T9" s="42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4"/>
      <c r="AJ9" s="57"/>
      <c r="AK9" s="54"/>
      <c r="AL9" s="65">
        <f t="shared" si="4"/>
        <v>0</v>
      </c>
      <c r="AM9" s="22" t="str">
        <f t="shared" si="2"/>
        <v>OK</v>
      </c>
    </row>
    <row r="10" spans="1:39" customFormat="1" hidden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36"/>
      <c r="I10" s="27">
        <f t="shared" si="3"/>
        <v>0</v>
      </c>
      <c r="J10" s="27"/>
      <c r="K10" s="16"/>
      <c r="L10" s="27"/>
      <c r="M10" s="27"/>
      <c r="N10" s="27"/>
      <c r="O10" s="27"/>
      <c r="P10" s="27"/>
      <c r="Q10" s="27"/>
      <c r="R10" s="27"/>
      <c r="S10" s="27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5"/>
      <c r="AJ10" s="58"/>
      <c r="AK10" s="55"/>
      <c r="AL10" s="66">
        <f t="shared" si="4"/>
        <v>0</v>
      </c>
      <c r="AM10" s="28" t="str">
        <f t="shared" si="2"/>
        <v>OK</v>
      </c>
    </row>
    <row r="11" spans="1:39" customFormat="1" hidden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135"/>
      <c r="I11" s="21">
        <f t="shared" si="3"/>
        <v>0</v>
      </c>
      <c r="J11" s="21"/>
      <c r="K11" s="16"/>
      <c r="L11" s="21"/>
      <c r="M11" s="21"/>
      <c r="N11" s="21"/>
      <c r="O11" s="21"/>
      <c r="P11" s="21"/>
      <c r="Q11" s="21"/>
      <c r="R11" s="21"/>
      <c r="S11" s="21"/>
      <c r="T11" s="42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4"/>
      <c r="AJ11" s="57"/>
      <c r="AK11" s="54"/>
      <c r="AL11" s="65">
        <f t="shared" si="4"/>
        <v>0</v>
      </c>
      <c r="AM11" s="22" t="str">
        <f t="shared" si="2"/>
        <v>OK</v>
      </c>
    </row>
    <row r="12" spans="1:39" customFormat="1" hidden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36"/>
      <c r="I12" s="27">
        <f t="shared" si="3"/>
        <v>0</v>
      </c>
      <c r="J12" s="27"/>
      <c r="K12" s="16"/>
      <c r="L12" s="27"/>
      <c r="M12" s="27"/>
      <c r="N12" s="27"/>
      <c r="O12" s="27"/>
      <c r="P12" s="27"/>
      <c r="Q12" s="27"/>
      <c r="R12" s="27"/>
      <c r="S12" s="27"/>
      <c r="T12" s="43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8"/>
      <c r="AK12" s="55"/>
      <c r="AL12" s="66">
        <f t="shared" si="4"/>
        <v>0</v>
      </c>
      <c r="AM12" s="28" t="str">
        <f t="shared" si="2"/>
        <v>OK</v>
      </c>
    </row>
    <row r="13" spans="1:39" customFormat="1" hidden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135"/>
      <c r="I13" s="21">
        <f t="shared" si="3"/>
        <v>0</v>
      </c>
      <c r="J13" s="21"/>
      <c r="K13" s="16"/>
      <c r="L13" s="21"/>
      <c r="M13" s="21"/>
      <c r="N13" s="21"/>
      <c r="O13" s="21"/>
      <c r="P13" s="21"/>
      <c r="Q13" s="21"/>
      <c r="R13" s="21"/>
      <c r="S13" s="21"/>
      <c r="T13" s="4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4"/>
      <c r="AJ13" s="57"/>
      <c r="AK13" s="54"/>
      <c r="AL13" s="65">
        <f t="shared" si="4"/>
        <v>0</v>
      </c>
      <c r="AM13" s="22" t="str">
        <f t="shared" si="2"/>
        <v>OK</v>
      </c>
    </row>
    <row r="14" spans="1:39" customFormat="1" hidden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36"/>
      <c r="I14" s="27">
        <f t="shared" si="3"/>
        <v>0</v>
      </c>
      <c r="J14" s="27"/>
      <c r="K14" s="16"/>
      <c r="L14" s="27"/>
      <c r="M14" s="27"/>
      <c r="N14" s="27"/>
      <c r="O14" s="27"/>
      <c r="P14" s="27"/>
      <c r="Q14" s="27"/>
      <c r="R14" s="27"/>
      <c r="S14" s="27"/>
      <c r="T14" s="43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5"/>
      <c r="AJ14" s="58"/>
      <c r="AK14" s="55"/>
      <c r="AL14" s="66">
        <f t="shared" si="4"/>
        <v>0</v>
      </c>
      <c r="AM14" s="28" t="str">
        <f t="shared" si="2"/>
        <v>OK</v>
      </c>
    </row>
    <row r="15" spans="1:39" customFormat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135">
        <v>1224</v>
      </c>
      <c r="I15" s="21">
        <f t="shared" si="3"/>
        <v>1</v>
      </c>
      <c r="J15" s="21"/>
      <c r="K15" s="16"/>
      <c r="L15" s="21"/>
      <c r="M15" s="21"/>
      <c r="N15" s="21"/>
      <c r="O15" s="21"/>
      <c r="P15" s="21"/>
      <c r="Q15" s="21"/>
      <c r="R15" s="21"/>
      <c r="S15" s="21"/>
      <c r="T15" s="42"/>
      <c r="U15" s="51"/>
      <c r="V15" s="51"/>
      <c r="W15" s="51"/>
      <c r="X15" s="51"/>
      <c r="Y15" s="51">
        <v>1</v>
      </c>
      <c r="Z15" s="51"/>
      <c r="AA15" s="51"/>
      <c r="AB15" s="51"/>
      <c r="AC15" s="51"/>
      <c r="AD15" s="51"/>
      <c r="AE15" s="51"/>
      <c r="AF15" s="51"/>
      <c r="AG15" s="51"/>
      <c r="AH15" s="51"/>
      <c r="AI15" s="54"/>
      <c r="AJ15" s="57"/>
      <c r="AK15" s="54"/>
      <c r="AL15" s="65">
        <f t="shared" si="4"/>
        <v>1</v>
      </c>
      <c r="AM15" s="22" t="str">
        <f t="shared" si="2"/>
        <v>OK</v>
      </c>
    </row>
    <row r="16" spans="1:39" customFormat="1" hidden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36"/>
      <c r="I16" s="27">
        <f t="shared" si="3"/>
        <v>0</v>
      </c>
      <c r="J16" s="27"/>
      <c r="K16" s="16"/>
      <c r="L16" s="27"/>
      <c r="M16" s="27"/>
      <c r="N16" s="27"/>
      <c r="O16" s="27"/>
      <c r="P16" s="27"/>
      <c r="Q16" s="27"/>
      <c r="R16" s="27"/>
      <c r="S16" s="27"/>
      <c r="T16" s="43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8"/>
      <c r="AK16" s="55"/>
      <c r="AL16" s="66">
        <f t="shared" si="4"/>
        <v>0</v>
      </c>
      <c r="AM16" s="28" t="str">
        <f t="shared" si="2"/>
        <v>OK</v>
      </c>
    </row>
    <row r="17" spans="1:39" customFormat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135">
        <v>840</v>
      </c>
      <c r="I17" s="21">
        <f t="shared" si="3"/>
        <v>0</v>
      </c>
      <c r="J17" s="21"/>
      <c r="K17" s="16"/>
      <c r="L17" s="21"/>
      <c r="M17" s="21"/>
      <c r="N17" s="21"/>
      <c r="O17" s="21"/>
      <c r="P17" s="21"/>
      <c r="Q17" s="21"/>
      <c r="R17" s="21"/>
      <c r="S17" s="21"/>
      <c r="T17" s="42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4"/>
      <c r="AJ17" s="57"/>
      <c r="AK17" s="54"/>
      <c r="AL17" s="65">
        <f t="shared" si="4"/>
        <v>0</v>
      </c>
      <c r="AM17" s="22" t="str">
        <f t="shared" si="2"/>
        <v>OK</v>
      </c>
    </row>
    <row r="18" spans="1:39" customFormat="1" hidden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36"/>
      <c r="I18" s="27">
        <f t="shared" si="3"/>
        <v>0</v>
      </c>
      <c r="J18" s="27"/>
      <c r="K18" s="16"/>
      <c r="L18" s="27"/>
      <c r="M18" s="27"/>
      <c r="N18" s="27"/>
      <c r="O18" s="27"/>
      <c r="P18" s="27"/>
      <c r="Q18" s="27"/>
      <c r="R18" s="27"/>
      <c r="S18" s="27"/>
      <c r="T18" s="43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8"/>
      <c r="AK18" s="55"/>
      <c r="AL18" s="66">
        <f t="shared" si="4"/>
        <v>0</v>
      </c>
      <c r="AM18" s="28" t="str">
        <f t="shared" si="2"/>
        <v>OK</v>
      </c>
    </row>
    <row r="19" spans="1:39" customFormat="1">
      <c r="A19" s="17" t="s">
        <v>91</v>
      </c>
      <c r="B19" s="77">
        <v>14988</v>
      </c>
      <c r="C19" s="17" t="s">
        <v>64</v>
      </c>
      <c r="D19" s="69"/>
      <c r="E19" s="18"/>
      <c r="F19" s="18"/>
      <c r="G19" s="19"/>
      <c r="H19" s="135">
        <f>960+3960</f>
        <v>4920</v>
      </c>
      <c r="I19" s="21">
        <f t="shared" si="3"/>
        <v>0</v>
      </c>
      <c r="J19" s="21"/>
      <c r="K19" s="16"/>
      <c r="L19" s="21"/>
      <c r="M19" s="21"/>
      <c r="N19" s="21"/>
      <c r="O19" s="21"/>
      <c r="P19" s="21"/>
      <c r="Q19" s="21"/>
      <c r="R19" s="21"/>
      <c r="S19" s="21"/>
      <c r="T19" s="42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4"/>
      <c r="AJ19" s="57"/>
      <c r="AK19" s="54"/>
      <c r="AL19" s="65">
        <f t="shared" si="4"/>
        <v>0</v>
      </c>
      <c r="AM19" s="22" t="str">
        <f t="shared" si="2"/>
        <v>OK</v>
      </c>
    </row>
    <row r="20" spans="1:39" customFormat="1" hidden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136"/>
      <c r="I20" s="27">
        <f t="shared" si="3"/>
        <v>0</v>
      </c>
      <c r="J20" s="27"/>
      <c r="K20" s="16"/>
      <c r="L20" s="27"/>
      <c r="M20" s="27"/>
      <c r="N20" s="27"/>
      <c r="O20" s="27"/>
      <c r="P20" s="27"/>
      <c r="Q20" s="27"/>
      <c r="R20" s="27"/>
      <c r="S20" s="27"/>
      <c r="T20" s="43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8"/>
      <c r="AK20" s="55"/>
      <c r="AL20" s="66">
        <f t="shared" si="4"/>
        <v>0</v>
      </c>
      <c r="AM20" s="28" t="str">
        <f t="shared" si="2"/>
        <v>OK</v>
      </c>
    </row>
    <row r="21" spans="1:39" customFormat="1" hidden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135"/>
      <c r="I21" s="21">
        <f t="shared" si="3"/>
        <v>0</v>
      </c>
      <c r="J21" s="21"/>
      <c r="K21" s="16"/>
      <c r="L21" s="21"/>
      <c r="M21" s="21"/>
      <c r="N21" s="21"/>
      <c r="O21" s="21"/>
      <c r="P21" s="21"/>
      <c r="Q21" s="21"/>
      <c r="R21" s="21"/>
      <c r="S21" s="21"/>
      <c r="T21" s="4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4"/>
      <c r="AJ21" s="57"/>
      <c r="AK21" s="54"/>
      <c r="AL21" s="65">
        <f t="shared" si="4"/>
        <v>0</v>
      </c>
      <c r="AM21" s="22" t="str">
        <f t="shared" si="2"/>
        <v>OK</v>
      </c>
    </row>
    <row r="22" spans="1:39" customFormat="1" hidden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36"/>
      <c r="I22" s="27">
        <f t="shared" si="3"/>
        <v>0</v>
      </c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43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5"/>
      <c r="AJ22" s="58"/>
      <c r="AK22" s="55"/>
      <c r="AL22" s="66">
        <f t="shared" si="4"/>
        <v>0</v>
      </c>
      <c r="AM22" s="28" t="str">
        <f t="shared" si="2"/>
        <v>OK</v>
      </c>
    </row>
    <row r="23" spans="1:39" customFormat="1" hidden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135"/>
      <c r="I23" s="21">
        <f t="shared" si="3"/>
        <v>0</v>
      </c>
      <c r="J23" s="21"/>
      <c r="K23" s="16"/>
      <c r="L23" s="21"/>
      <c r="M23" s="21"/>
      <c r="N23" s="21"/>
      <c r="O23" s="21"/>
      <c r="P23" s="21"/>
      <c r="Q23" s="21"/>
      <c r="R23" s="21"/>
      <c r="S23" s="21"/>
      <c r="T23" s="42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7"/>
      <c r="AK23" s="54"/>
      <c r="AL23" s="65">
        <f>SUM(L23:AK23)</f>
        <v>0</v>
      </c>
      <c r="AM23" s="22" t="str">
        <f t="shared" si="2"/>
        <v>OK</v>
      </c>
    </row>
    <row r="24" spans="1:39" customFormat="1" hidden="1">
      <c r="A24" s="68" t="s">
        <v>44</v>
      </c>
      <c r="B24" s="78">
        <v>10163</v>
      </c>
      <c r="C24" s="23" t="s">
        <v>45</v>
      </c>
      <c r="D24" s="24"/>
      <c r="E24" s="24"/>
      <c r="F24" s="24"/>
      <c r="G24" s="25"/>
      <c r="H24" s="136"/>
      <c r="I24" s="27">
        <f t="shared" si="3"/>
        <v>0</v>
      </c>
      <c r="J24" s="27"/>
      <c r="K24" s="16"/>
      <c r="L24" s="27"/>
      <c r="M24" s="27"/>
      <c r="N24" s="27"/>
      <c r="O24" s="27"/>
      <c r="P24" s="27"/>
      <c r="Q24" s="27"/>
      <c r="R24" s="27"/>
      <c r="S24" s="27"/>
      <c r="T24" s="43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5"/>
      <c r="AJ24" s="58"/>
      <c r="AK24" s="55"/>
      <c r="AL24" s="66">
        <f t="shared" si="4"/>
        <v>0</v>
      </c>
      <c r="AM24" s="28" t="str">
        <f t="shared" si="2"/>
        <v>OK</v>
      </c>
    </row>
    <row r="25" spans="1:39" customFormat="1" hidden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135"/>
      <c r="I25" s="21">
        <f t="shared" si="3"/>
        <v>0</v>
      </c>
      <c r="J25" s="21"/>
      <c r="K25" s="16"/>
      <c r="L25" s="21"/>
      <c r="M25" s="21"/>
      <c r="N25" s="21"/>
      <c r="O25" s="21"/>
      <c r="P25" s="21"/>
      <c r="Q25" s="21"/>
      <c r="R25" s="21"/>
      <c r="S25" s="21"/>
      <c r="T25" s="42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4"/>
      <c r="AJ25" s="57"/>
      <c r="AK25" s="54"/>
      <c r="AL25" s="65">
        <f t="shared" si="4"/>
        <v>0</v>
      </c>
      <c r="AM25" s="22" t="str">
        <f t="shared" si="2"/>
        <v>OK</v>
      </c>
    </row>
    <row r="26" spans="1:39" customFormat="1" hidden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36"/>
      <c r="I26" s="27">
        <f t="shared" si="3"/>
        <v>0</v>
      </c>
      <c r="J26" s="27"/>
      <c r="K26" s="16"/>
      <c r="L26" s="27"/>
      <c r="M26" s="27"/>
      <c r="N26" s="27"/>
      <c r="O26" s="27"/>
      <c r="P26" s="27"/>
      <c r="Q26" s="27"/>
      <c r="R26" s="27"/>
      <c r="S26" s="27"/>
      <c r="T26" s="43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8"/>
      <c r="AK26" s="55"/>
      <c r="AL26" s="66">
        <f t="shared" si="4"/>
        <v>0</v>
      </c>
      <c r="AM26" s="28" t="str">
        <f t="shared" si="2"/>
        <v>OK</v>
      </c>
    </row>
    <row r="27" spans="1:39" customFormat="1" hidden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135"/>
      <c r="I27" s="21">
        <f t="shared" si="3"/>
        <v>0</v>
      </c>
      <c r="J27" s="21"/>
      <c r="K27" s="16"/>
      <c r="L27" s="21"/>
      <c r="M27" s="21"/>
      <c r="N27" s="21"/>
      <c r="O27" s="21"/>
      <c r="P27" s="21"/>
      <c r="Q27" s="21"/>
      <c r="R27" s="21"/>
      <c r="S27" s="21"/>
      <c r="T27" s="4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7"/>
      <c r="AK27" s="54"/>
      <c r="AL27" s="65">
        <f t="shared" si="4"/>
        <v>0</v>
      </c>
      <c r="AM27" s="22" t="str">
        <f t="shared" si="2"/>
        <v>OK</v>
      </c>
    </row>
    <row r="28" spans="1:39" customFormat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136">
        <v>312</v>
      </c>
      <c r="I28" s="27">
        <f t="shared" si="3"/>
        <v>0</v>
      </c>
      <c r="J28" s="27"/>
      <c r="K28" s="16"/>
      <c r="L28" s="27"/>
      <c r="M28" s="27"/>
      <c r="N28" s="27"/>
      <c r="O28" s="27"/>
      <c r="P28" s="27"/>
      <c r="Q28" s="27"/>
      <c r="R28" s="27"/>
      <c r="S28" s="27"/>
      <c r="T28" s="43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5"/>
      <c r="AJ28" s="58"/>
      <c r="AK28" s="55"/>
      <c r="AL28" s="66">
        <f t="shared" si="4"/>
        <v>0</v>
      </c>
      <c r="AM28" s="28" t="str">
        <f t="shared" si="2"/>
        <v>OK</v>
      </c>
    </row>
    <row r="29" spans="1:39" customFormat="1" hidden="1">
      <c r="A29" s="80" t="s">
        <v>71</v>
      </c>
      <c r="B29" s="77">
        <v>10151</v>
      </c>
      <c r="C29" s="17" t="s">
        <v>51</v>
      </c>
      <c r="D29" s="69"/>
      <c r="E29" s="18"/>
      <c r="F29" s="18"/>
      <c r="G29" s="19"/>
      <c r="H29" s="135"/>
      <c r="I29" s="21">
        <f t="shared" si="3"/>
        <v>0</v>
      </c>
      <c r="J29" s="21"/>
      <c r="K29" s="16"/>
      <c r="L29" s="21"/>
      <c r="M29" s="21"/>
      <c r="N29" s="21"/>
      <c r="O29" s="21"/>
      <c r="P29" s="21"/>
      <c r="Q29" s="21"/>
      <c r="R29" s="21"/>
      <c r="S29" s="21"/>
      <c r="T29" s="42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4"/>
      <c r="AJ29" s="57"/>
      <c r="AK29" s="54"/>
      <c r="AL29" s="65">
        <f t="shared" si="4"/>
        <v>0</v>
      </c>
      <c r="AM29" s="22" t="str">
        <f t="shared" si="2"/>
        <v>OK</v>
      </c>
    </row>
    <row r="30" spans="1:39" customFormat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136">
        <v>1881</v>
      </c>
      <c r="I30" s="27">
        <f t="shared" si="3"/>
        <v>2</v>
      </c>
      <c r="J30" s="27"/>
      <c r="K30" s="16"/>
      <c r="L30" s="27"/>
      <c r="M30" s="27"/>
      <c r="N30" s="27"/>
      <c r="O30" s="27"/>
      <c r="P30" s="27"/>
      <c r="Q30" s="27"/>
      <c r="R30" s="27"/>
      <c r="S30" s="27"/>
      <c r="T30" s="43"/>
      <c r="U30" s="52"/>
      <c r="V30" s="52"/>
      <c r="W30" s="52"/>
      <c r="X30" s="52"/>
      <c r="Y30" s="52"/>
      <c r="Z30" s="52"/>
      <c r="AA30" s="52"/>
      <c r="AB30" s="52"/>
      <c r="AC30" s="52">
        <v>2</v>
      </c>
      <c r="AD30" s="52"/>
      <c r="AE30" s="52"/>
      <c r="AF30" s="52"/>
      <c r="AG30" s="52"/>
      <c r="AH30" s="52"/>
      <c r="AI30" s="55"/>
      <c r="AJ30" s="58"/>
      <c r="AK30" s="55"/>
      <c r="AL30" s="66">
        <f t="shared" si="4"/>
        <v>2</v>
      </c>
      <c r="AM30" s="28" t="str">
        <f t="shared" si="2"/>
        <v>OK</v>
      </c>
    </row>
    <row r="31" spans="1:39" customFormat="1" hidden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135"/>
      <c r="I31" s="21">
        <f t="shared" si="3"/>
        <v>0</v>
      </c>
      <c r="J31" s="21"/>
      <c r="K31" s="16"/>
      <c r="L31" s="21"/>
      <c r="M31" s="21"/>
      <c r="N31" s="21"/>
      <c r="O31" s="21"/>
      <c r="P31" s="21"/>
      <c r="Q31" s="21"/>
      <c r="R31" s="21"/>
      <c r="S31" s="21"/>
      <c r="T31" s="4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7"/>
      <c r="AK31" s="54"/>
      <c r="AL31" s="65">
        <f t="shared" si="4"/>
        <v>0</v>
      </c>
      <c r="AM31" s="22" t="str">
        <f t="shared" si="2"/>
        <v>OK</v>
      </c>
    </row>
    <row r="32" spans="1:39" customFormat="1" hidden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136"/>
      <c r="I32" s="27">
        <f t="shared" si="3"/>
        <v>0</v>
      </c>
      <c r="J32" s="27"/>
      <c r="K32" s="16"/>
      <c r="L32" s="27"/>
      <c r="M32" s="27"/>
      <c r="N32" s="27"/>
      <c r="O32" s="27"/>
      <c r="P32" s="27"/>
      <c r="Q32" s="27"/>
      <c r="R32" s="27"/>
      <c r="S32" s="27"/>
      <c r="T32" s="43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5"/>
      <c r="AJ32" s="58"/>
      <c r="AK32" s="55"/>
      <c r="AL32" s="66">
        <f t="shared" si="4"/>
        <v>0</v>
      </c>
      <c r="AM32" s="28" t="str">
        <f t="shared" si="2"/>
        <v>OK</v>
      </c>
    </row>
    <row r="33" spans="1:39" customFormat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135">
        <v>708</v>
      </c>
      <c r="I33" s="21">
        <f t="shared" si="3"/>
        <v>2</v>
      </c>
      <c r="J33" s="21"/>
      <c r="K33" s="16"/>
      <c r="L33" s="21"/>
      <c r="M33" s="21"/>
      <c r="N33" s="21"/>
      <c r="O33" s="21"/>
      <c r="P33" s="21"/>
      <c r="Q33" s="21"/>
      <c r="R33" s="21"/>
      <c r="S33" s="21"/>
      <c r="T33" s="42"/>
      <c r="U33" s="51"/>
      <c r="V33" s="51"/>
      <c r="W33" s="51"/>
      <c r="X33" s="51"/>
      <c r="Y33" s="51">
        <v>1</v>
      </c>
      <c r="Z33" s="51"/>
      <c r="AA33" s="51"/>
      <c r="AB33" s="51"/>
      <c r="AC33" s="51">
        <v>1</v>
      </c>
      <c r="AD33" s="51"/>
      <c r="AE33" s="51"/>
      <c r="AF33" s="51"/>
      <c r="AG33" s="51"/>
      <c r="AH33" s="51"/>
      <c r="AI33" s="54"/>
      <c r="AJ33" s="57"/>
      <c r="AK33" s="54"/>
      <c r="AL33" s="65">
        <f t="shared" si="4"/>
        <v>2</v>
      </c>
      <c r="AM33" s="22" t="str">
        <f t="shared" si="2"/>
        <v>OK</v>
      </c>
    </row>
    <row r="34" spans="1:39" customFormat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136">
        <v>1320</v>
      </c>
      <c r="I34" s="27">
        <f t="shared" si="3"/>
        <v>2</v>
      </c>
      <c r="J34" s="27"/>
      <c r="K34" s="16"/>
      <c r="L34" s="27"/>
      <c r="M34" s="27"/>
      <c r="N34" s="27"/>
      <c r="O34" s="27"/>
      <c r="P34" s="27"/>
      <c r="Q34" s="27"/>
      <c r="R34" s="27"/>
      <c r="S34" s="27"/>
      <c r="T34" s="43"/>
      <c r="U34" s="52"/>
      <c r="V34" s="52"/>
      <c r="W34" s="52"/>
      <c r="X34" s="52"/>
      <c r="Y34" s="52"/>
      <c r="Z34" s="52"/>
      <c r="AA34" s="52"/>
      <c r="AB34" s="52"/>
      <c r="AC34" s="52">
        <v>2</v>
      </c>
      <c r="AD34" s="52"/>
      <c r="AE34" s="52"/>
      <c r="AF34" s="52"/>
      <c r="AG34" s="52"/>
      <c r="AH34" s="52"/>
      <c r="AI34" s="55"/>
      <c r="AJ34" s="58"/>
      <c r="AK34" s="55"/>
      <c r="AL34" s="66">
        <f t="shared" si="4"/>
        <v>2</v>
      </c>
      <c r="AM34" s="28" t="str">
        <f t="shared" si="2"/>
        <v>OK</v>
      </c>
    </row>
    <row r="35" spans="1:39" customFormat="1" hidden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135"/>
      <c r="I35" s="21">
        <f t="shared" si="3"/>
        <v>0</v>
      </c>
      <c r="J35" s="21"/>
      <c r="K35" s="16"/>
      <c r="L35" s="21"/>
      <c r="M35" s="21"/>
      <c r="N35" s="21"/>
      <c r="O35" s="21"/>
      <c r="P35" s="21"/>
      <c r="Q35" s="21"/>
      <c r="R35" s="21"/>
      <c r="S35" s="21"/>
      <c r="T35" s="42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4"/>
      <c r="AJ35" s="57"/>
      <c r="AK35" s="54"/>
      <c r="AL35" s="65">
        <f t="shared" si="4"/>
        <v>0</v>
      </c>
      <c r="AM35" s="22" t="str">
        <f t="shared" si="2"/>
        <v>OK</v>
      </c>
    </row>
    <row r="36" spans="1:39" customFormat="1" hidden="1">
      <c r="A36" s="68" t="s">
        <v>76</v>
      </c>
      <c r="B36" s="78">
        <v>10135</v>
      </c>
      <c r="C36" s="23" t="s">
        <v>56</v>
      </c>
      <c r="D36" s="24"/>
      <c r="E36" s="24"/>
      <c r="F36" s="24"/>
      <c r="G36" s="25"/>
      <c r="H36" s="136"/>
      <c r="I36" s="27">
        <f t="shared" si="3"/>
        <v>0</v>
      </c>
      <c r="J36" s="27"/>
      <c r="K36" s="16"/>
      <c r="L36" s="27"/>
      <c r="M36" s="27"/>
      <c r="N36" s="27"/>
      <c r="O36" s="27"/>
      <c r="P36" s="27"/>
      <c r="Q36" s="27"/>
      <c r="R36" s="27"/>
      <c r="S36" s="27"/>
      <c r="T36" s="43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5"/>
      <c r="AJ36" s="58"/>
      <c r="AK36" s="55"/>
      <c r="AL36" s="66">
        <f t="shared" si="4"/>
        <v>0</v>
      </c>
      <c r="AM36" s="28" t="str">
        <f t="shared" si="2"/>
        <v>OK</v>
      </c>
    </row>
    <row r="37" spans="1:39" customFormat="1">
      <c r="A37" s="80" t="s">
        <v>77</v>
      </c>
      <c r="B37" s="77">
        <v>10133</v>
      </c>
      <c r="C37" s="17" t="s">
        <v>55</v>
      </c>
      <c r="D37" s="69"/>
      <c r="E37" s="18"/>
      <c r="F37" s="18"/>
      <c r="G37" s="19"/>
      <c r="H37" s="135">
        <v>1190</v>
      </c>
      <c r="I37" s="21">
        <f t="shared" si="3"/>
        <v>2</v>
      </c>
      <c r="J37" s="21"/>
      <c r="K37" s="16"/>
      <c r="L37" s="21"/>
      <c r="M37" s="21"/>
      <c r="N37" s="21">
        <v>1</v>
      </c>
      <c r="O37" s="21"/>
      <c r="P37" s="21"/>
      <c r="Q37" s="21"/>
      <c r="R37" s="21"/>
      <c r="S37" s="21"/>
      <c r="T37" s="42"/>
      <c r="U37" s="51"/>
      <c r="V37" s="51"/>
      <c r="W37" s="51"/>
      <c r="X37" s="51"/>
      <c r="Y37" s="51"/>
      <c r="Z37" s="51"/>
      <c r="AA37" s="51"/>
      <c r="AB37" s="51"/>
      <c r="AC37" s="51">
        <v>1</v>
      </c>
      <c r="AD37" s="51"/>
      <c r="AE37" s="51"/>
      <c r="AF37" s="51"/>
      <c r="AG37" s="51"/>
      <c r="AH37" s="51"/>
      <c r="AI37" s="54"/>
      <c r="AJ37" s="57"/>
      <c r="AK37" s="54"/>
      <c r="AL37" s="65">
        <f t="shared" si="4"/>
        <v>2</v>
      </c>
      <c r="AM37" s="22" t="str">
        <f t="shared" si="2"/>
        <v>OK</v>
      </c>
    </row>
    <row r="38" spans="1:39" customFormat="1" hidden="1">
      <c r="A38" s="68" t="s">
        <v>78</v>
      </c>
      <c r="B38" s="78">
        <v>10131</v>
      </c>
      <c r="C38" s="23" t="s">
        <v>56</v>
      </c>
      <c r="D38" s="24"/>
      <c r="E38" s="24"/>
      <c r="F38" s="24"/>
      <c r="G38" s="25"/>
      <c r="H38" s="136"/>
      <c r="I38" s="27">
        <f t="shared" si="3"/>
        <v>0</v>
      </c>
      <c r="J38" s="27"/>
      <c r="K38" s="16"/>
      <c r="L38" s="27"/>
      <c r="M38" s="27"/>
      <c r="N38" s="27"/>
      <c r="O38" s="27"/>
      <c r="P38" s="27"/>
      <c r="Q38" s="27"/>
      <c r="R38" s="27"/>
      <c r="S38" s="27"/>
      <c r="T38" s="43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5"/>
      <c r="AJ38" s="58"/>
      <c r="AK38" s="55"/>
      <c r="AL38" s="66">
        <f t="shared" ref="AL38:AL50" si="5">SUM(L38:AK38)</f>
        <v>0</v>
      </c>
      <c r="AM38" s="28" t="str">
        <f t="shared" si="2"/>
        <v>OK</v>
      </c>
    </row>
    <row r="39" spans="1:39" customFormat="1" hidden="1">
      <c r="A39" s="17" t="s">
        <v>79</v>
      </c>
      <c r="B39" s="77">
        <v>10129</v>
      </c>
      <c r="C39" s="17" t="s">
        <v>57</v>
      </c>
      <c r="D39" s="69"/>
      <c r="E39" s="18"/>
      <c r="F39" s="18"/>
      <c r="G39" s="19"/>
      <c r="H39" s="135"/>
      <c r="I39" s="21">
        <f t="shared" si="3"/>
        <v>0</v>
      </c>
      <c r="J39" s="21"/>
      <c r="K39" s="16"/>
      <c r="L39" s="21"/>
      <c r="M39" s="21"/>
      <c r="N39" s="21"/>
      <c r="O39" s="21"/>
      <c r="P39" s="21"/>
      <c r="Q39" s="21"/>
      <c r="R39" s="21"/>
      <c r="S39" s="21"/>
      <c r="T39" s="42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4"/>
      <c r="AJ39" s="57"/>
      <c r="AK39" s="54"/>
      <c r="AL39" s="65">
        <f t="shared" si="5"/>
        <v>0</v>
      </c>
      <c r="AM39" s="22" t="str">
        <f t="shared" si="2"/>
        <v>OK</v>
      </c>
    </row>
    <row r="40" spans="1:39" customFormat="1" hidden="1">
      <c r="A40" s="68" t="s">
        <v>80</v>
      </c>
      <c r="B40" s="78">
        <v>10127</v>
      </c>
      <c r="C40" s="23" t="s">
        <v>58</v>
      </c>
      <c r="D40" s="24"/>
      <c r="E40" s="24"/>
      <c r="F40" s="24"/>
      <c r="G40" s="25"/>
      <c r="H40" s="136"/>
      <c r="I40" s="27">
        <f t="shared" si="3"/>
        <v>0</v>
      </c>
      <c r="J40" s="27"/>
      <c r="K40" s="16"/>
      <c r="L40" s="27"/>
      <c r="M40" s="27"/>
      <c r="N40" s="27"/>
      <c r="O40" s="27"/>
      <c r="P40" s="27"/>
      <c r="Q40" s="27"/>
      <c r="R40" s="27"/>
      <c r="S40" s="27"/>
      <c r="T40" s="43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5"/>
      <c r="AJ40" s="58"/>
      <c r="AK40" s="55"/>
      <c r="AL40" s="66">
        <f t="shared" si="5"/>
        <v>0</v>
      </c>
      <c r="AM40" s="28" t="str">
        <f t="shared" si="2"/>
        <v>OK</v>
      </c>
    </row>
    <row r="41" spans="1:39" customFormat="1" hidden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135"/>
      <c r="I41" s="21">
        <f t="shared" si="3"/>
        <v>0</v>
      </c>
      <c r="J41" s="21"/>
      <c r="K41" s="16"/>
      <c r="L41" s="21"/>
      <c r="M41" s="21"/>
      <c r="N41" s="21"/>
      <c r="O41" s="21"/>
      <c r="P41" s="21"/>
      <c r="Q41" s="21"/>
      <c r="R41" s="21"/>
      <c r="S41" s="21"/>
      <c r="T41" s="4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4"/>
      <c r="AJ41" s="57"/>
      <c r="AK41" s="54"/>
      <c r="AL41" s="65">
        <f t="shared" si="5"/>
        <v>0</v>
      </c>
      <c r="AM41" s="22" t="str">
        <f t="shared" si="2"/>
        <v>OK</v>
      </c>
    </row>
    <row r="42" spans="1:39" customFormat="1" hidden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136"/>
      <c r="I42" s="27">
        <f t="shared" si="3"/>
        <v>0</v>
      </c>
      <c r="J42" s="27"/>
      <c r="K42" s="16"/>
      <c r="L42" s="27"/>
      <c r="M42" s="27"/>
      <c r="N42" s="27"/>
      <c r="O42" s="27"/>
      <c r="P42" s="27"/>
      <c r="Q42" s="27"/>
      <c r="R42" s="27"/>
      <c r="S42" s="27"/>
      <c r="T42" s="43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5"/>
      <c r="AJ42" s="58"/>
      <c r="AK42" s="55"/>
      <c r="AL42" s="66">
        <f t="shared" si="5"/>
        <v>0</v>
      </c>
      <c r="AM42" s="28" t="str">
        <f t="shared" si="2"/>
        <v>OK</v>
      </c>
    </row>
    <row r="43" spans="1:39" customFormat="1" hidden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135"/>
      <c r="I43" s="21">
        <f t="shared" si="3"/>
        <v>0</v>
      </c>
      <c r="J43" s="21"/>
      <c r="K43" s="16"/>
      <c r="L43" s="21"/>
      <c r="M43" s="21"/>
      <c r="N43" s="21"/>
      <c r="O43" s="21"/>
      <c r="P43" s="21"/>
      <c r="Q43" s="21"/>
      <c r="R43" s="21"/>
      <c r="S43" s="21"/>
      <c r="T43" s="42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4"/>
      <c r="AJ43" s="57"/>
      <c r="AK43" s="54"/>
      <c r="AL43" s="65">
        <f t="shared" si="5"/>
        <v>0</v>
      </c>
      <c r="AM43" s="22" t="str">
        <f t="shared" si="2"/>
        <v>OK</v>
      </c>
    </row>
    <row r="44" spans="1:39" customFormat="1" hidden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136"/>
      <c r="I44" s="27">
        <f t="shared" si="3"/>
        <v>0</v>
      </c>
      <c r="J44" s="27"/>
      <c r="K44" s="16"/>
      <c r="L44" s="27"/>
      <c r="M44" s="27"/>
      <c r="N44" s="27"/>
      <c r="O44" s="27"/>
      <c r="P44" s="27"/>
      <c r="Q44" s="27"/>
      <c r="R44" s="27"/>
      <c r="S44" s="27"/>
      <c r="T44" s="43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5"/>
      <c r="AJ44" s="58"/>
      <c r="AK44" s="55"/>
      <c r="AL44" s="66">
        <f t="shared" si="5"/>
        <v>0</v>
      </c>
      <c r="AM44" s="28" t="str">
        <f t="shared" si="2"/>
        <v>OK</v>
      </c>
    </row>
    <row r="45" spans="1:39" customFormat="1" hidden="1">
      <c r="A45" s="17" t="s">
        <v>107</v>
      </c>
      <c r="B45" s="77">
        <v>13467</v>
      </c>
      <c r="C45" s="17" t="s">
        <v>87</v>
      </c>
      <c r="D45" s="69"/>
      <c r="E45" s="18"/>
      <c r="F45" s="18"/>
      <c r="G45" s="19"/>
      <c r="H45" s="135"/>
      <c r="I45" s="21">
        <f t="shared" si="3"/>
        <v>0</v>
      </c>
      <c r="J45" s="21"/>
      <c r="K45" s="16"/>
      <c r="L45" s="21"/>
      <c r="M45" s="21"/>
      <c r="N45" s="21"/>
      <c r="O45" s="21"/>
      <c r="P45" s="21"/>
      <c r="Q45" s="21"/>
      <c r="R45" s="21"/>
      <c r="S45" s="21"/>
      <c r="T45" s="4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4"/>
      <c r="AJ45" s="57"/>
      <c r="AK45" s="54"/>
      <c r="AL45" s="65">
        <f t="shared" si="5"/>
        <v>0</v>
      </c>
      <c r="AM45" s="22" t="str">
        <f t="shared" si="2"/>
        <v>OK</v>
      </c>
    </row>
    <row r="46" spans="1:39" customFormat="1" hidden="1">
      <c r="A46" s="68" t="s">
        <v>111</v>
      </c>
      <c r="B46" s="78">
        <v>15948</v>
      </c>
      <c r="C46" s="23" t="s">
        <v>87</v>
      </c>
      <c r="D46" s="24"/>
      <c r="E46" s="24"/>
      <c r="F46" s="24"/>
      <c r="G46" s="25"/>
      <c r="H46" s="136"/>
      <c r="I46" s="27">
        <f t="shared" si="3"/>
        <v>0</v>
      </c>
      <c r="J46" s="27"/>
      <c r="K46" s="16"/>
      <c r="L46" s="27"/>
      <c r="M46" s="27"/>
      <c r="N46" s="27"/>
      <c r="O46" s="27"/>
      <c r="P46" s="27"/>
      <c r="Q46" s="27"/>
      <c r="R46" s="27"/>
      <c r="S46" s="27"/>
      <c r="T46" s="43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5"/>
      <c r="AJ46" s="58"/>
      <c r="AK46" s="55"/>
      <c r="AL46" s="66">
        <f t="shared" si="5"/>
        <v>0</v>
      </c>
      <c r="AM46" s="28" t="str">
        <f t="shared" si="2"/>
        <v>OK</v>
      </c>
    </row>
    <row r="47" spans="1:39" customFormat="1" hidden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135"/>
      <c r="I47" s="21">
        <f t="shared" si="3"/>
        <v>0</v>
      </c>
      <c r="J47" s="21"/>
      <c r="K47" s="16"/>
      <c r="L47" s="21"/>
      <c r="M47" s="21"/>
      <c r="N47" s="21"/>
      <c r="O47" s="21"/>
      <c r="P47" s="21"/>
      <c r="Q47" s="21"/>
      <c r="R47" s="21"/>
      <c r="S47" s="21"/>
      <c r="T47" s="42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4"/>
      <c r="AJ47" s="57"/>
      <c r="AK47" s="54"/>
      <c r="AL47" s="65">
        <f t="shared" si="5"/>
        <v>0</v>
      </c>
      <c r="AM47" s="22" t="str">
        <f t="shared" si="2"/>
        <v>OK</v>
      </c>
    </row>
    <row r="48" spans="1:39" customFormat="1">
      <c r="A48" s="68" t="s">
        <v>121</v>
      </c>
      <c r="B48" s="78">
        <v>16598</v>
      </c>
      <c r="C48" s="23" t="s">
        <v>87</v>
      </c>
      <c r="D48" s="24"/>
      <c r="E48" s="24"/>
      <c r="F48" s="24"/>
      <c r="G48" s="25"/>
      <c r="H48" s="136">
        <f>1006+280</f>
        <v>1286</v>
      </c>
      <c r="I48" s="27">
        <f t="shared" si="3"/>
        <v>0</v>
      </c>
      <c r="J48" s="27"/>
      <c r="K48" s="16"/>
      <c r="L48" s="27"/>
      <c r="M48" s="27"/>
      <c r="N48" s="27"/>
      <c r="O48" s="27"/>
      <c r="P48" s="27"/>
      <c r="Q48" s="27"/>
      <c r="R48" s="27"/>
      <c r="S48" s="27"/>
      <c r="T48" s="43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5"/>
      <c r="AJ48" s="58"/>
      <c r="AK48" s="55"/>
      <c r="AL48" s="66">
        <f t="shared" si="5"/>
        <v>0</v>
      </c>
      <c r="AM48" s="28" t="str">
        <f t="shared" si="2"/>
        <v>OK</v>
      </c>
    </row>
    <row r="49" spans="1:39" customFormat="1" hidden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135"/>
      <c r="I49" s="21">
        <f t="shared" si="3"/>
        <v>0</v>
      </c>
      <c r="J49" s="21"/>
      <c r="K49" s="16"/>
      <c r="L49" s="21"/>
      <c r="M49" s="21"/>
      <c r="N49" s="21"/>
      <c r="O49" s="21"/>
      <c r="P49" s="21"/>
      <c r="Q49" s="21"/>
      <c r="R49" s="21"/>
      <c r="S49" s="21"/>
      <c r="T49" s="4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4"/>
      <c r="AJ49" s="57"/>
      <c r="AK49" s="54"/>
      <c r="AL49" s="65">
        <f t="shared" si="5"/>
        <v>0</v>
      </c>
      <c r="AM49" s="22" t="str">
        <f t="shared" si="2"/>
        <v>OK</v>
      </c>
    </row>
    <row r="50" spans="1:39" customFormat="1" hidden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136"/>
      <c r="I50" s="27">
        <f t="shared" si="3"/>
        <v>0</v>
      </c>
      <c r="J50" s="27"/>
      <c r="K50" s="16"/>
      <c r="L50" s="27"/>
      <c r="M50" s="27"/>
      <c r="N50" s="27"/>
      <c r="O50" s="27"/>
      <c r="P50" s="27"/>
      <c r="Q50" s="27"/>
      <c r="R50" s="27"/>
      <c r="S50" s="27"/>
      <c r="T50" s="43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8"/>
      <c r="AK50" s="55"/>
      <c r="AL50" s="66">
        <f t="shared" si="5"/>
        <v>0</v>
      </c>
      <c r="AM50" s="28" t="str">
        <f t="shared" si="2"/>
        <v>OK</v>
      </c>
    </row>
    <row r="51" spans="1:39" customFormat="1" hidden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135"/>
      <c r="I51" s="21">
        <f t="shared" si="3"/>
        <v>0</v>
      </c>
      <c r="J51" s="21"/>
      <c r="K51" s="16"/>
      <c r="L51" s="21"/>
      <c r="M51" s="21"/>
      <c r="N51" s="21"/>
      <c r="O51" s="21"/>
      <c r="P51" s="21"/>
      <c r="Q51" s="21"/>
      <c r="R51" s="21"/>
      <c r="S51" s="21"/>
      <c r="T51" s="4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4"/>
      <c r="AJ51" s="57"/>
      <c r="AK51" s="54"/>
      <c r="AL51" s="65">
        <f>SUM(L51:AK51)</f>
        <v>0</v>
      </c>
      <c r="AM51" s="22" t="str">
        <f t="shared" si="2"/>
        <v>OK</v>
      </c>
    </row>
    <row r="52" spans="1:39" customFormat="1" hidden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136"/>
      <c r="I52" s="27">
        <f t="shared" si="3"/>
        <v>0</v>
      </c>
      <c r="J52" s="27"/>
      <c r="K52" s="16"/>
      <c r="L52" s="27"/>
      <c r="M52" s="27"/>
      <c r="N52" s="27"/>
      <c r="O52" s="27"/>
      <c r="P52" s="27"/>
      <c r="Q52" s="27"/>
      <c r="R52" s="27"/>
      <c r="S52" s="27"/>
      <c r="T52" s="43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5"/>
      <c r="AJ52" s="58"/>
      <c r="AK52" s="55"/>
      <c r="AL52" s="66">
        <f t="shared" ref="AL52:AL64" si="6">SUM(L52:AK52)</f>
        <v>0</v>
      </c>
      <c r="AM52" s="28" t="str">
        <f t="shared" si="2"/>
        <v>OK</v>
      </c>
    </row>
    <row r="53" spans="1:39" customFormat="1" hidden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135"/>
      <c r="I53" s="21">
        <f t="shared" si="3"/>
        <v>0</v>
      </c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42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4"/>
      <c r="AJ53" s="57"/>
      <c r="AK53" s="54"/>
      <c r="AL53" s="65">
        <f t="shared" si="6"/>
        <v>0</v>
      </c>
      <c r="AM53" s="22" t="str">
        <f t="shared" si="2"/>
        <v>OK</v>
      </c>
    </row>
    <row r="54" spans="1:39" customFormat="1" hidden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136"/>
      <c r="I54" s="27">
        <f t="shared" si="3"/>
        <v>0</v>
      </c>
      <c r="J54" s="27"/>
      <c r="K54" s="16"/>
      <c r="L54" s="27"/>
      <c r="M54" s="27"/>
      <c r="N54" s="27"/>
      <c r="O54" s="27"/>
      <c r="P54" s="27"/>
      <c r="Q54" s="27"/>
      <c r="R54" s="27"/>
      <c r="S54" s="27"/>
      <c r="T54" s="43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5"/>
      <c r="AJ54" s="58"/>
      <c r="AK54" s="55"/>
      <c r="AL54" s="66">
        <f t="shared" si="6"/>
        <v>0</v>
      </c>
      <c r="AM54" s="28" t="str">
        <f t="shared" si="2"/>
        <v>OK</v>
      </c>
    </row>
    <row r="55" spans="1:39" customFormat="1" hidden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135"/>
      <c r="I55" s="21">
        <f t="shared" si="3"/>
        <v>0</v>
      </c>
      <c r="J55" s="21"/>
      <c r="K55" s="16"/>
      <c r="L55" s="21"/>
      <c r="M55" s="21"/>
      <c r="N55" s="21"/>
      <c r="O55" s="21"/>
      <c r="P55" s="21"/>
      <c r="Q55" s="21"/>
      <c r="R55" s="21"/>
      <c r="S55" s="21"/>
      <c r="T55" s="42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4"/>
      <c r="AJ55" s="57"/>
      <c r="AK55" s="54"/>
      <c r="AL55" s="65">
        <f t="shared" si="6"/>
        <v>0</v>
      </c>
      <c r="AM55" s="22" t="str">
        <f t="shared" si="2"/>
        <v>OK</v>
      </c>
    </row>
    <row r="56" spans="1:39" customFormat="1" hidden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136"/>
      <c r="I56" s="27">
        <f t="shared" si="3"/>
        <v>0</v>
      </c>
      <c r="J56" s="27"/>
      <c r="K56" s="16"/>
      <c r="L56" s="27"/>
      <c r="M56" s="27"/>
      <c r="N56" s="27"/>
      <c r="O56" s="27"/>
      <c r="P56" s="27"/>
      <c r="Q56" s="27"/>
      <c r="R56" s="27"/>
      <c r="S56" s="27"/>
      <c r="T56" s="43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5"/>
      <c r="AJ56" s="58"/>
      <c r="AK56" s="55"/>
      <c r="AL56" s="66">
        <f t="shared" si="6"/>
        <v>0</v>
      </c>
      <c r="AM56" s="28" t="str">
        <f t="shared" si="2"/>
        <v>OK</v>
      </c>
    </row>
    <row r="57" spans="1:39" customFormat="1" hidden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135"/>
      <c r="I57" s="21">
        <f t="shared" si="3"/>
        <v>0</v>
      </c>
      <c r="J57" s="21"/>
      <c r="K57" s="16"/>
      <c r="L57" s="21"/>
      <c r="M57" s="21"/>
      <c r="N57" s="21"/>
      <c r="O57" s="21"/>
      <c r="P57" s="21"/>
      <c r="Q57" s="21"/>
      <c r="R57" s="21"/>
      <c r="S57" s="21"/>
      <c r="T57" s="42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4"/>
      <c r="AJ57" s="57"/>
      <c r="AK57" s="54"/>
      <c r="AL57" s="65">
        <f t="shared" si="6"/>
        <v>0</v>
      </c>
      <c r="AM57" s="22" t="str">
        <f t="shared" si="2"/>
        <v>OK</v>
      </c>
    </row>
    <row r="58" spans="1:39" customFormat="1" hidden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136"/>
      <c r="I58" s="27">
        <f t="shared" si="3"/>
        <v>0</v>
      </c>
      <c r="J58" s="27"/>
      <c r="K58" s="16"/>
      <c r="L58" s="27"/>
      <c r="M58" s="27"/>
      <c r="N58" s="27"/>
      <c r="O58" s="27"/>
      <c r="P58" s="27"/>
      <c r="Q58" s="27"/>
      <c r="R58" s="27"/>
      <c r="S58" s="27"/>
      <c r="T58" s="43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5"/>
      <c r="AJ58" s="58"/>
      <c r="AK58" s="55"/>
      <c r="AL58" s="66">
        <f t="shared" si="6"/>
        <v>0</v>
      </c>
      <c r="AM58" s="28" t="str">
        <f t="shared" si="2"/>
        <v>OK</v>
      </c>
    </row>
    <row r="59" spans="1:39" customFormat="1" hidden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135"/>
      <c r="I59" s="21">
        <f t="shared" si="3"/>
        <v>0</v>
      </c>
      <c r="J59" s="21"/>
      <c r="K59" s="16"/>
      <c r="L59" s="21"/>
      <c r="M59" s="21"/>
      <c r="N59" s="21"/>
      <c r="O59" s="21"/>
      <c r="P59" s="21"/>
      <c r="Q59" s="21"/>
      <c r="R59" s="21"/>
      <c r="S59" s="21"/>
      <c r="T59" s="4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4"/>
      <c r="AJ59" s="57"/>
      <c r="AK59" s="54"/>
      <c r="AL59" s="65">
        <f t="shared" si="6"/>
        <v>0</v>
      </c>
      <c r="AM59" s="22" t="str">
        <f t="shared" si="2"/>
        <v>OK</v>
      </c>
    </row>
    <row r="60" spans="1:39" customFormat="1">
      <c r="A60" s="68" t="s">
        <v>84</v>
      </c>
      <c r="B60" s="78">
        <v>11380</v>
      </c>
      <c r="C60" s="23" t="s">
        <v>60</v>
      </c>
      <c r="D60" s="24"/>
      <c r="E60" s="24"/>
      <c r="F60" s="24"/>
      <c r="G60" s="25"/>
      <c r="H60" s="136">
        <v>723</v>
      </c>
      <c r="I60" s="27">
        <f t="shared" si="3"/>
        <v>0</v>
      </c>
      <c r="J60" s="27"/>
      <c r="K60" s="16"/>
      <c r="L60" s="27"/>
      <c r="M60" s="27"/>
      <c r="N60" s="27"/>
      <c r="O60" s="27"/>
      <c r="P60" s="27"/>
      <c r="Q60" s="27"/>
      <c r="R60" s="27"/>
      <c r="S60" s="27"/>
      <c r="T60" s="43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5"/>
      <c r="AJ60" s="58"/>
      <c r="AK60" s="55"/>
      <c r="AL60" s="66">
        <f t="shared" si="6"/>
        <v>0</v>
      </c>
      <c r="AM60" s="28" t="str">
        <f t="shared" si="2"/>
        <v>OK</v>
      </c>
    </row>
    <row r="61" spans="1:39" customFormat="1">
      <c r="A61" s="80" t="s">
        <v>112</v>
      </c>
      <c r="B61" s="77">
        <v>18518</v>
      </c>
      <c r="C61" s="17" t="s">
        <v>87</v>
      </c>
      <c r="D61" s="69"/>
      <c r="E61" s="18"/>
      <c r="F61" s="18"/>
      <c r="G61" s="19"/>
      <c r="H61" s="135">
        <f>1036+1008</f>
        <v>2044</v>
      </c>
      <c r="I61" s="21">
        <f t="shared" si="3"/>
        <v>0</v>
      </c>
      <c r="J61" s="21"/>
      <c r="K61" s="16"/>
      <c r="L61" s="21"/>
      <c r="M61" s="21"/>
      <c r="N61" s="21"/>
      <c r="O61" s="21"/>
      <c r="P61" s="21"/>
      <c r="Q61" s="21"/>
      <c r="R61" s="21"/>
      <c r="S61" s="21"/>
      <c r="T61" s="4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4"/>
      <c r="AJ61" s="57"/>
      <c r="AK61" s="54"/>
      <c r="AL61" s="65">
        <f t="shared" si="6"/>
        <v>0</v>
      </c>
      <c r="AM61" s="22" t="str">
        <f t="shared" si="2"/>
        <v>OK</v>
      </c>
    </row>
    <row r="62" spans="1:39" customFormat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136">
        <v>700</v>
      </c>
      <c r="I62" s="27">
        <f t="shared" si="3"/>
        <v>0</v>
      </c>
      <c r="J62" s="27"/>
      <c r="K62" s="16"/>
      <c r="L62" s="27"/>
      <c r="M62" s="27"/>
      <c r="N62" s="27"/>
      <c r="O62" s="27"/>
      <c r="P62" s="27"/>
      <c r="Q62" s="27"/>
      <c r="R62" s="27"/>
      <c r="S62" s="27"/>
      <c r="T62" s="43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5"/>
      <c r="AJ62" s="58"/>
      <c r="AK62" s="55"/>
      <c r="AL62" s="66">
        <f t="shared" si="6"/>
        <v>0</v>
      </c>
      <c r="AM62" s="28" t="str">
        <f t="shared" si="2"/>
        <v>OK</v>
      </c>
    </row>
    <row r="63" spans="1:39" customFormat="1" hidden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19"/>
      <c r="I63" s="21">
        <f t="shared" si="3"/>
        <v>0</v>
      </c>
      <c r="J63" s="21"/>
      <c r="K63" s="16"/>
      <c r="L63" s="21"/>
      <c r="M63" s="21"/>
      <c r="N63" s="21"/>
      <c r="O63" s="21"/>
      <c r="P63" s="21"/>
      <c r="Q63" s="21"/>
      <c r="R63" s="21"/>
      <c r="S63" s="21"/>
      <c r="T63" s="4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4"/>
      <c r="AJ63" s="57"/>
      <c r="AK63" s="54"/>
      <c r="AL63" s="65">
        <f t="shared" si="6"/>
        <v>0</v>
      </c>
      <c r="AM63" s="22" t="str">
        <f t="shared" si="2"/>
        <v>OK</v>
      </c>
    </row>
    <row r="64" spans="1:39" customFormat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136">
        <v>1000</v>
      </c>
      <c r="I64" s="27">
        <f t="shared" si="3"/>
        <v>0</v>
      </c>
      <c r="J64" s="27"/>
      <c r="K64" s="16"/>
      <c r="L64" s="27"/>
      <c r="M64" s="27"/>
      <c r="N64" s="27"/>
      <c r="O64" s="27"/>
      <c r="P64" s="27"/>
      <c r="Q64" s="27"/>
      <c r="R64" s="27"/>
      <c r="S64" s="27"/>
      <c r="T64" s="43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5"/>
      <c r="AJ64" s="58"/>
      <c r="AK64" s="55"/>
      <c r="AL64" s="66">
        <f t="shared" si="6"/>
        <v>0</v>
      </c>
      <c r="AM64" s="28" t="str">
        <f t="shared" si="2"/>
        <v>OK</v>
      </c>
    </row>
    <row r="65" spans="1:39" customFormat="1" hidden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135"/>
      <c r="I65" s="21">
        <f t="shared" si="3"/>
        <v>0</v>
      </c>
      <c r="J65" s="21"/>
      <c r="K65" s="16"/>
      <c r="L65" s="21"/>
      <c r="M65" s="21"/>
      <c r="N65" s="21"/>
      <c r="O65" s="21"/>
      <c r="P65" s="21"/>
      <c r="Q65" s="21"/>
      <c r="R65" s="21"/>
      <c r="S65" s="21"/>
      <c r="T65" s="4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4"/>
      <c r="AJ65" s="57"/>
      <c r="AK65" s="54"/>
      <c r="AL65" s="65">
        <f t="shared" si="4"/>
        <v>0</v>
      </c>
      <c r="AM65" s="22" t="str">
        <f t="shared" si="2"/>
        <v>OK</v>
      </c>
    </row>
    <row r="66" spans="1:39" customFormat="1" hidden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136"/>
      <c r="I66" s="27">
        <f t="shared" si="3"/>
        <v>0</v>
      </c>
      <c r="J66" s="27"/>
      <c r="K66" s="16"/>
      <c r="L66" s="27"/>
      <c r="M66" s="27"/>
      <c r="N66" s="27"/>
      <c r="O66" s="27"/>
      <c r="P66" s="27"/>
      <c r="Q66" s="27"/>
      <c r="R66" s="27"/>
      <c r="S66" s="27"/>
      <c r="T66" s="43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5"/>
      <c r="AJ66" s="58"/>
      <c r="AK66" s="55"/>
      <c r="AL66" s="66">
        <f t="shared" si="4"/>
        <v>0</v>
      </c>
      <c r="AM66" s="28" t="str">
        <f t="shared" si="2"/>
        <v>OK</v>
      </c>
    </row>
    <row r="67" spans="1:39" customFormat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135">
        <v>886</v>
      </c>
      <c r="I67" s="21">
        <f t="shared" si="3"/>
        <v>0</v>
      </c>
      <c r="J67" s="21"/>
      <c r="K67" s="16"/>
      <c r="L67" s="21"/>
      <c r="M67" s="21"/>
      <c r="N67" s="21"/>
      <c r="O67" s="21"/>
      <c r="P67" s="21"/>
      <c r="Q67" s="21"/>
      <c r="R67" s="21"/>
      <c r="S67" s="21"/>
      <c r="T67" s="4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4"/>
      <c r="AJ67" s="57"/>
      <c r="AK67" s="54"/>
      <c r="AL67" s="65">
        <f t="shared" si="4"/>
        <v>0</v>
      </c>
      <c r="AM67" s="22" t="str">
        <f t="shared" si="2"/>
        <v>OK</v>
      </c>
    </row>
    <row r="68" spans="1:39" customFormat="1">
      <c r="A68" s="81" t="s">
        <v>132</v>
      </c>
      <c r="B68" s="78">
        <v>20269</v>
      </c>
      <c r="C68" s="23" t="s">
        <v>131</v>
      </c>
      <c r="D68" s="24"/>
      <c r="E68" s="24"/>
      <c r="F68" s="24"/>
      <c r="G68" s="25"/>
      <c r="H68" s="136">
        <v>100</v>
      </c>
      <c r="I68" s="27">
        <f t="shared" si="3"/>
        <v>0</v>
      </c>
      <c r="J68" s="27"/>
      <c r="K68" s="16"/>
      <c r="L68" s="27"/>
      <c r="M68" s="27"/>
      <c r="N68" s="27"/>
      <c r="O68" s="27"/>
      <c r="P68" s="27"/>
      <c r="Q68" s="27"/>
      <c r="R68" s="27"/>
      <c r="S68" s="27"/>
      <c r="T68" s="43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5"/>
      <c r="AJ68" s="58"/>
      <c r="AK68" s="55"/>
      <c r="AL68" s="66">
        <f t="shared" si="4"/>
        <v>0</v>
      </c>
      <c r="AM68" s="28" t="str">
        <f t="shared" si="2"/>
        <v>OK</v>
      </c>
    </row>
    <row r="69" spans="1:39" customFormat="1" hidden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135"/>
      <c r="I69" s="21">
        <f t="shared" si="3"/>
        <v>0</v>
      </c>
      <c r="J69" s="21"/>
      <c r="K69" s="16"/>
      <c r="L69" s="21"/>
      <c r="M69" s="21"/>
      <c r="N69" s="21"/>
      <c r="O69" s="21"/>
      <c r="P69" s="21"/>
      <c r="Q69" s="21"/>
      <c r="R69" s="21"/>
      <c r="S69" s="21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7"/>
      <c r="AK69" s="54"/>
      <c r="AL69" s="65">
        <f t="shared" si="4"/>
        <v>0</v>
      </c>
      <c r="AM69" s="22" t="str">
        <f t="shared" si="2"/>
        <v>OK</v>
      </c>
    </row>
    <row r="70" spans="1:39" customFormat="1" hidden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136"/>
      <c r="I70" s="27">
        <f t="shared" si="3"/>
        <v>0</v>
      </c>
      <c r="J70" s="27"/>
      <c r="K70" s="16"/>
      <c r="L70" s="27"/>
      <c r="M70" s="27"/>
      <c r="N70" s="27"/>
      <c r="O70" s="27"/>
      <c r="P70" s="27"/>
      <c r="Q70" s="27"/>
      <c r="R70" s="27"/>
      <c r="S70" s="27"/>
      <c r="T70" s="43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5"/>
      <c r="AJ70" s="58"/>
      <c r="AK70" s="55"/>
      <c r="AL70" s="66">
        <f t="shared" si="4"/>
        <v>0</v>
      </c>
      <c r="AM70" s="28" t="str">
        <f t="shared" si="2"/>
        <v>OK</v>
      </c>
    </row>
    <row r="71" spans="1:39" customFormat="1" hidden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135"/>
      <c r="I71" s="21">
        <f t="shared" ref="I71:I96" si="7">SUM(L71:AK71)</f>
        <v>0</v>
      </c>
      <c r="J71" s="21"/>
      <c r="K71" s="16"/>
      <c r="L71" s="21"/>
      <c r="M71" s="21"/>
      <c r="N71" s="21"/>
      <c r="O71" s="21"/>
      <c r="P71" s="21"/>
      <c r="Q71" s="21"/>
      <c r="R71" s="21"/>
      <c r="S71" s="21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4"/>
      <c r="AJ71" s="57"/>
      <c r="AK71" s="54"/>
      <c r="AL71" s="65">
        <f t="shared" si="4"/>
        <v>0</v>
      </c>
      <c r="AM71" s="22" t="str">
        <f t="shared" si="2"/>
        <v>OK</v>
      </c>
    </row>
    <row r="72" spans="1:39" customFormat="1" hidden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136"/>
      <c r="I72" s="27">
        <f t="shared" si="7"/>
        <v>0</v>
      </c>
      <c r="J72" s="27"/>
      <c r="K72" s="16"/>
      <c r="L72" s="27"/>
      <c r="M72" s="27"/>
      <c r="N72" s="27"/>
      <c r="O72" s="27"/>
      <c r="P72" s="27"/>
      <c r="Q72" s="27"/>
      <c r="R72" s="27"/>
      <c r="S72" s="27"/>
      <c r="T72" s="43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5"/>
      <c r="AJ72" s="58"/>
      <c r="AK72" s="55"/>
      <c r="AL72" s="66">
        <f t="shared" si="4"/>
        <v>0</v>
      </c>
      <c r="AM72" s="28" t="str">
        <f t="shared" si="2"/>
        <v>OK</v>
      </c>
    </row>
    <row r="73" spans="1:39" customFormat="1" hidden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138"/>
      <c r="I73" s="101">
        <f t="shared" si="7"/>
        <v>0</v>
      </c>
      <c r="J73" s="21"/>
      <c r="K73" s="16"/>
      <c r="L73" s="21"/>
      <c r="M73" s="21"/>
      <c r="N73" s="21"/>
      <c r="O73" s="21"/>
      <c r="P73" s="21"/>
      <c r="Q73" s="21"/>
      <c r="R73" s="21"/>
      <c r="S73" s="21"/>
      <c r="T73" s="42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4"/>
      <c r="AJ73" s="57"/>
      <c r="AK73" s="54"/>
      <c r="AL73" s="65">
        <f t="shared" si="4"/>
        <v>0</v>
      </c>
      <c r="AM73" s="22" t="str">
        <f t="shared" si="2"/>
        <v>OK</v>
      </c>
    </row>
    <row r="74" spans="1:39" customFormat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139">
        <f>174+900</f>
        <v>1074</v>
      </c>
      <c r="I74" s="103">
        <f t="shared" si="7"/>
        <v>5</v>
      </c>
      <c r="J74" s="27"/>
      <c r="K74" s="16"/>
      <c r="L74" s="100"/>
      <c r="M74" s="100"/>
      <c r="N74" s="100"/>
      <c r="O74" s="100"/>
      <c r="P74" s="100"/>
      <c r="Q74" s="100"/>
      <c r="R74" s="100"/>
      <c r="S74" s="100"/>
      <c r="T74" s="109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1">
        <v>5</v>
      </c>
      <c r="AJ74" s="112"/>
      <c r="AK74" s="111"/>
      <c r="AL74" s="66">
        <f t="shared" si="4"/>
        <v>5</v>
      </c>
      <c r="AM74" s="28" t="str">
        <f t="shared" si="2"/>
        <v>OK</v>
      </c>
    </row>
    <row r="75" spans="1:39" hidden="1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40"/>
      <c r="I75" s="105">
        <f t="shared" si="7"/>
        <v>0</v>
      </c>
      <c r="J75" s="90"/>
      <c r="K75" s="91"/>
      <c r="L75" s="113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5"/>
      <c r="AL75" s="92">
        <f t="shared" ref="AL75:AL80" si="8">SUM(L75:AK75)</f>
        <v>0</v>
      </c>
      <c r="AM75" s="122" t="str">
        <f t="shared" ref="AM75:AM96" si="9">IF(AL75=I75,"OK","NG")</f>
        <v>OK</v>
      </c>
    </row>
    <row r="76" spans="1:39" ht="17.25" thickBot="1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139">
        <v>600</v>
      </c>
      <c r="I76" s="106">
        <f t="shared" si="7"/>
        <v>0</v>
      </c>
      <c r="J76" s="85"/>
      <c r="K76" s="16"/>
      <c r="L76" s="1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8"/>
      <c r="AL76" s="66">
        <f t="shared" si="8"/>
        <v>0</v>
      </c>
      <c r="AM76" s="28" t="str">
        <f t="shared" si="9"/>
        <v>OK</v>
      </c>
    </row>
    <row r="77" spans="1:39" ht="17.25" hidden="1" thickBot="1">
      <c r="A77" s="87" t="s">
        <v>165</v>
      </c>
      <c r="B77" s="93">
        <v>13007</v>
      </c>
      <c r="C77" s="94" t="s">
        <v>164</v>
      </c>
      <c r="D77" s="88"/>
      <c r="E77" s="88"/>
      <c r="F77" s="88"/>
      <c r="G77" s="89"/>
      <c r="H77" s="104"/>
      <c r="I77" s="105">
        <f t="shared" si="7"/>
        <v>0</v>
      </c>
      <c r="J77" s="90"/>
      <c r="K77" s="91"/>
      <c r="L77" s="113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5"/>
      <c r="AL77" s="92">
        <f t="shared" si="8"/>
        <v>0</v>
      </c>
      <c r="AM77" s="122" t="str">
        <f t="shared" si="9"/>
        <v>OK</v>
      </c>
    </row>
    <row r="78" spans="1:39" ht="17.25" hidden="1" thickBot="1">
      <c r="A78" s="68"/>
      <c r="B78" s="78"/>
      <c r="C78" s="95"/>
      <c r="D78" s="83"/>
      <c r="E78" s="83"/>
      <c r="F78" s="83"/>
      <c r="G78" s="84"/>
      <c r="H78" s="102"/>
      <c r="I78" s="106">
        <f t="shared" si="7"/>
        <v>0</v>
      </c>
      <c r="J78" s="85"/>
      <c r="K78" s="16"/>
      <c r="L78" s="1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66">
        <f t="shared" si="8"/>
        <v>0</v>
      </c>
      <c r="AM78" s="28" t="str">
        <f t="shared" si="9"/>
        <v>OK</v>
      </c>
    </row>
    <row r="79" spans="1:39" ht="17.25" hidden="1" thickBot="1">
      <c r="A79" s="87"/>
      <c r="B79" s="93"/>
      <c r="C79" s="94"/>
      <c r="D79" s="88"/>
      <c r="E79" s="88"/>
      <c r="F79" s="88"/>
      <c r="G79" s="89"/>
      <c r="H79" s="104"/>
      <c r="I79" s="105">
        <f t="shared" si="7"/>
        <v>0</v>
      </c>
      <c r="J79" s="90"/>
      <c r="K79" s="91"/>
      <c r="L79" s="113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5"/>
      <c r="AL79" s="92">
        <f t="shared" si="8"/>
        <v>0</v>
      </c>
      <c r="AM79" s="122" t="str">
        <f t="shared" si="9"/>
        <v>OK</v>
      </c>
    </row>
    <row r="80" spans="1:39" ht="17.25" hidden="1" thickBot="1">
      <c r="A80" s="68"/>
      <c r="B80" s="78"/>
      <c r="C80" s="95"/>
      <c r="D80" s="83"/>
      <c r="E80" s="83"/>
      <c r="F80" s="83"/>
      <c r="G80" s="84"/>
      <c r="H80" s="102"/>
      <c r="I80" s="106">
        <f t="shared" si="7"/>
        <v>0</v>
      </c>
      <c r="J80" s="85"/>
      <c r="K80" s="16"/>
      <c r="L80" s="116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66">
        <f t="shared" si="8"/>
        <v>0</v>
      </c>
      <c r="AM80" s="28" t="str">
        <f t="shared" si="9"/>
        <v>OK</v>
      </c>
    </row>
    <row r="81" spans="1:39" ht="17.25" hidden="1" thickBot="1">
      <c r="A81" s="87"/>
      <c r="B81" s="93"/>
      <c r="C81" s="94"/>
      <c r="D81" s="88"/>
      <c r="E81" s="88"/>
      <c r="F81" s="88"/>
      <c r="G81" s="89"/>
      <c r="H81" s="104"/>
      <c r="I81" s="105">
        <f t="shared" si="7"/>
        <v>0</v>
      </c>
      <c r="J81" s="90"/>
      <c r="K81" s="91"/>
      <c r="L81" s="113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5"/>
      <c r="AL81" s="92">
        <f t="shared" ref="AL81:AL96" si="10">SUM(L81:AK81)</f>
        <v>0</v>
      </c>
      <c r="AM81" s="122" t="str">
        <f t="shared" si="9"/>
        <v>OK</v>
      </c>
    </row>
    <row r="82" spans="1:39" ht="17.25" hidden="1" thickBot="1">
      <c r="A82" s="68"/>
      <c r="B82" s="78"/>
      <c r="C82" s="95"/>
      <c r="D82" s="83"/>
      <c r="E82" s="83"/>
      <c r="F82" s="83"/>
      <c r="G82" s="84"/>
      <c r="H82" s="102"/>
      <c r="I82" s="106">
        <f t="shared" si="7"/>
        <v>0</v>
      </c>
      <c r="J82" s="85"/>
      <c r="K82" s="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66">
        <f t="shared" si="10"/>
        <v>0</v>
      </c>
      <c r="AM82" s="28" t="str">
        <f t="shared" si="9"/>
        <v>OK</v>
      </c>
    </row>
    <row r="83" spans="1:39" ht="17.25" hidden="1" thickBot="1">
      <c r="A83" s="96"/>
      <c r="B83" s="93"/>
      <c r="C83" s="94"/>
      <c r="D83" s="88"/>
      <c r="E83" s="88"/>
      <c r="F83" s="88"/>
      <c r="G83" s="89"/>
      <c r="H83" s="104"/>
      <c r="I83" s="105">
        <f t="shared" si="7"/>
        <v>0</v>
      </c>
      <c r="J83" s="90"/>
      <c r="K83" s="91"/>
      <c r="L83" s="113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5"/>
      <c r="AL83" s="92">
        <f t="shared" si="10"/>
        <v>0</v>
      </c>
      <c r="AM83" s="122" t="str">
        <f t="shared" si="9"/>
        <v>OK</v>
      </c>
    </row>
    <row r="84" spans="1:39" ht="17.25" hidden="1" thickBot="1">
      <c r="A84" s="68"/>
      <c r="B84" s="78"/>
      <c r="C84" s="95"/>
      <c r="D84" s="83"/>
      <c r="E84" s="83"/>
      <c r="F84" s="83"/>
      <c r="G84" s="84"/>
      <c r="H84" s="102"/>
      <c r="I84" s="106">
        <f t="shared" si="7"/>
        <v>0</v>
      </c>
      <c r="J84" s="85"/>
      <c r="K84" s="16"/>
      <c r="L84" s="116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66">
        <f t="shared" si="10"/>
        <v>0</v>
      </c>
      <c r="AM84" s="28" t="str">
        <f t="shared" si="9"/>
        <v>OK</v>
      </c>
    </row>
    <row r="85" spans="1:39" ht="17.25" hidden="1" thickBot="1">
      <c r="A85" s="87"/>
      <c r="B85" s="93"/>
      <c r="C85" s="94"/>
      <c r="D85" s="88"/>
      <c r="E85" s="88"/>
      <c r="F85" s="88"/>
      <c r="G85" s="89"/>
      <c r="H85" s="104"/>
      <c r="I85" s="105">
        <f t="shared" si="7"/>
        <v>0</v>
      </c>
      <c r="J85" s="90"/>
      <c r="K85" s="91"/>
      <c r="L85" s="113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5"/>
      <c r="AL85" s="92">
        <f t="shared" si="10"/>
        <v>0</v>
      </c>
      <c r="AM85" s="122" t="str">
        <f t="shared" si="9"/>
        <v>OK</v>
      </c>
    </row>
    <row r="86" spans="1:39" ht="17.25" hidden="1" thickBot="1">
      <c r="A86" s="68"/>
      <c r="B86" s="78"/>
      <c r="C86" s="95"/>
      <c r="D86" s="83"/>
      <c r="E86" s="83"/>
      <c r="F86" s="83"/>
      <c r="G86" s="84"/>
      <c r="H86" s="102"/>
      <c r="I86" s="106">
        <f t="shared" si="7"/>
        <v>0</v>
      </c>
      <c r="J86" s="85"/>
      <c r="K86" s="16"/>
      <c r="L86" s="116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66">
        <f t="shared" si="10"/>
        <v>0</v>
      </c>
      <c r="AM86" s="28" t="str">
        <f t="shared" si="9"/>
        <v>OK</v>
      </c>
    </row>
    <row r="87" spans="1:39" ht="17.25" hidden="1" thickBot="1">
      <c r="A87" s="87"/>
      <c r="B87" s="93"/>
      <c r="C87" s="94"/>
      <c r="D87" s="88"/>
      <c r="E87" s="88"/>
      <c r="F87" s="88"/>
      <c r="G87" s="89"/>
      <c r="H87" s="104"/>
      <c r="I87" s="105">
        <f t="shared" si="7"/>
        <v>0</v>
      </c>
      <c r="J87" s="90"/>
      <c r="K87" s="91"/>
      <c r="L87" s="113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5"/>
      <c r="AL87" s="92">
        <f t="shared" si="10"/>
        <v>0</v>
      </c>
      <c r="AM87" s="122" t="str">
        <f t="shared" si="9"/>
        <v>OK</v>
      </c>
    </row>
    <row r="88" spans="1:39" ht="17.25" hidden="1" thickBot="1">
      <c r="A88" s="68"/>
      <c r="B88" s="78"/>
      <c r="C88" s="95"/>
      <c r="D88" s="83"/>
      <c r="E88" s="83"/>
      <c r="F88" s="83"/>
      <c r="G88" s="84"/>
      <c r="H88" s="102"/>
      <c r="I88" s="106">
        <f t="shared" si="7"/>
        <v>0</v>
      </c>
      <c r="J88" s="85"/>
      <c r="K88" s="16"/>
      <c r="L88" s="116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66">
        <f t="shared" si="10"/>
        <v>0</v>
      </c>
      <c r="AM88" s="28" t="str">
        <f t="shared" si="9"/>
        <v>OK</v>
      </c>
    </row>
    <row r="89" spans="1:39" ht="17.25" hidden="1" thickBot="1">
      <c r="A89" s="87"/>
      <c r="B89" s="93"/>
      <c r="C89" s="94"/>
      <c r="D89" s="88"/>
      <c r="E89" s="88"/>
      <c r="F89" s="88"/>
      <c r="G89" s="89"/>
      <c r="H89" s="104"/>
      <c r="I89" s="105">
        <f t="shared" si="7"/>
        <v>0</v>
      </c>
      <c r="J89" s="90"/>
      <c r="K89" s="91"/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5"/>
      <c r="AL89" s="92">
        <f t="shared" si="10"/>
        <v>0</v>
      </c>
      <c r="AM89" s="122" t="str">
        <f t="shared" si="9"/>
        <v>OK</v>
      </c>
    </row>
    <row r="90" spans="1:39" ht="17.25" hidden="1" thickBot="1">
      <c r="A90" s="68"/>
      <c r="B90" s="78"/>
      <c r="C90" s="95"/>
      <c r="D90" s="83"/>
      <c r="E90" s="83"/>
      <c r="F90" s="83"/>
      <c r="G90" s="84"/>
      <c r="H90" s="102"/>
      <c r="I90" s="106">
        <f t="shared" si="7"/>
        <v>0</v>
      </c>
      <c r="J90" s="85"/>
      <c r="K90" s="16"/>
      <c r="L90" s="116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66">
        <f t="shared" si="10"/>
        <v>0</v>
      </c>
      <c r="AM90" s="28" t="str">
        <f t="shared" si="9"/>
        <v>OK</v>
      </c>
    </row>
    <row r="91" spans="1:39" ht="17.25" hidden="1" thickBot="1">
      <c r="A91" s="87"/>
      <c r="B91" s="93"/>
      <c r="C91" s="94"/>
      <c r="D91" s="88"/>
      <c r="E91" s="88"/>
      <c r="F91" s="88"/>
      <c r="G91" s="89"/>
      <c r="H91" s="104"/>
      <c r="I91" s="105">
        <f t="shared" si="7"/>
        <v>0</v>
      </c>
      <c r="J91" s="90"/>
      <c r="K91" s="91"/>
      <c r="L91" s="113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5"/>
      <c r="AL91" s="92">
        <f t="shared" si="10"/>
        <v>0</v>
      </c>
      <c r="AM91" s="122" t="str">
        <f t="shared" si="9"/>
        <v>OK</v>
      </c>
    </row>
    <row r="92" spans="1:39" ht="17.25" hidden="1" thickBot="1">
      <c r="A92" s="68"/>
      <c r="B92" s="78"/>
      <c r="C92" s="95"/>
      <c r="D92" s="83"/>
      <c r="E92" s="83"/>
      <c r="F92" s="83"/>
      <c r="G92" s="84"/>
      <c r="H92" s="102"/>
      <c r="I92" s="106">
        <f t="shared" si="7"/>
        <v>0</v>
      </c>
      <c r="J92" s="85"/>
      <c r="K92" s="16"/>
      <c r="L92" s="116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66">
        <f t="shared" si="10"/>
        <v>0</v>
      </c>
      <c r="AM92" s="28" t="str">
        <f t="shared" si="9"/>
        <v>OK</v>
      </c>
    </row>
    <row r="93" spans="1:39" ht="17.25" hidden="1" thickBot="1">
      <c r="A93" s="87"/>
      <c r="B93" s="93"/>
      <c r="C93" s="94"/>
      <c r="D93" s="88"/>
      <c r="E93" s="88"/>
      <c r="F93" s="88"/>
      <c r="G93" s="89"/>
      <c r="H93" s="104"/>
      <c r="I93" s="105">
        <f t="shared" si="7"/>
        <v>0</v>
      </c>
      <c r="J93" s="90"/>
      <c r="K93" s="91"/>
      <c r="L93" s="113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5"/>
      <c r="AL93" s="92">
        <f t="shared" si="10"/>
        <v>0</v>
      </c>
      <c r="AM93" s="122" t="str">
        <f t="shared" si="9"/>
        <v>OK</v>
      </c>
    </row>
    <row r="94" spans="1:39" ht="17.25" hidden="1" thickBot="1">
      <c r="A94" s="68"/>
      <c r="B94" s="78"/>
      <c r="C94" s="95"/>
      <c r="D94" s="83"/>
      <c r="E94" s="83"/>
      <c r="F94" s="83"/>
      <c r="G94" s="84"/>
      <c r="H94" s="102"/>
      <c r="I94" s="106">
        <f t="shared" si="7"/>
        <v>0</v>
      </c>
      <c r="J94" s="85"/>
      <c r="K94" s="16"/>
      <c r="L94" s="116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66">
        <f t="shared" si="10"/>
        <v>0</v>
      </c>
      <c r="AM94" s="28" t="str">
        <f t="shared" si="9"/>
        <v>OK</v>
      </c>
    </row>
    <row r="95" spans="1:39" ht="17.25" hidden="1" thickBot="1">
      <c r="A95" s="87"/>
      <c r="B95" s="93"/>
      <c r="C95" s="94"/>
      <c r="D95" s="88"/>
      <c r="E95" s="88"/>
      <c r="F95" s="88"/>
      <c r="G95" s="89"/>
      <c r="H95" s="104"/>
      <c r="I95" s="105">
        <f t="shared" si="7"/>
        <v>0</v>
      </c>
      <c r="J95" s="90"/>
      <c r="K95" s="91"/>
      <c r="L95" s="113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5"/>
      <c r="AL95" s="92">
        <f t="shared" si="10"/>
        <v>0</v>
      </c>
      <c r="AM95" s="122" t="str">
        <f t="shared" si="9"/>
        <v>OK</v>
      </c>
    </row>
    <row r="96" spans="1:39" ht="17.25" hidden="1" thickBot="1">
      <c r="A96" s="97"/>
      <c r="B96" s="98"/>
      <c r="C96" s="99"/>
      <c r="D96" s="83"/>
      <c r="E96" s="83"/>
      <c r="F96" s="83"/>
      <c r="G96" s="84"/>
      <c r="H96" s="107"/>
      <c r="I96" s="108">
        <f t="shared" si="7"/>
        <v>0</v>
      </c>
      <c r="J96" s="85"/>
      <c r="K96" s="16"/>
      <c r="L96" s="119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1"/>
      <c r="AL96" s="66">
        <f t="shared" si="10"/>
        <v>0</v>
      </c>
      <c r="AM96" s="28" t="str">
        <f t="shared" si="9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20808</v>
      </c>
      <c r="I97" s="46">
        <f>SUM(I6:I96)</f>
        <v>14</v>
      </c>
      <c r="J97" s="47">
        <f>SUM(J6:J74)</f>
        <v>0</v>
      </c>
      <c r="K97" s="9"/>
      <c r="L97" s="45">
        <f>SUM(L6:L96)</f>
        <v>0</v>
      </c>
      <c r="M97" s="45">
        <f t="shared" ref="M97:AI97" si="11">SUM(M6:M96)</f>
        <v>0</v>
      </c>
      <c r="N97" s="45">
        <f t="shared" si="11"/>
        <v>1</v>
      </c>
      <c r="O97" s="45">
        <f t="shared" si="11"/>
        <v>0</v>
      </c>
      <c r="P97" s="45">
        <f t="shared" si="11"/>
        <v>0</v>
      </c>
      <c r="Q97" s="45">
        <f t="shared" si="11"/>
        <v>0</v>
      </c>
      <c r="R97" s="45">
        <f t="shared" si="11"/>
        <v>0</v>
      </c>
      <c r="S97" s="45">
        <f t="shared" si="11"/>
        <v>0</v>
      </c>
      <c r="T97" s="45">
        <f t="shared" si="11"/>
        <v>0</v>
      </c>
      <c r="U97" s="45">
        <f t="shared" si="11"/>
        <v>0</v>
      </c>
      <c r="V97" s="45">
        <f t="shared" si="11"/>
        <v>0</v>
      </c>
      <c r="W97" s="45">
        <f t="shared" si="11"/>
        <v>0</v>
      </c>
      <c r="X97" s="45">
        <f t="shared" si="11"/>
        <v>0</v>
      </c>
      <c r="Y97" s="45">
        <f t="shared" si="11"/>
        <v>2</v>
      </c>
      <c r="Z97" s="45">
        <f t="shared" si="11"/>
        <v>0</v>
      </c>
      <c r="AA97" s="45">
        <f t="shared" si="11"/>
        <v>0</v>
      </c>
      <c r="AB97" s="45">
        <f t="shared" si="11"/>
        <v>0</v>
      </c>
      <c r="AC97" s="45">
        <f t="shared" si="11"/>
        <v>6</v>
      </c>
      <c r="AD97" s="45">
        <f t="shared" si="11"/>
        <v>0</v>
      </c>
      <c r="AE97" s="45">
        <f t="shared" si="11"/>
        <v>0</v>
      </c>
      <c r="AF97" s="45">
        <f t="shared" si="11"/>
        <v>0</v>
      </c>
      <c r="AG97" s="45">
        <f t="shared" si="11"/>
        <v>0</v>
      </c>
      <c r="AH97" s="45">
        <f t="shared" si="11"/>
        <v>0</v>
      </c>
      <c r="AI97" s="45">
        <f t="shared" si="11"/>
        <v>5</v>
      </c>
      <c r="AJ97" s="49">
        <f>SUM(AJ6:AJ96)</f>
        <v>0</v>
      </c>
      <c r="AK97" s="61">
        <f>SUM(AK6:AK96)</f>
        <v>0</v>
      </c>
      <c r="AL97" s="67">
        <f>SUM(AL6:AL96)</f>
        <v>14</v>
      </c>
      <c r="AM97" s="48" t="str">
        <f>IF(AL97=SUM(I97),"OK","NG")</f>
        <v>OK</v>
      </c>
    </row>
    <row r="102" spans="1:39">
      <c r="I102" s="86"/>
    </row>
    <row r="103" spans="1:39">
      <c r="H103" s="86"/>
    </row>
  </sheetData>
  <autoFilter ref="A5:AM97" xr:uid="{00000000-0001-0000-0F00-000000000000}">
    <filterColumn colId="7">
      <customFilters>
        <customFilter operator="notEqual" val=" "/>
      </customFilters>
    </filterColumn>
  </autoFilter>
  <mergeCells count="37">
    <mergeCell ref="AM4:AM5"/>
    <mergeCell ref="AG4:AG5"/>
    <mergeCell ref="AH4:AH5"/>
    <mergeCell ref="AI4:AI5"/>
    <mergeCell ref="AJ4:AJ5"/>
    <mergeCell ref="AK4:AK5"/>
    <mergeCell ref="AL4:AL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B1:C1"/>
    <mergeCell ref="F1:G1"/>
    <mergeCell ref="H1:J3"/>
    <mergeCell ref="B2:C2"/>
    <mergeCell ref="AM2:AM3"/>
    <mergeCell ref="B3:C3"/>
  </mergeCells>
  <phoneticPr fontId="3" type="noConversion"/>
  <conditionalFormatting sqref="A4 AM6:AM97">
    <cfRule type="containsText" dxfId="47" priority="7" operator="containsText" text="NG">
      <formula>NOT(ISERROR(SEARCH("NG",A4)))</formula>
    </cfRule>
    <cfRule type="containsText" dxfId="46" priority="8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43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 filterMode="1">
    <pageSetUpPr fitToPage="1"/>
  </sheetPr>
  <dimension ref="A1:AM97"/>
  <sheetViews>
    <sheetView showGridLines="0" zoomScale="85" zoomScaleNormal="85" workbookViewId="0">
      <pane ySplit="5" topLeftCell="A9" activePane="bottomLeft" state="frozen"/>
      <selection activeCell="P19" sqref="P19"/>
      <selection pane="bottomLeft" activeCell="A5" sqref="A5:XFD5"/>
    </sheetView>
  </sheetViews>
  <sheetFormatPr defaultColWidth="9" defaultRowHeight="16.5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8" width="13.25" customWidth="1"/>
    <col min="9" max="9" width="13.25" style="132" customWidth="1"/>
    <col min="10" max="10" width="13.25" hidden="1" customWidth="1"/>
    <col min="11" max="11" width="0.875" customWidth="1"/>
    <col min="12" max="16" width="8.75"/>
    <col min="17" max="20" width="9" customWidth="1"/>
    <col min="21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5" customHeight="1" thickBot="1">
      <c r="A1" s="37" t="s">
        <v>13</v>
      </c>
      <c r="B1" s="168">
        <f>H97</f>
        <v>28902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5" customHeight="1" thickBot="1">
      <c r="A2" s="37" t="s">
        <v>14</v>
      </c>
      <c r="B2" s="173">
        <f>I97</f>
        <v>27</v>
      </c>
      <c r="C2" s="174"/>
      <c r="D2" s="75"/>
      <c r="E2" s="71"/>
      <c r="F2" s="2"/>
      <c r="G2" s="2"/>
      <c r="H2" s="171"/>
      <c r="I2" s="171"/>
      <c r="J2" s="171"/>
      <c r="K2" s="3"/>
      <c r="L2" s="4">
        <f t="shared" ref="L2:AK2" si="0">SUBTOTAL(9,L6:L96)</f>
        <v>19</v>
      </c>
      <c r="M2" s="4">
        <f t="shared" si="0"/>
        <v>3</v>
      </c>
      <c r="N2" s="4">
        <f t="shared" si="0"/>
        <v>0</v>
      </c>
      <c r="O2" s="4">
        <f t="shared" si="0"/>
        <v>0</v>
      </c>
      <c r="P2" s="4">
        <f t="shared" si="0"/>
        <v>1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4">
        <f t="shared" si="0"/>
        <v>0</v>
      </c>
      <c r="U2" s="4">
        <f t="shared" si="0"/>
        <v>0</v>
      </c>
      <c r="V2" s="4">
        <f t="shared" si="0"/>
        <v>0</v>
      </c>
      <c r="W2" s="4">
        <f t="shared" si="0"/>
        <v>0</v>
      </c>
      <c r="X2" s="4">
        <f t="shared" si="0"/>
        <v>0</v>
      </c>
      <c r="Y2" s="4">
        <f t="shared" si="0"/>
        <v>4</v>
      </c>
      <c r="Z2" s="4">
        <f t="shared" si="0"/>
        <v>0</v>
      </c>
      <c r="AA2" s="4">
        <f t="shared" si="0"/>
        <v>0</v>
      </c>
      <c r="AB2" s="4">
        <f t="shared" si="0"/>
        <v>0</v>
      </c>
      <c r="AC2" s="4">
        <f t="shared" si="0"/>
        <v>0</v>
      </c>
      <c r="AD2" s="4">
        <f t="shared" si="0"/>
        <v>0</v>
      </c>
      <c r="AE2" s="4">
        <f t="shared" si="0"/>
        <v>0</v>
      </c>
      <c r="AF2" s="4">
        <f t="shared" si="0"/>
        <v>0</v>
      </c>
      <c r="AG2" s="4">
        <f t="shared" si="0"/>
        <v>0</v>
      </c>
      <c r="AH2" s="4">
        <f t="shared" si="0"/>
        <v>0</v>
      </c>
      <c r="AI2" s="5">
        <f t="shared" si="0"/>
        <v>0</v>
      </c>
      <c r="AJ2" s="5">
        <f t="shared" si="0"/>
        <v>0</v>
      </c>
      <c r="AK2" s="59">
        <f t="shared" si="0"/>
        <v>0</v>
      </c>
      <c r="AL2" s="62">
        <f>SUBTOTAL(9,AL6:AL96)</f>
        <v>27</v>
      </c>
      <c r="AM2" s="175"/>
    </row>
    <row r="3" spans="1:39" customFormat="1" ht="22.5" customHeight="1" thickBot="1">
      <c r="A3" s="38" t="s">
        <v>15</v>
      </c>
      <c r="B3" s="177">
        <f>IF(ISERROR(B2/(B2+B1)*1000000),"",(B2/(B2+B1)*1000000))</f>
        <v>933.3195063776833</v>
      </c>
      <c r="C3" s="178"/>
      <c r="D3" s="73"/>
      <c r="E3" s="72"/>
      <c r="F3" s="32"/>
      <c r="G3" s="32"/>
      <c r="H3" s="172"/>
      <c r="I3" s="172"/>
      <c r="J3" s="172"/>
      <c r="K3" s="6"/>
      <c r="L3" s="7">
        <f t="shared" ref="L3:AK3" si="1">SUM(L6:L96)</f>
        <v>19</v>
      </c>
      <c r="M3" s="7">
        <f t="shared" si="1"/>
        <v>3</v>
      </c>
      <c r="N3" s="7">
        <f t="shared" si="1"/>
        <v>0</v>
      </c>
      <c r="O3" s="7">
        <f t="shared" si="1"/>
        <v>0</v>
      </c>
      <c r="P3" s="7">
        <f t="shared" si="1"/>
        <v>1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7">
        <f t="shared" si="1"/>
        <v>0</v>
      </c>
      <c r="U3" s="7">
        <f t="shared" si="1"/>
        <v>0</v>
      </c>
      <c r="V3" s="7">
        <f t="shared" si="1"/>
        <v>0</v>
      </c>
      <c r="W3" s="7">
        <f t="shared" si="1"/>
        <v>0</v>
      </c>
      <c r="X3" s="7">
        <f t="shared" si="1"/>
        <v>0</v>
      </c>
      <c r="Y3" s="7">
        <f t="shared" si="1"/>
        <v>4</v>
      </c>
      <c r="Z3" s="7">
        <f t="shared" si="1"/>
        <v>0</v>
      </c>
      <c r="AA3" s="7">
        <f t="shared" si="1"/>
        <v>0</v>
      </c>
      <c r="AB3" s="7">
        <f t="shared" si="1"/>
        <v>0</v>
      </c>
      <c r="AC3" s="7">
        <f t="shared" si="1"/>
        <v>0</v>
      </c>
      <c r="AD3" s="7">
        <f t="shared" si="1"/>
        <v>0</v>
      </c>
      <c r="AE3" s="7">
        <f t="shared" si="1"/>
        <v>0</v>
      </c>
      <c r="AF3" s="7">
        <f t="shared" si="1"/>
        <v>0</v>
      </c>
      <c r="AG3" s="7">
        <f t="shared" si="1"/>
        <v>0</v>
      </c>
      <c r="AH3" s="7">
        <f t="shared" si="1"/>
        <v>0</v>
      </c>
      <c r="AI3" s="8">
        <f t="shared" si="1"/>
        <v>0</v>
      </c>
      <c r="AJ3" s="8">
        <f t="shared" si="1"/>
        <v>0</v>
      </c>
      <c r="AK3" s="60">
        <f t="shared" si="1"/>
        <v>0</v>
      </c>
      <c r="AL3" s="63">
        <f>SUM(AL6:AL96)</f>
        <v>27</v>
      </c>
      <c r="AM3" s="176"/>
    </row>
    <row r="4" spans="1:39" customFormat="1" ht="43.5" customHeight="1">
      <c r="A4" s="163" t="str">
        <f>AM97</f>
        <v>OK</v>
      </c>
      <c r="B4" s="163"/>
      <c r="C4" s="163"/>
      <c r="D4" s="164"/>
      <c r="E4" s="165" t="s">
        <v>16</v>
      </c>
      <c r="F4" s="165"/>
      <c r="G4" s="165"/>
      <c r="H4" s="165" t="s">
        <v>17</v>
      </c>
      <c r="I4" s="165"/>
      <c r="J4" s="165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1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56" t="s">
        <v>12</v>
      </c>
      <c r="AL4" s="158" t="s">
        <v>36</v>
      </c>
      <c r="AM4" s="149" t="s">
        <v>37</v>
      </c>
    </row>
    <row r="5" spans="1:39" customFormat="1" ht="33.75" thickBot="1">
      <c r="A5" s="34" t="s">
        <v>3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137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6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3"/>
      <c r="AJ5" s="155"/>
      <c r="AK5" s="157"/>
      <c r="AL5" s="159"/>
      <c r="AM5" s="150"/>
    </row>
    <row r="6" spans="1:39" customFormat="1" hidden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34"/>
      <c r="I6" s="15">
        <f>SUM(L6:AK6)</f>
        <v>0</v>
      </c>
      <c r="J6" s="15"/>
      <c r="K6" s="16"/>
      <c r="L6" s="15"/>
      <c r="M6" s="15"/>
      <c r="N6" s="15"/>
      <c r="O6" s="15"/>
      <c r="P6" s="15"/>
      <c r="Q6" s="15"/>
      <c r="R6" s="15"/>
      <c r="S6" s="15"/>
      <c r="T6" s="41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3"/>
      <c r="AJ6" s="56"/>
      <c r="AK6" s="53"/>
      <c r="AL6" s="64">
        <f>SUM(L6:AK6)</f>
        <v>0</v>
      </c>
      <c r="AM6" s="31" t="str">
        <f t="shared" ref="AM6:AM74" si="2">IF(AL6=I6,"OK","NG")</f>
        <v>OK</v>
      </c>
    </row>
    <row r="7" spans="1:39" customFormat="1" hidden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135"/>
      <c r="I7" s="21">
        <f t="shared" ref="I7:I70" si="3">SUM(L7:AK7)</f>
        <v>0</v>
      </c>
      <c r="J7" s="21"/>
      <c r="K7" s="16"/>
      <c r="L7" s="21"/>
      <c r="M7" s="21"/>
      <c r="N7" s="21"/>
      <c r="O7" s="21"/>
      <c r="P7" s="21"/>
      <c r="Q7" s="21"/>
      <c r="R7" s="21"/>
      <c r="S7" s="21"/>
      <c r="T7" s="42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4"/>
      <c r="AJ7" s="57"/>
      <c r="AK7" s="54"/>
      <c r="AL7" s="65">
        <f t="shared" ref="AL7:AL74" si="4">SUM(L7:AK7)</f>
        <v>0</v>
      </c>
      <c r="AM7" s="22" t="str">
        <f t="shared" si="2"/>
        <v>OK</v>
      </c>
    </row>
    <row r="8" spans="1:39" customFormat="1" hidden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36"/>
      <c r="I8" s="27">
        <f t="shared" si="3"/>
        <v>0</v>
      </c>
      <c r="J8" s="27"/>
      <c r="K8" s="16"/>
      <c r="L8" s="27"/>
      <c r="M8" s="27"/>
      <c r="N8" s="27"/>
      <c r="O8" s="27"/>
      <c r="P8" s="27"/>
      <c r="Q8" s="27"/>
      <c r="R8" s="27"/>
      <c r="S8" s="27"/>
      <c r="T8" s="4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5"/>
      <c r="AJ8" s="58"/>
      <c r="AK8" s="55"/>
      <c r="AL8" s="66">
        <f t="shared" si="4"/>
        <v>0</v>
      </c>
      <c r="AM8" s="28" t="str">
        <f t="shared" si="2"/>
        <v>OK</v>
      </c>
    </row>
    <row r="9" spans="1:39" customFormat="1">
      <c r="A9" s="17" t="s">
        <v>68</v>
      </c>
      <c r="B9" s="77">
        <v>10897</v>
      </c>
      <c r="C9" s="17" t="s">
        <v>62</v>
      </c>
      <c r="D9" s="69"/>
      <c r="E9" s="18"/>
      <c r="F9" s="18"/>
      <c r="G9" s="19"/>
      <c r="H9" s="135">
        <f>830+1140</f>
        <v>1970</v>
      </c>
      <c r="I9" s="21">
        <f t="shared" si="3"/>
        <v>1</v>
      </c>
      <c r="J9" s="21"/>
      <c r="K9" s="16"/>
      <c r="L9" s="21"/>
      <c r="M9" s="21"/>
      <c r="N9" s="21"/>
      <c r="O9" s="21"/>
      <c r="P9" s="21">
        <v>1</v>
      </c>
      <c r="Q9" s="21"/>
      <c r="R9" s="21"/>
      <c r="S9" s="21"/>
      <c r="T9" s="42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4"/>
      <c r="AJ9" s="57"/>
      <c r="AK9" s="54"/>
      <c r="AL9" s="65">
        <f t="shared" si="4"/>
        <v>1</v>
      </c>
      <c r="AM9" s="22" t="str">
        <f t="shared" si="2"/>
        <v>OK</v>
      </c>
    </row>
    <row r="10" spans="1:39" customFormat="1" hidden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36"/>
      <c r="I10" s="27">
        <f t="shared" si="3"/>
        <v>0</v>
      </c>
      <c r="J10" s="27"/>
      <c r="K10" s="16"/>
      <c r="L10" s="27"/>
      <c r="M10" s="27"/>
      <c r="N10" s="27"/>
      <c r="O10" s="27"/>
      <c r="P10" s="27"/>
      <c r="Q10" s="27"/>
      <c r="R10" s="27"/>
      <c r="S10" s="27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5"/>
      <c r="AJ10" s="58"/>
      <c r="AK10" s="55"/>
      <c r="AL10" s="66">
        <f t="shared" si="4"/>
        <v>0</v>
      </c>
      <c r="AM10" s="28" t="str">
        <f t="shared" si="2"/>
        <v>OK</v>
      </c>
    </row>
    <row r="11" spans="1:39" customFormat="1" hidden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135"/>
      <c r="I11" s="21">
        <f t="shared" si="3"/>
        <v>0</v>
      </c>
      <c r="J11" s="21"/>
      <c r="K11" s="16"/>
      <c r="L11" s="21"/>
      <c r="M11" s="21"/>
      <c r="N11" s="21"/>
      <c r="O11" s="21"/>
      <c r="P11" s="21"/>
      <c r="Q11" s="21"/>
      <c r="R11" s="21"/>
      <c r="S11" s="21"/>
      <c r="T11" s="42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4"/>
      <c r="AJ11" s="57"/>
      <c r="AK11" s="54"/>
      <c r="AL11" s="65">
        <f t="shared" si="4"/>
        <v>0</v>
      </c>
      <c r="AM11" s="22" t="str">
        <f t="shared" si="2"/>
        <v>OK</v>
      </c>
    </row>
    <row r="12" spans="1:39" customFormat="1" hidden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36"/>
      <c r="I12" s="27">
        <f t="shared" si="3"/>
        <v>0</v>
      </c>
      <c r="J12" s="27"/>
      <c r="K12" s="16"/>
      <c r="L12" s="27"/>
      <c r="M12" s="27"/>
      <c r="N12" s="27"/>
      <c r="O12" s="27"/>
      <c r="P12" s="27"/>
      <c r="Q12" s="27"/>
      <c r="R12" s="27"/>
      <c r="S12" s="27"/>
      <c r="T12" s="43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8"/>
      <c r="AK12" s="55"/>
      <c r="AL12" s="66">
        <f t="shared" si="4"/>
        <v>0</v>
      </c>
      <c r="AM12" s="28" t="str">
        <f t="shared" si="2"/>
        <v>OK</v>
      </c>
    </row>
    <row r="13" spans="1:39" customFormat="1" hidden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135"/>
      <c r="I13" s="21">
        <f t="shared" si="3"/>
        <v>0</v>
      </c>
      <c r="J13" s="21"/>
      <c r="K13" s="16"/>
      <c r="L13" s="21"/>
      <c r="M13" s="21"/>
      <c r="N13" s="21"/>
      <c r="O13" s="21"/>
      <c r="P13" s="21"/>
      <c r="Q13" s="21"/>
      <c r="R13" s="21"/>
      <c r="S13" s="21"/>
      <c r="T13" s="4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4"/>
      <c r="AJ13" s="57"/>
      <c r="AK13" s="54"/>
      <c r="AL13" s="65">
        <f t="shared" si="4"/>
        <v>0</v>
      </c>
      <c r="AM13" s="22" t="str">
        <f t="shared" si="2"/>
        <v>OK</v>
      </c>
    </row>
    <row r="14" spans="1:39" customFormat="1" hidden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36"/>
      <c r="I14" s="27">
        <f t="shared" si="3"/>
        <v>0</v>
      </c>
      <c r="J14" s="27"/>
      <c r="K14" s="16"/>
      <c r="L14" s="27"/>
      <c r="M14" s="27"/>
      <c r="N14" s="27"/>
      <c r="O14" s="27"/>
      <c r="P14" s="27"/>
      <c r="Q14" s="27"/>
      <c r="R14" s="27"/>
      <c r="S14" s="27"/>
      <c r="T14" s="43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5"/>
      <c r="AJ14" s="58"/>
      <c r="AK14" s="55"/>
      <c r="AL14" s="66">
        <f t="shared" si="4"/>
        <v>0</v>
      </c>
      <c r="AM14" s="28" t="str">
        <f t="shared" si="2"/>
        <v>OK</v>
      </c>
    </row>
    <row r="15" spans="1:39" customFormat="1" hidden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135"/>
      <c r="I15" s="21">
        <f t="shared" si="3"/>
        <v>0</v>
      </c>
      <c r="J15" s="21"/>
      <c r="K15" s="16"/>
      <c r="L15" s="21"/>
      <c r="M15" s="21"/>
      <c r="N15" s="21"/>
      <c r="O15" s="21"/>
      <c r="P15" s="21"/>
      <c r="Q15" s="21"/>
      <c r="R15" s="21"/>
      <c r="S15" s="21"/>
      <c r="T15" s="42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4"/>
      <c r="AJ15" s="57"/>
      <c r="AK15" s="54"/>
      <c r="AL15" s="65">
        <f t="shared" si="4"/>
        <v>0</v>
      </c>
      <c r="AM15" s="22" t="str">
        <f t="shared" si="2"/>
        <v>OK</v>
      </c>
    </row>
    <row r="16" spans="1:39" customFormat="1" hidden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36"/>
      <c r="I16" s="27">
        <f t="shared" si="3"/>
        <v>0</v>
      </c>
      <c r="J16" s="27"/>
      <c r="K16" s="16"/>
      <c r="L16" s="27"/>
      <c r="M16" s="27"/>
      <c r="N16" s="27"/>
      <c r="O16" s="27"/>
      <c r="P16" s="27"/>
      <c r="Q16" s="27"/>
      <c r="R16" s="27"/>
      <c r="S16" s="27"/>
      <c r="T16" s="43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8"/>
      <c r="AK16" s="55"/>
      <c r="AL16" s="66">
        <f t="shared" si="4"/>
        <v>0</v>
      </c>
      <c r="AM16" s="28" t="str">
        <f t="shared" si="2"/>
        <v>OK</v>
      </c>
    </row>
    <row r="17" spans="1:39" customFormat="1" hidden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135"/>
      <c r="I17" s="21">
        <f t="shared" si="3"/>
        <v>0</v>
      </c>
      <c r="J17" s="21"/>
      <c r="K17" s="16"/>
      <c r="L17" s="21"/>
      <c r="M17" s="21"/>
      <c r="N17" s="21"/>
      <c r="O17" s="21"/>
      <c r="P17" s="21"/>
      <c r="Q17" s="21"/>
      <c r="R17" s="21"/>
      <c r="S17" s="21"/>
      <c r="T17" s="42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4"/>
      <c r="AJ17" s="57"/>
      <c r="AK17" s="54"/>
      <c r="AL17" s="65">
        <f t="shared" si="4"/>
        <v>0</v>
      </c>
      <c r="AM17" s="22" t="str">
        <f t="shared" si="2"/>
        <v>OK</v>
      </c>
    </row>
    <row r="18" spans="1:39" customFormat="1" hidden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36"/>
      <c r="I18" s="27">
        <f t="shared" si="3"/>
        <v>0</v>
      </c>
      <c r="J18" s="27"/>
      <c r="K18" s="16"/>
      <c r="L18" s="27"/>
      <c r="M18" s="27"/>
      <c r="N18" s="27"/>
      <c r="O18" s="27"/>
      <c r="P18" s="27"/>
      <c r="Q18" s="27"/>
      <c r="R18" s="27"/>
      <c r="S18" s="27"/>
      <c r="T18" s="43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8"/>
      <c r="AK18" s="55"/>
      <c r="AL18" s="66">
        <f t="shared" si="4"/>
        <v>0</v>
      </c>
      <c r="AM18" s="28" t="str">
        <f t="shared" si="2"/>
        <v>OK</v>
      </c>
    </row>
    <row r="19" spans="1:39" customFormat="1">
      <c r="A19" s="17" t="s">
        <v>91</v>
      </c>
      <c r="B19" s="77">
        <v>14988</v>
      </c>
      <c r="C19" s="17" t="s">
        <v>64</v>
      </c>
      <c r="D19" s="69"/>
      <c r="E19" s="18"/>
      <c r="F19" s="18"/>
      <c r="G19" s="19"/>
      <c r="H19" s="135">
        <v>3840</v>
      </c>
      <c r="I19" s="21">
        <f>SUM(L19:AK19)</f>
        <v>0</v>
      </c>
      <c r="J19" s="21"/>
      <c r="K19" s="16"/>
      <c r="L19" s="21"/>
      <c r="M19" s="21"/>
      <c r="N19" s="21"/>
      <c r="O19" s="21"/>
      <c r="P19" s="21"/>
      <c r="Q19" s="21"/>
      <c r="R19" s="21"/>
      <c r="S19" s="21"/>
      <c r="T19" s="42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4"/>
      <c r="AJ19" s="57"/>
      <c r="AK19" s="54"/>
      <c r="AL19" s="65">
        <f t="shared" si="4"/>
        <v>0</v>
      </c>
      <c r="AM19" s="22" t="str">
        <f t="shared" si="2"/>
        <v>OK</v>
      </c>
    </row>
    <row r="20" spans="1:39" customFormat="1" hidden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136"/>
      <c r="I20" s="27">
        <f t="shared" si="3"/>
        <v>0</v>
      </c>
      <c r="J20" s="27"/>
      <c r="K20" s="16"/>
      <c r="L20" s="27"/>
      <c r="M20" s="27"/>
      <c r="N20" s="27"/>
      <c r="O20" s="27"/>
      <c r="P20" s="27"/>
      <c r="Q20" s="27"/>
      <c r="R20" s="27"/>
      <c r="S20" s="27"/>
      <c r="T20" s="43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8"/>
      <c r="AK20" s="55"/>
      <c r="AL20" s="66">
        <f t="shared" si="4"/>
        <v>0</v>
      </c>
      <c r="AM20" s="28" t="str">
        <f t="shared" si="2"/>
        <v>OK</v>
      </c>
    </row>
    <row r="21" spans="1:39" customFormat="1" hidden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135"/>
      <c r="I21" s="21">
        <f t="shared" si="3"/>
        <v>0</v>
      </c>
      <c r="J21" s="21"/>
      <c r="K21" s="16"/>
      <c r="L21" s="21"/>
      <c r="M21" s="21"/>
      <c r="N21" s="21"/>
      <c r="O21" s="21"/>
      <c r="P21" s="21"/>
      <c r="Q21" s="21"/>
      <c r="R21" s="21"/>
      <c r="S21" s="21"/>
      <c r="T21" s="4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4"/>
      <c r="AJ21" s="57"/>
      <c r="AK21" s="54"/>
      <c r="AL21" s="65">
        <f t="shared" si="4"/>
        <v>0</v>
      </c>
      <c r="AM21" s="22" t="str">
        <f t="shared" si="2"/>
        <v>OK</v>
      </c>
    </row>
    <row r="22" spans="1:39" customFormat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36">
        <v>3700</v>
      </c>
      <c r="I22" s="27">
        <f t="shared" si="3"/>
        <v>0</v>
      </c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43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5"/>
      <c r="AJ22" s="58"/>
      <c r="AK22" s="55"/>
      <c r="AL22" s="66">
        <f t="shared" si="4"/>
        <v>0</v>
      </c>
      <c r="AM22" s="28" t="str">
        <f t="shared" si="2"/>
        <v>OK</v>
      </c>
    </row>
    <row r="23" spans="1:39" customFormat="1" hidden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135"/>
      <c r="I23" s="21">
        <f t="shared" si="3"/>
        <v>0</v>
      </c>
      <c r="J23" s="21"/>
      <c r="K23" s="16"/>
      <c r="L23" s="21"/>
      <c r="M23" s="21"/>
      <c r="N23" s="21"/>
      <c r="O23" s="21"/>
      <c r="P23" s="21"/>
      <c r="Q23" s="21"/>
      <c r="R23" s="21"/>
      <c r="S23" s="21"/>
      <c r="T23" s="42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7"/>
      <c r="AK23" s="54"/>
      <c r="AL23" s="65">
        <f>SUM(L23:AK23)</f>
        <v>0</v>
      </c>
      <c r="AM23" s="22" t="str">
        <f t="shared" si="2"/>
        <v>OK</v>
      </c>
    </row>
    <row r="24" spans="1:39" customFormat="1" hidden="1">
      <c r="A24" s="68" t="s">
        <v>44</v>
      </c>
      <c r="B24" s="78">
        <v>10163</v>
      </c>
      <c r="C24" s="23" t="s">
        <v>45</v>
      </c>
      <c r="D24" s="24"/>
      <c r="E24" s="24"/>
      <c r="F24" s="24"/>
      <c r="G24" s="25"/>
      <c r="H24" s="136"/>
      <c r="I24" s="27">
        <f t="shared" si="3"/>
        <v>0</v>
      </c>
      <c r="J24" s="27"/>
      <c r="K24" s="16"/>
      <c r="L24" s="27"/>
      <c r="M24" s="27"/>
      <c r="N24" s="27"/>
      <c r="O24" s="27"/>
      <c r="P24" s="27"/>
      <c r="Q24" s="27"/>
      <c r="R24" s="27"/>
      <c r="S24" s="27"/>
      <c r="T24" s="43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5"/>
      <c r="AJ24" s="58"/>
      <c r="AK24" s="55"/>
      <c r="AL24" s="66">
        <f t="shared" si="4"/>
        <v>0</v>
      </c>
      <c r="AM24" s="28" t="str">
        <f t="shared" si="2"/>
        <v>OK</v>
      </c>
    </row>
    <row r="25" spans="1:39" customFormat="1" hidden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135"/>
      <c r="I25" s="21">
        <f t="shared" si="3"/>
        <v>0</v>
      </c>
      <c r="J25" s="21"/>
      <c r="K25" s="16"/>
      <c r="L25" s="21"/>
      <c r="M25" s="21"/>
      <c r="N25" s="21"/>
      <c r="O25" s="21"/>
      <c r="P25" s="21"/>
      <c r="Q25" s="21"/>
      <c r="R25" s="21"/>
      <c r="S25" s="21"/>
      <c r="T25" s="42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4"/>
      <c r="AJ25" s="57"/>
      <c r="AK25" s="54"/>
      <c r="AL25" s="65">
        <f t="shared" si="4"/>
        <v>0</v>
      </c>
      <c r="AM25" s="22" t="str">
        <f t="shared" si="2"/>
        <v>OK</v>
      </c>
    </row>
    <row r="26" spans="1:39" customFormat="1" hidden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36"/>
      <c r="I26" s="27">
        <f t="shared" si="3"/>
        <v>0</v>
      </c>
      <c r="J26" s="27"/>
      <c r="K26" s="16"/>
      <c r="L26" s="27"/>
      <c r="M26" s="27"/>
      <c r="N26" s="27"/>
      <c r="O26" s="27"/>
      <c r="P26" s="27"/>
      <c r="Q26" s="27"/>
      <c r="R26" s="27"/>
      <c r="S26" s="27"/>
      <c r="T26" s="43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8"/>
      <c r="AK26" s="55"/>
      <c r="AL26" s="66">
        <f t="shared" si="4"/>
        <v>0</v>
      </c>
      <c r="AM26" s="28" t="str">
        <f t="shared" si="2"/>
        <v>OK</v>
      </c>
    </row>
    <row r="27" spans="1:39" customFormat="1" hidden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135"/>
      <c r="I27" s="21">
        <f t="shared" si="3"/>
        <v>0</v>
      </c>
      <c r="J27" s="21"/>
      <c r="K27" s="16"/>
      <c r="L27" s="21"/>
      <c r="M27" s="21"/>
      <c r="N27" s="21"/>
      <c r="O27" s="21"/>
      <c r="P27" s="21"/>
      <c r="Q27" s="21"/>
      <c r="R27" s="21"/>
      <c r="S27" s="21"/>
      <c r="T27" s="4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7"/>
      <c r="AK27" s="54"/>
      <c r="AL27" s="65">
        <f t="shared" si="4"/>
        <v>0</v>
      </c>
      <c r="AM27" s="22" t="str">
        <f t="shared" si="2"/>
        <v>OK</v>
      </c>
    </row>
    <row r="28" spans="1:39" customFormat="1" hidden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136"/>
      <c r="I28" s="27">
        <f t="shared" si="3"/>
        <v>0</v>
      </c>
      <c r="J28" s="27"/>
      <c r="K28" s="16"/>
      <c r="L28" s="27"/>
      <c r="M28" s="27"/>
      <c r="N28" s="27"/>
      <c r="O28" s="27"/>
      <c r="P28" s="27"/>
      <c r="Q28" s="27"/>
      <c r="R28" s="27"/>
      <c r="S28" s="27"/>
      <c r="T28" s="43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5"/>
      <c r="AJ28" s="58"/>
      <c r="AK28" s="55"/>
      <c r="AL28" s="66">
        <f t="shared" si="4"/>
        <v>0</v>
      </c>
      <c r="AM28" s="28" t="str">
        <f t="shared" si="2"/>
        <v>OK</v>
      </c>
    </row>
    <row r="29" spans="1:39" customFormat="1">
      <c r="A29" s="80" t="s">
        <v>71</v>
      </c>
      <c r="B29" s="77">
        <v>10151</v>
      </c>
      <c r="C29" s="17" t="s">
        <v>51</v>
      </c>
      <c r="D29" s="69"/>
      <c r="E29" s="18"/>
      <c r="F29" s="18"/>
      <c r="G29" s="19"/>
      <c r="H29" s="135">
        <f>710+594</f>
        <v>1304</v>
      </c>
      <c r="I29" s="21">
        <f t="shared" si="3"/>
        <v>0</v>
      </c>
      <c r="J29" s="21"/>
      <c r="K29" s="16"/>
      <c r="L29" s="21"/>
      <c r="M29" s="21"/>
      <c r="N29" s="21"/>
      <c r="O29" s="21"/>
      <c r="P29" s="21"/>
      <c r="Q29" s="21"/>
      <c r="R29" s="21"/>
      <c r="S29" s="21"/>
      <c r="T29" s="42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4"/>
      <c r="AJ29" s="57"/>
      <c r="AK29" s="54"/>
      <c r="AL29" s="65">
        <f t="shared" si="4"/>
        <v>0</v>
      </c>
      <c r="AM29" s="22" t="str">
        <f t="shared" si="2"/>
        <v>OK</v>
      </c>
    </row>
    <row r="30" spans="1:39" customFormat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136">
        <v>1100</v>
      </c>
      <c r="I30" s="27">
        <f t="shared" si="3"/>
        <v>0</v>
      </c>
      <c r="J30" s="27"/>
      <c r="K30" s="16"/>
      <c r="L30" s="27"/>
      <c r="M30" s="27"/>
      <c r="N30" s="27"/>
      <c r="O30" s="27"/>
      <c r="P30" s="27"/>
      <c r="Q30" s="27"/>
      <c r="R30" s="27"/>
      <c r="S30" s="27"/>
      <c r="T30" s="43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5"/>
      <c r="AJ30" s="58"/>
      <c r="AK30" s="55"/>
      <c r="AL30" s="66">
        <f t="shared" si="4"/>
        <v>0</v>
      </c>
      <c r="AM30" s="28" t="str">
        <f t="shared" si="2"/>
        <v>OK</v>
      </c>
    </row>
    <row r="31" spans="1:39" customFormat="1" hidden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135"/>
      <c r="I31" s="21">
        <f t="shared" si="3"/>
        <v>0</v>
      </c>
      <c r="J31" s="21"/>
      <c r="K31" s="16"/>
      <c r="L31" s="21"/>
      <c r="M31" s="21"/>
      <c r="N31" s="21"/>
      <c r="O31" s="21"/>
      <c r="P31" s="21"/>
      <c r="Q31" s="21"/>
      <c r="R31" s="21"/>
      <c r="S31" s="21"/>
      <c r="T31" s="4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7"/>
      <c r="AK31" s="54"/>
      <c r="AL31" s="65">
        <f t="shared" si="4"/>
        <v>0</v>
      </c>
      <c r="AM31" s="22" t="str">
        <f t="shared" si="2"/>
        <v>OK</v>
      </c>
    </row>
    <row r="32" spans="1:39" customFormat="1" hidden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136"/>
      <c r="I32" s="27">
        <f t="shared" si="3"/>
        <v>0</v>
      </c>
      <c r="J32" s="27"/>
      <c r="K32" s="16"/>
      <c r="L32" s="27"/>
      <c r="M32" s="27"/>
      <c r="N32" s="27"/>
      <c r="O32" s="27"/>
      <c r="P32" s="27"/>
      <c r="Q32" s="27"/>
      <c r="R32" s="27"/>
      <c r="S32" s="27"/>
      <c r="T32" s="43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5"/>
      <c r="AJ32" s="58"/>
      <c r="AK32" s="55"/>
      <c r="AL32" s="66">
        <f t="shared" si="4"/>
        <v>0</v>
      </c>
      <c r="AM32" s="28" t="str">
        <f t="shared" si="2"/>
        <v>OK</v>
      </c>
    </row>
    <row r="33" spans="1:39" customFormat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135">
        <v>2124</v>
      </c>
      <c r="I33" s="21">
        <f t="shared" si="3"/>
        <v>20</v>
      </c>
      <c r="J33" s="21"/>
      <c r="K33" s="16"/>
      <c r="L33" s="21">
        <v>18</v>
      </c>
      <c r="M33" s="21">
        <v>1</v>
      </c>
      <c r="N33" s="21"/>
      <c r="O33" s="21"/>
      <c r="P33" s="21"/>
      <c r="Q33" s="21"/>
      <c r="R33" s="21"/>
      <c r="S33" s="21"/>
      <c r="T33" s="42"/>
      <c r="U33" s="51"/>
      <c r="V33" s="51"/>
      <c r="W33" s="51"/>
      <c r="X33" s="51"/>
      <c r="Y33" s="51">
        <v>1</v>
      </c>
      <c r="Z33" s="51"/>
      <c r="AA33" s="51"/>
      <c r="AB33" s="51"/>
      <c r="AC33" s="51"/>
      <c r="AD33" s="51"/>
      <c r="AE33" s="51"/>
      <c r="AF33" s="51"/>
      <c r="AG33" s="51"/>
      <c r="AH33" s="51"/>
      <c r="AI33" s="54"/>
      <c r="AJ33" s="57"/>
      <c r="AK33" s="54"/>
      <c r="AL33" s="65">
        <f t="shared" si="4"/>
        <v>20</v>
      </c>
      <c r="AM33" s="22" t="str">
        <f t="shared" si="2"/>
        <v>OK</v>
      </c>
    </row>
    <row r="34" spans="1:39" customFormat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136">
        <f>630+660</f>
        <v>1290</v>
      </c>
      <c r="I34" s="27">
        <f t="shared" si="3"/>
        <v>2</v>
      </c>
      <c r="J34" s="27"/>
      <c r="K34" s="16"/>
      <c r="L34" s="27"/>
      <c r="M34" s="27"/>
      <c r="N34" s="27"/>
      <c r="O34" s="27"/>
      <c r="P34" s="27"/>
      <c r="Q34" s="27"/>
      <c r="R34" s="27"/>
      <c r="S34" s="27"/>
      <c r="T34" s="43"/>
      <c r="U34" s="52"/>
      <c r="V34" s="52"/>
      <c r="W34" s="52"/>
      <c r="X34" s="52"/>
      <c r="Y34" s="52">
        <v>2</v>
      </c>
      <c r="Z34" s="52"/>
      <c r="AA34" s="52"/>
      <c r="AB34" s="52"/>
      <c r="AC34" s="52"/>
      <c r="AD34" s="52"/>
      <c r="AE34" s="52"/>
      <c r="AF34" s="52"/>
      <c r="AG34" s="52"/>
      <c r="AH34" s="52"/>
      <c r="AI34" s="55"/>
      <c r="AJ34" s="58"/>
      <c r="AK34" s="55"/>
      <c r="AL34" s="66">
        <f t="shared" si="4"/>
        <v>2</v>
      </c>
      <c r="AM34" s="28" t="str">
        <f t="shared" si="2"/>
        <v>OK</v>
      </c>
    </row>
    <row r="35" spans="1:39" customFormat="1" hidden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135"/>
      <c r="I35" s="21">
        <f t="shared" si="3"/>
        <v>0</v>
      </c>
      <c r="J35" s="21"/>
      <c r="K35" s="16"/>
      <c r="L35" s="21"/>
      <c r="M35" s="21"/>
      <c r="N35" s="21"/>
      <c r="O35" s="21"/>
      <c r="P35" s="21"/>
      <c r="Q35" s="21"/>
      <c r="R35" s="21"/>
      <c r="S35" s="21"/>
      <c r="T35" s="42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4"/>
      <c r="AJ35" s="57"/>
      <c r="AK35" s="54"/>
      <c r="AL35" s="65">
        <f t="shared" si="4"/>
        <v>0</v>
      </c>
      <c r="AM35" s="22" t="str">
        <f t="shared" si="2"/>
        <v>OK</v>
      </c>
    </row>
    <row r="36" spans="1:39" customFormat="1" hidden="1">
      <c r="A36" s="68" t="s">
        <v>76</v>
      </c>
      <c r="B36" s="78">
        <v>10135</v>
      </c>
      <c r="C36" s="23" t="s">
        <v>56</v>
      </c>
      <c r="D36" s="24"/>
      <c r="E36" s="24"/>
      <c r="F36" s="24"/>
      <c r="G36" s="25"/>
      <c r="H36" s="136"/>
      <c r="I36" s="27">
        <f t="shared" si="3"/>
        <v>0</v>
      </c>
      <c r="J36" s="27"/>
      <c r="K36" s="16"/>
      <c r="L36" s="27"/>
      <c r="M36" s="27"/>
      <c r="N36" s="27"/>
      <c r="O36" s="27"/>
      <c r="P36" s="27"/>
      <c r="Q36" s="27"/>
      <c r="R36" s="27"/>
      <c r="S36" s="27"/>
      <c r="T36" s="43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5"/>
      <c r="AJ36" s="58"/>
      <c r="AK36" s="55"/>
      <c r="AL36" s="66">
        <f t="shared" si="4"/>
        <v>0</v>
      </c>
      <c r="AM36" s="28" t="str">
        <f t="shared" si="2"/>
        <v>OK</v>
      </c>
    </row>
    <row r="37" spans="1:39" customFormat="1">
      <c r="A37" s="80" t="s">
        <v>77</v>
      </c>
      <c r="B37" s="77">
        <v>10133</v>
      </c>
      <c r="C37" s="17" t="s">
        <v>55</v>
      </c>
      <c r="D37" s="69"/>
      <c r="E37" s="18"/>
      <c r="F37" s="18"/>
      <c r="G37" s="19"/>
      <c r="H37" s="135">
        <f>1210+925+1016</f>
        <v>3151</v>
      </c>
      <c r="I37" s="21">
        <f t="shared" si="3"/>
        <v>1</v>
      </c>
      <c r="J37" s="21"/>
      <c r="K37" s="16"/>
      <c r="L37" s="21"/>
      <c r="M37" s="21">
        <v>1</v>
      </c>
      <c r="N37" s="21"/>
      <c r="O37" s="21"/>
      <c r="P37" s="21"/>
      <c r="Q37" s="21"/>
      <c r="R37" s="21"/>
      <c r="S37" s="21"/>
      <c r="T37" s="42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4"/>
      <c r="AJ37" s="57"/>
      <c r="AK37" s="54"/>
      <c r="AL37" s="65">
        <f t="shared" si="4"/>
        <v>1</v>
      </c>
      <c r="AM37" s="22" t="str">
        <f t="shared" si="2"/>
        <v>OK</v>
      </c>
    </row>
    <row r="38" spans="1:39" customFormat="1" hidden="1">
      <c r="A38" s="68" t="s">
        <v>78</v>
      </c>
      <c r="B38" s="78">
        <v>10131</v>
      </c>
      <c r="C38" s="23" t="s">
        <v>56</v>
      </c>
      <c r="D38" s="24"/>
      <c r="E38" s="24"/>
      <c r="F38" s="24"/>
      <c r="G38" s="25"/>
      <c r="H38" s="136"/>
      <c r="I38" s="27">
        <f t="shared" si="3"/>
        <v>0</v>
      </c>
      <c r="J38" s="27"/>
      <c r="K38" s="16"/>
      <c r="L38" s="27"/>
      <c r="M38" s="27"/>
      <c r="N38" s="27"/>
      <c r="O38" s="27"/>
      <c r="P38" s="27"/>
      <c r="Q38" s="27"/>
      <c r="R38" s="27"/>
      <c r="S38" s="27"/>
      <c r="T38" s="43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5"/>
      <c r="AJ38" s="58"/>
      <c r="AK38" s="55"/>
      <c r="AL38" s="66">
        <f t="shared" ref="AL38:AL50" si="5">SUM(L38:AK38)</f>
        <v>0</v>
      </c>
      <c r="AM38" s="28" t="str">
        <f t="shared" si="2"/>
        <v>OK</v>
      </c>
    </row>
    <row r="39" spans="1:39" customFormat="1">
      <c r="A39" s="17" t="s">
        <v>79</v>
      </c>
      <c r="B39" s="77">
        <v>10129</v>
      </c>
      <c r="C39" s="17" t="s">
        <v>57</v>
      </c>
      <c r="D39" s="69"/>
      <c r="E39" s="18"/>
      <c r="F39" s="18"/>
      <c r="G39" s="19"/>
      <c r="H39" s="135">
        <f>250+576+1300</f>
        <v>2126</v>
      </c>
      <c r="I39" s="21">
        <f t="shared" si="3"/>
        <v>1</v>
      </c>
      <c r="J39" s="21"/>
      <c r="K39" s="16"/>
      <c r="L39" s="21"/>
      <c r="M39" s="21">
        <v>1</v>
      </c>
      <c r="N39" s="21"/>
      <c r="O39" s="21"/>
      <c r="P39" s="21"/>
      <c r="Q39" s="21"/>
      <c r="R39" s="21"/>
      <c r="S39" s="21"/>
      <c r="T39" s="42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4"/>
      <c r="AJ39" s="57"/>
      <c r="AK39" s="54"/>
      <c r="AL39" s="65">
        <f t="shared" si="5"/>
        <v>1</v>
      </c>
      <c r="AM39" s="22" t="str">
        <f t="shared" si="2"/>
        <v>OK</v>
      </c>
    </row>
    <row r="40" spans="1:39" customFormat="1">
      <c r="A40" s="68" t="s">
        <v>80</v>
      </c>
      <c r="B40" s="78">
        <v>10127</v>
      </c>
      <c r="C40" s="23" t="s">
        <v>58</v>
      </c>
      <c r="D40" s="24"/>
      <c r="E40" s="24"/>
      <c r="F40" s="24"/>
      <c r="G40" s="25"/>
      <c r="H40" s="136">
        <f>1030+1000+200</f>
        <v>2230</v>
      </c>
      <c r="I40" s="27">
        <f t="shared" si="3"/>
        <v>1</v>
      </c>
      <c r="J40" s="27"/>
      <c r="K40" s="16"/>
      <c r="L40" s="27">
        <v>1</v>
      </c>
      <c r="M40" s="27"/>
      <c r="N40" s="27"/>
      <c r="O40" s="27"/>
      <c r="P40" s="27"/>
      <c r="Q40" s="27"/>
      <c r="R40" s="27"/>
      <c r="S40" s="27"/>
      <c r="T40" s="43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5"/>
      <c r="AJ40" s="58"/>
      <c r="AK40" s="55"/>
      <c r="AL40" s="66">
        <f t="shared" si="5"/>
        <v>1</v>
      </c>
      <c r="AM40" s="28" t="str">
        <f t="shared" si="2"/>
        <v>OK</v>
      </c>
    </row>
    <row r="41" spans="1:39" customFormat="1" hidden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135"/>
      <c r="I41" s="21">
        <f t="shared" si="3"/>
        <v>0</v>
      </c>
      <c r="J41" s="21"/>
      <c r="K41" s="16"/>
      <c r="L41" s="21"/>
      <c r="M41" s="21"/>
      <c r="N41" s="21"/>
      <c r="O41" s="21"/>
      <c r="P41" s="21"/>
      <c r="Q41" s="21"/>
      <c r="R41" s="21"/>
      <c r="S41" s="21"/>
      <c r="T41" s="4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4"/>
      <c r="AJ41" s="57"/>
      <c r="AK41" s="54"/>
      <c r="AL41" s="65">
        <f t="shared" si="5"/>
        <v>0</v>
      </c>
      <c r="AM41" s="22" t="str">
        <f t="shared" si="2"/>
        <v>OK</v>
      </c>
    </row>
    <row r="42" spans="1:39" customFormat="1" hidden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136"/>
      <c r="I42" s="27">
        <f t="shared" si="3"/>
        <v>0</v>
      </c>
      <c r="J42" s="27"/>
      <c r="K42" s="16"/>
      <c r="L42" s="27"/>
      <c r="M42" s="27"/>
      <c r="N42" s="27"/>
      <c r="O42" s="27"/>
      <c r="P42" s="27"/>
      <c r="Q42" s="27"/>
      <c r="R42" s="27"/>
      <c r="S42" s="27"/>
      <c r="T42" s="43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5"/>
      <c r="AJ42" s="58"/>
      <c r="AK42" s="55"/>
      <c r="AL42" s="66">
        <f t="shared" si="5"/>
        <v>0</v>
      </c>
      <c r="AM42" s="28" t="str">
        <f t="shared" si="2"/>
        <v>OK</v>
      </c>
    </row>
    <row r="43" spans="1:39" customFormat="1" hidden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135"/>
      <c r="I43" s="21">
        <f t="shared" si="3"/>
        <v>0</v>
      </c>
      <c r="J43" s="21"/>
      <c r="K43" s="16"/>
      <c r="L43" s="21"/>
      <c r="M43" s="21"/>
      <c r="N43" s="21"/>
      <c r="O43" s="21"/>
      <c r="P43" s="21"/>
      <c r="Q43" s="21"/>
      <c r="R43" s="21"/>
      <c r="S43" s="21"/>
      <c r="T43" s="42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4"/>
      <c r="AJ43" s="57"/>
      <c r="AK43" s="54"/>
      <c r="AL43" s="65">
        <f t="shared" si="5"/>
        <v>0</v>
      </c>
      <c r="AM43" s="22" t="str">
        <f t="shared" si="2"/>
        <v>OK</v>
      </c>
    </row>
    <row r="44" spans="1:39" customFormat="1" hidden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136"/>
      <c r="I44" s="27">
        <f t="shared" si="3"/>
        <v>0</v>
      </c>
      <c r="J44" s="27"/>
      <c r="K44" s="16"/>
      <c r="L44" s="27"/>
      <c r="M44" s="27"/>
      <c r="N44" s="27"/>
      <c r="O44" s="27"/>
      <c r="P44" s="27"/>
      <c r="Q44" s="27"/>
      <c r="R44" s="27"/>
      <c r="S44" s="27"/>
      <c r="T44" s="43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5"/>
      <c r="AJ44" s="58"/>
      <c r="AK44" s="55"/>
      <c r="AL44" s="66">
        <f t="shared" si="5"/>
        <v>0</v>
      </c>
      <c r="AM44" s="28" t="str">
        <f t="shared" si="2"/>
        <v>OK</v>
      </c>
    </row>
    <row r="45" spans="1:39" customFormat="1" hidden="1">
      <c r="A45" s="17" t="s">
        <v>107</v>
      </c>
      <c r="B45" s="77">
        <v>13467</v>
      </c>
      <c r="C45" s="17" t="s">
        <v>87</v>
      </c>
      <c r="D45" s="69"/>
      <c r="E45" s="18"/>
      <c r="F45" s="18"/>
      <c r="G45" s="19"/>
      <c r="H45" s="135"/>
      <c r="I45" s="21">
        <f t="shared" si="3"/>
        <v>0</v>
      </c>
      <c r="J45" s="21"/>
      <c r="K45" s="16"/>
      <c r="L45" s="21"/>
      <c r="M45" s="21"/>
      <c r="N45" s="21"/>
      <c r="O45" s="21"/>
      <c r="P45" s="21"/>
      <c r="Q45" s="21"/>
      <c r="R45" s="21"/>
      <c r="S45" s="21"/>
      <c r="T45" s="4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4"/>
      <c r="AJ45" s="57"/>
      <c r="AK45" s="54"/>
      <c r="AL45" s="65">
        <f t="shared" si="5"/>
        <v>0</v>
      </c>
      <c r="AM45" s="22" t="str">
        <f t="shared" si="2"/>
        <v>OK</v>
      </c>
    </row>
    <row r="46" spans="1:39" customFormat="1" hidden="1">
      <c r="A46" s="68" t="s">
        <v>111</v>
      </c>
      <c r="B46" s="78">
        <v>15948</v>
      </c>
      <c r="C46" s="23" t="s">
        <v>87</v>
      </c>
      <c r="D46" s="24"/>
      <c r="E46" s="24"/>
      <c r="F46" s="24"/>
      <c r="G46" s="25"/>
      <c r="H46" s="136"/>
      <c r="I46" s="27">
        <f t="shared" si="3"/>
        <v>0</v>
      </c>
      <c r="J46" s="27"/>
      <c r="K46" s="16"/>
      <c r="L46" s="27"/>
      <c r="M46" s="27"/>
      <c r="N46" s="27"/>
      <c r="O46" s="27"/>
      <c r="P46" s="27"/>
      <c r="Q46" s="27"/>
      <c r="R46" s="27"/>
      <c r="S46" s="27"/>
      <c r="T46" s="43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5"/>
      <c r="AJ46" s="58"/>
      <c r="AK46" s="55"/>
      <c r="AL46" s="66">
        <f t="shared" si="5"/>
        <v>0</v>
      </c>
      <c r="AM46" s="28" t="str">
        <f t="shared" si="2"/>
        <v>OK</v>
      </c>
    </row>
    <row r="47" spans="1:39" customFormat="1" hidden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135"/>
      <c r="I47" s="21">
        <f t="shared" si="3"/>
        <v>0</v>
      </c>
      <c r="J47" s="21"/>
      <c r="K47" s="16"/>
      <c r="L47" s="21"/>
      <c r="M47" s="21"/>
      <c r="N47" s="21"/>
      <c r="O47" s="21"/>
      <c r="P47" s="21"/>
      <c r="Q47" s="21"/>
      <c r="R47" s="21"/>
      <c r="S47" s="21"/>
      <c r="T47" s="42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4"/>
      <c r="AJ47" s="57"/>
      <c r="AK47" s="54"/>
      <c r="AL47" s="65">
        <f t="shared" si="5"/>
        <v>0</v>
      </c>
      <c r="AM47" s="22" t="str">
        <f t="shared" si="2"/>
        <v>OK</v>
      </c>
    </row>
    <row r="48" spans="1:39" customFormat="1" hidden="1">
      <c r="A48" s="68" t="s">
        <v>121</v>
      </c>
      <c r="B48" s="78">
        <v>16598</v>
      </c>
      <c r="C48" s="23" t="s">
        <v>87</v>
      </c>
      <c r="D48" s="24"/>
      <c r="E48" s="24"/>
      <c r="F48" s="24"/>
      <c r="G48" s="25"/>
      <c r="H48" s="136"/>
      <c r="I48" s="27">
        <f t="shared" si="3"/>
        <v>0</v>
      </c>
      <c r="J48" s="27"/>
      <c r="K48" s="16"/>
      <c r="L48" s="27"/>
      <c r="M48" s="27"/>
      <c r="N48" s="27"/>
      <c r="O48" s="27"/>
      <c r="P48" s="27"/>
      <c r="Q48" s="27"/>
      <c r="R48" s="27"/>
      <c r="S48" s="27"/>
      <c r="T48" s="43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5"/>
      <c r="AJ48" s="58"/>
      <c r="AK48" s="55"/>
      <c r="AL48" s="66">
        <f t="shared" si="5"/>
        <v>0</v>
      </c>
      <c r="AM48" s="28" t="str">
        <f t="shared" si="2"/>
        <v>OK</v>
      </c>
    </row>
    <row r="49" spans="1:39" customFormat="1" hidden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135"/>
      <c r="I49" s="21">
        <f t="shared" si="3"/>
        <v>0</v>
      </c>
      <c r="J49" s="21"/>
      <c r="K49" s="16"/>
      <c r="L49" s="21"/>
      <c r="M49" s="21"/>
      <c r="N49" s="21"/>
      <c r="O49" s="21"/>
      <c r="P49" s="21"/>
      <c r="Q49" s="21"/>
      <c r="R49" s="21"/>
      <c r="S49" s="21"/>
      <c r="T49" s="4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4"/>
      <c r="AJ49" s="57"/>
      <c r="AK49" s="54"/>
      <c r="AL49" s="65">
        <f t="shared" si="5"/>
        <v>0</v>
      </c>
      <c r="AM49" s="22" t="str">
        <f t="shared" si="2"/>
        <v>OK</v>
      </c>
    </row>
    <row r="50" spans="1:39" customFormat="1" hidden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136"/>
      <c r="I50" s="27">
        <f t="shared" si="3"/>
        <v>0</v>
      </c>
      <c r="J50" s="27"/>
      <c r="K50" s="16"/>
      <c r="L50" s="27"/>
      <c r="M50" s="27"/>
      <c r="N50" s="27"/>
      <c r="O50" s="27"/>
      <c r="P50" s="27"/>
      <c r="Q50" s="27"/>
      <c r="R50" s="27"/>
      <c r="S50" s="27"/>
      <c r="T50" s="43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8"/>
      <c r="AK50" s="55"/>
      <c r="AL50" s="66">
        <f t="shared" si="5"/>
        <v>0</v>
      </c>
      <c r="AM50" s="28" t="str">
        <f t="shared" si="2"/>
        <v>OK</v>
      </c>
    </row>
    <row r="51" spans="1:39" customFormat="1" hidden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135"/>
      <c r="I51" s="21">
        <f t="shared" si="3"/>
        <v>0</v>
      </c>
      <c r="J51" s="21"/>
      <c r="K51" s="16"/>
      <c r="L51" s="21"/>
      <c r="M51" s="21"/>
      <c r="N51" s="21"/>
      <c r="O51" s="21"/>
      <c r="P51" s="21"/>
      <c r="Q51" s="21"/>
      <c r="R51" s="21"/>
      <c r="S51" s="21"/>
      <c r="T51" s="4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4"/>
      <c r="AJ51" s="57"/>
      <c r="AK51" s="54"/>
      <c r="AL51" s="65">
        <f>SUM(L51:AK51)</f>
        <v>0</v>
      </c>
      <c r="AM51" s="22" t="str">
        <f t="shared" si="2"/>
        <v>OK</v>
      </c>
    </row>
    <row r="52" spans="1:39" customFormat="1" hidden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136"/>
      <c r="I52" s="27">
        <f t="shared" si="3"/>
        <v>0</v>
      </c>
      <c r="J52" s="27"/>
      <c r="K52" s="16"/>
      <c r="L52" s="27"/>
      <c r="M52" s="27"/>
      <c r="N52" s="27"/>
      <c r="O52" s="27"/>
      <c r="P52" s="27"/>
      <c r="Q52" s="27"/>
      <c r="R52" s="27"/>
      <c r="S52" s="27"/>
      <c r="T52" s="43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5"/>
      <c r="AJ52" s="58"/>
      <c r="AK52" s="55"/>
      <c r="AL52" s="66">
        <f t="shared" ref="AL52:AL64" si="6">SUM(L52:AK52)</f>
        <v>0</v>
      </c>
      <c r="AM52" s="28" t="str">
        <f t="shared" si="2"/>
        <v>OK</v>
      </c>
    </row>
    <row r="53" spans="1:39" customFormat="1" hidden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135"/>
      <c r="I53" s="21">
        <f t="shared" si="3"/>
        <v>0</v>
      </c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42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4"/>
      <c r="AJ53" s="57"/>
      <c r="AK53" s="54"/>
      <c r="AL53" s="65">
        <f t="shared" si="6"/>
        <v>0</v>
      </c>
      <c r="AM53" s="22" t="str">
        <f t="shared" si="2"/>
        <v>OK</v>
      </c>
    </row>
    <row r="54" spans="1:39" customFormat="1" hidden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136"/>
      <c r="I54" s="27">
        <f t="shared" si="3"/>
        <v>0</v>
      </c>
      <c r="J54" s="27"/>
      <c r="K54" s="16"/>
      <c r="L54" s="27"/>
      <c r="M54" s="27"/>
      <c r="N54" s="27"/>
      <c r="O54" s="27"/>
      <c r="P54" s="27"/>
      <c r="Q54" s="27"/>
      <c r="R54" s="27"/>
      <c r="S54" s="27"/>
      <c r="T54" s="43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5"/>
      <c r="AJ54" s="58"/>
      <c r="AK54" s="55"/>
      <c r="AL54" s="66">
        <f t="shared" si="6"/>
        <v>0</v>
      </c>
      <c r="AM54" s="28" t="str">
        <f t="shared" si="2"/>
        <v>OK</v>
      </c>
    </row>
    <row r="55" spans="1:39" customFormat="1" hidden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135"/>
      <c r="I55" s="21">
        <f t="shared" si="3"/>
        <v>0</v>
      </c>
      <c r="J55" s="21"/>
      <c r="K55" s="16"/>
      <c r="L55" s="21"/>
      <c r="M55" s="21"/>
      <c r="N55" s="21"/>
      <c r="O55" s="21"/>
      <c r="P55" s="21"/>
      <c r="Q55" s="21"/>
      <c r="R55" s="21"/>
      <c r="S55" s="21"/>
      <c r="T55" s="42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4"/>
      <c r="AJ55" s="57"/>
      <c r="AK55" s="54"/>
      <c r="AL55" s="65">
        <f t="shared" si="6"/>
        <v>0</v>
      </c>
      <c r="AM55" s="22" t="str">
        <f t="shared" si="2"/>
        <v>OK</v>
      </c>
    </row>
    <row r="56" spans="1:39" customFormat="1" hidden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136"/>
      <c r="I56" s="27">
        <f t="shared" si="3"/>
        <v>0</v>
      </c>
      <c r="J56" s="27"/>
      <c r="K56" s="16"/>
      <c r="L56" s="27"/>
      <c r="M56" s="27"/>
      <c r="N56" s="27"/>
      <c r="O56" s="27"/>
      <c r="P56" s="27"/>
      <c r="Q56" s="27"/>
      <c r="R56" s="27"/>
      <c r="S56" s="27"/>
      <c r="T56" s="43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5"/>
      <c r="AJ56" s="58"/>
      <c r="AK56" s="55"/>
      <c r="AL56" s="66">
        <f t="shared" si="6"/>
        <v>0</v>
      </c>
      <c r="AM56" s="28" t="str">
        <f t="shared" si="2"/>
        <v>OK</v>
      </c>
    </row>
    <row r="57" spans="1:39" customFormat="1" hidden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135"/>
      <c r="I57" s="21">
        <f t="shared" si="3"/>
        <v>0</v>
      </c>
      <c r="J57" s="21"/>
      <c r="K57" s="16"/>
      <c r="L57" s="21"/>
      <c r="M57" s="21"/>
      <c r="N57" s="21"/>
      <c r="O57" s="21"/>
      <c r="P57" s="21"/>
      <c r="Q57" s="21"/>
      <c r="R57" s="21"/>
      <c r="S57" s="21"/>
      <c r="T57" s="42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4"/>
      <c r="AJ57" s="57"/>
      <c r="AK57" s="54"/>
      <c r="AL57" s="65">
        <f t="shared" si="6"/>
        <v>0</v>
      </c>
      <c r="AM57" s="22" t="str">
        <f t="shared" si="2"/>
        <v>OK</v>
      </c>
    </row>
    <row r="58" spans="1:39" customFormat="1" hidden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136"/>
      <c r="I58" s="27">
        <f t="shared" si="3"/>
        <v>0</v>
      </c>
      <c r="J58" s="27"/>
      <c r="K58" s="16"/>
      <c r="L58" s="27"/>
      <c r="M58" s="27"/>
      <c r="N58" s="27"/>
      <c r="O58" s="27"/>
      <c r="P58" s="27"/>
      <c r="Q58" s="27"/>
      <c r="R58" s="27"/>
      <c r="S58" s="27"/>
      <c r="T58" s="43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5"/>
      <c r="AJ58" s="58"/>
      <c r="AK58" s="55"/>
      <c r="AL58" s="66">
        <f t="shared" si="6"/>
        <v>0</v>
      </c>
      <c r="AM58" s="28" t="str">
        <f t="shared" si="2"/>
        <v>OK</v>
      </c>
    </row>
    <row r="59" spans="1:39" customFormat="1" hidden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135"/>
      <c r="I59" s="21">
        <f t="shared" si="3"/>
        <v>0</v>
      </c>
      <c r="J59" s="21"/>
      <c r="K59" s="16"/>
      <c r="L59" s="21"/>
      <c r="M59" s="21"/>
      <c r="N59" s="21"/>
      <c r="O59" s="21"/>
      <c r="P59" s="21"/>
      <c r="Q59" s="21"/>
      <c r="R59" s="21"/>
      <c r="S59" s="21"/>
      <c r="T59" s="4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4"/>
      <c r="AJ59" s="57"/>
      <c r="AK59" s="54"/>
      <c r="AL59" s="65">
        <f t="shared" si="6"/>
        <v>0</v>
      </c>
      <c r="AM59" s="22" t="str">
        <f t="shared" si="2"/>
        <v>OK</v>
      </c>
    </row>
    <row r="60" spans="1:39" customFormat="1" hidden="1">
      <c r="A60" s="68" t="s">
        <v>84</v>
      </c>
      <c r="B60" s="78">
        <v>11380</v>
      </c>
      <c r="C60" s="23" t="s">
        <v>60</v>
      </c>
      <c r="D60" s="24"/>
      <c r="E60" s="24"/>
      <c r="F60" s="24"/>
      <c r="G60" s="25"/>
      <c r="H60" s="136"/>
      <c r="I60" s="27">
        <f t="shared" si="3"/>
        <v>0</v>
      </c>
      <c r="J60" s="27"/>
      <c r="K60" s="16"/>
      <c r="L60" s="27"/>
      <c r="M60" s="27"/>
      <c r="N60" s="27"/>
      <c r="O60" s="27"/>
      <c r="P60" s="27"/>
      <c r="Q60" s="27"/>
      <c r="R60" s="27"/>
      <c r="S60" s="27"/>
      <c r="T60" s="43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5"/>
      <c r="AJ60" s="58"/>
      <c r="AK60" s="55"/>
      <c r="AL60" s="66">
        <f t="shared" si="6"/>
        <v>0</v>
      </c>
      <c r="AM60" s="28" t="str">
        <f t="shared" si="2"/>
        <v>OK</v>
      </c>
    </row>
    <row r="61" spans="1:39" customFormat="1">
      <c r="A61" s="80" t="s">
        <v>112</v>
      </c>
      <c r="B61" s="77">
        <v>18518</v>
      </c>
      <c r="C61" s="17" t="s">
        <v>87</v>
      </c>
      <c r="D61" s="69"/>
      <c r="E61" s="18"/>
      <c r="F61" s="18"/>
      <c r="G61" s="19"/>
      <c r="H61" s="135">
        <f>1008+390</f>
        <v>1398</v>
      </c>
      <c r="I61" s="21">
        <f t="shared" si="3"/>
        <v>0</v>
      </c>
      <c r="J61" s="21"/>
      <c r="K61" s="16"/>
      <c r="L61" s="21"/>
      <c r="M61" s="21"/>
      <c r="N61" s="21"/>
      <c r="O61" s="21"/>
      <c r="P61" s="21"/>
      <c r="Q61" s="21"/>
      <c r="R61" s="21"/>
      <c r="S61" s="21"/>
      <c r="T61" s="4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4"/>
      <c r="AJ61" s="57"/>
      <c r="AK61" s="54"/>
      <c r="AL61" s="65">
        <f t="shared" si="6"/>
        <v>0</v>
      </c>
      <c r="AM61" s="22" t="str">
        <f t="shared" si="2"/>
        <v>OK</v>
      </c>
    </row>
    <row r="62" spans="1:39" customFormat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136">
        <v>1006</v>
      </c>
      <c r="I62" s="27">
        <f t="shared" si="3"/>
        <v>0</v>
      </c>
      <c r="J62" s="27"/>
      <c r="K62" s="16"/>
      <c r="L62" s="27"/>
      <c r="M62" s="27"/>
      <c r="N62" s="27"/>
      <c r="O62" s="27"/>
      <c r="P62" s="27"/>
      <c r="Q62" s="27"/>
      <c r="R62" s="27"/>
      <c r="S62" s="27"/>
      <c r="T62" s="43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5"/>
      <c r="AJ62" s="58"/>
      <c r="AK62" s="55"/>
      <c r="AL62" s="66">
        <f t="shared" si="6"/>
        <v>0</v>
      </c>
      <c r="AM62" s="28" t="str">
        <f t="shared" si="2"/>
        <v>OK</v>
      </c>
    </row>
    <row r="63" spans="1:39" customFormat="1" hidden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135"/>
      <c r="I63" s="21">
        <f t="shared" si="3"/>
        <v>0</v>
      </c>
      <c r="J63" s="21"/>
      <c r="K63" s="16"/>
      <c r="L63" s="21"/>
      <c r="M63" s="21"/>
      <c r="N63" s="21"/>
      <c r="O63" s="21"/>
      <c r="P63" s="21"/>
      <c r="Q63" s="21"/>
      <c r="R63" s="21"/>
      <c r="S63" s="21"/>
      <c r="T63" s="4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4"/>
      <c r="AJ63" s="57"/>
      <c r="AK63" s="54"/>
      <c r="AL63" s="65">
        <f t="shared" si="6"/>
        <v>0</v>
      </c>
      <c r="AM63" s="22" t="str">
        <f t="shared" si="2"/>
        <v>OK</v>
      </c>
    </row>
    <row r="64" spans="1:39" customFormat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136">
        <v>123</v>
      </c>
      <c r="I64" s="27">
        <f t="shared" si="3"/>
        <v>0</v>
      </c>
      <c r="J64" s="27"/>
      <c r="K64" s="16"/>
      <c r="L64" s="27"/>
      <c r="M64" s="27"/>
      <c r="N64" s="27"/>
      <c r="O64" s="27"/>
      <c r="P64" s="27"/>
      <c r="Q64" s="27"/>
      <c r="R64" s="27"/>
      <c r="S64" s="27"/>
      <c r="T64" s="43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5"/>
      <c r="AJ64" s="58"/>
      <c r="AK64" s="55"/>
      <c r="AL64" s="66">
        <f t="shared" si="6"/>
        <v>0</v>
      </c>
      <c r="AM64" s="28" t="str">
        <f t="shared" si="2"/>
        <v>OK</v>
      </c>
    </row>
    <row r="65" spans="1:39" customFormat="1" hidden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135"/>
      <c r="I65" s="21">
        <f t="shared" si="3"/>
        <v>0</v>
      </c>
      <c r="J65" s="21"/>
      <c r="K65" s="16"/>
      <c r="L65" s="21"/>
      <c r="M65" s="21"/>
      <c r="N65" s="21"/>
      <c r="O65" s="21"/>
      <c r="P65" s="21"/>
      <c r="Q65" s="21"/>
      <c r="R65" s="21"/>
      <c r="S65" s="21"/>
      <c r="T65" s="4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4"/>
      <c r="AJ65" s="57"/>
      <c r="AK65" s="54"/>
      <c r="AL65" s="65">
        <f t="shared" si="4"/>
        <v>0</v>
      </c>
      <c r="AM65" s="22" t="str">
        <f t="shared" si="2"/>
        <v>OK</v>
      </c>
    </row>
    <row r="66" spans="1:39" customFormat="1" hidden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136"/>
      <c r="I66" s="27">
        <f t="shared" si="3"/>
        <v>0</v>
      </c>
      <c r="J66" s="27"/>
      <c r="K66" s="16"/>
      <c r="L66" s="27"/>
      <c r="M66" s="27"/>
      <c r="N66" s="27"/>
      <c r="O66" s="27"/>
      <c r="P66" s="27"/>
      <c r="Q66" s="27"/>
      <c r="R66" s="27"/>
      <c r="S66" s="27"/>
      <c r="T66" s="43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5"/>
      <c r="AJ66" s="58"/>
      <c r="AK66" s="55"/>
      <c r="AL66" s="66">
        <f t="shared" si="4"/>
        <v>0</v>
      </c>
      <c r="AM66" s="28" t="str">
        <f t="shared" si="2"/>
        <v>OK</v>
      </c>
    </row>
    <row r="67" spans="1:39" customFormat="1" hidden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135"/>
      <c r="I67" s="21">
        <f t="shared" si="3"/>
        <v>0</v>
      </c>
      <c r="J67" s="21"/>
      <c r="K67" s="16"/>
      <c r="L67" s="21"/>
      <c r="M67" s="21"/>
      <c r="N67" s="21"/>
      <c r="O67" s="21"/>
      <c r="P67" s="21"/>
      <c r="Q67" s="21"/>
      <c r="R67" s="21"/>
      <c r="S67" s="21"/>
      <c r="T67" s="4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4"/>
      <c r="AJ67" s="57"/>
      <c r="AK67" s="54"/>
      <c r="AL67" s="65">
        <f t="shared" si="4"/>
        <v>0</v>
      </c>
      <c r="AM67" s="22" t="str">
        <f t="shared" si="2"/>
        <v>OK</v>
      </c>
    </row>
    <row r="68" spans="1:39" customFormat="1" hidden="1">
      <c r="A68" s="81" t="s">
        <v>132</v>
      </c>
      <c r="B68" s="78">
        <v>20269</v>
      </c>
      <c r="C68" s="23" t="s">
        <v>131</v>
      </c>
      <c r="D68" s="24"/>
      <c r="E68" s="24"/>
      <c r="F68" s="24"/>
      <c r="G68" s="25"/>
      <c r="H68" s="136"/>
      <c r="I68" s="27">
        <f t="shared" si="3"/>
        <v>0</v>
      </c>
      <c r="J68" s="27"/>
      <c r="K68" s="16"/>
      <c r="L68" s="27"/>
      <c r="M68" s="27"/>
      <c r="N68" s="27"/>
      <c r="O68" s="27"/>
      <c r="P68" s="27"/>
      <c r="Q68" s="27"/>
      <c r="R68" s="27"/>
      <c r="S68" s="27"/>
      <c r="T68" s="43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5"/>
      <c r="AJ68" s="58"/>
      <c r="AK68" s="55"/>
      <c r="AL68" s="66">
        <f t="shared" si="4"/>
        <v>0</v>
      </c>
      <c r="AM68" s="28" t="str">
        <f t="shared" si="2"/>
        <v>OK</v>
      </c>
    </row>
    <row r="69" spans="1:39" customFormat="1" hidden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135"/>
      <c r="I69" s="21">
        <f t="shared" si="3"/>
        <v>0</v>
      </c>
      <c r="J69" s="21"/>
      <c r="K69" s="16"/>
      <c r="L69" s="21"/>
      <c r="M69" s="21"/>
      <c r="N69" s="21"/>
      <c r="O69" s="21"/>
      <c r="P69" s="21"/>
      <c r="Q69" s="21"/>
      <c r="R69" s="21"/>
      <c r="S69" s="21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7"/>
      <c r="AK69" s="54"/>
      <c r="AL69" s="65">
        <f t="shared" si="4"/>
        <v>0</v>
      </c>
      <c r="AM69" s="22" t="str">
        <f t="shared" si="2"/>
        <v>OK</v>
      </c>
    </row>
    <row r="70" spans="1:39" customFormat="1" hidden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136"/>
      <c r="I70" s="27">
        <f t="shared" si="3"/>
        <v>0</v>
      </c>
      <c r="J70" s="27"/>
      <c r="K70" s="16"/>
      <c r="L70" s="27"/>
      <c r="M70" s="27"/>
      <c r="N70" s="27"/>
      <c r="O70" s="27"/>
      <c r="P70" s="27"/>
      <c r="Q70" s="27"/>
      <c r="R70" s="27"/>
      <c r="S70" s="27"/>
      <c r="T70" s="43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5"/>
      <c r="AJ70" s="58"/>
      <c r="AK70" s="55"/>
      <c r="AL70" s="66">
        <f t="shared" si="4"/>
        <v>0</v>
      </c>
      <c r="AM70" s="28" t="str">
        <f t="shared" si="2"/>
        <v>OK</v>
      </c>
    </row>
    <row r="71" spans="1:39" customFormat="1" hidden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135"/>
      <c r="I71" s="21">
        <f t="shared" ref="I71:I96" si="7">SUM(L71:AK71)</f>
        <v>0</v>
      </c>
      <c r="J71" s="21"/>
      <c r="K71" s="16"/>
      <c r="L71" s="21"/>
      <c r="M71" s="21"/>
      <c r="N71" s="21"/>
      <c r="O71" s="21"/>
      <c r="P71" s="21"/>
      <c r="Q71" s="21"/>
      <c r="R71" s="21"/>
      <c r="S71" s="21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4"/>
      <c r="AJ71" s="57"/>
      <c r="AK71" s="54"/>
      <c r="AL71" s="65">
        <f t="shared" si="4"/>
        <v>0</v>
      </c>
      <c r="AM71" s="22" t="str">
        <f t="shared" si="2"/>
        <v>OK</v>
      </c>
    </row>
    <row r="72" spans="1:39" customFormat="1" hidden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136"/>
      <c r="I72" s="27">
        <f t="shared" si="7"/>
        <v>0</v>
      </c>
      <c r="J72" s="27"/>
      <c r="K72" s="16"/>
      <c r="L72" s="27"/>
      <c r="M72" s="27"/>
      <c r="N72" s="27"/>
      <c r="O72" s="27"/>
      <c r="P72" s="27"/>
      <c r="Q72" s="27"/>
      <c r="R72" s="27"/>
      <c r="S72" s="27"/>
      <c r="T72" s="43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5"/>
      <c r="AJ72" s="58"/>
      <c r="AK72" s="55"/>
      <c r="AL72" s="66">
        <f t="shared" si="4"/>
        <v>0</v>
      </c>
      <c r="AM72" s="28" t="str">
        <f t="shared" si="2"/>
        <v>OK</v>
      </c>
    </row>
    <row r="73" spans="1:39" customFormat="1" hidden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138"/>
      <c r="I73" s="101">
        <f t="shared" si="7"/>
        <v>0</v>
      </c>
      <c r="J73" s="21"/>
      <c r="K73" s="16"/>
      <c r="L73" s="21"/>
      <c r="M73" s="21"/>
      <c r="N73" s="21"/>
      <c r="O73" s="21"/>
      <c r="P73" s="21"/>
      <c r="Q73" s="21"/>
      <c r="R73" s="21"/>
      <c r="S73" s="21"/>
      <c r="T73" s="42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4"/>
      <c r="AJ73" s="57"/>
      <c r="AK73" s="54"/>
      <c r="AL73" s="65">
        <f t="shared" si="4"/>
        <v>0</v>
      </c>
      <c r="AM73" s="22" t="str">
        <f t="shared" si="2"/>
        <v>OK</v>
      </c>
    </row>
    <row r="74" spans="1:39" customFormat="1" hidden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139"/>
      <c r="I74" s="103">
        <f t="shared" si="7"/>
        <v>0</v>
      </c>
      <c r="J74" s="27"/>
      <c r="K74" s="16"/>
      <c r="L74" s="100"/>
      <c r="M74" s="100"/>
      <c r="N74" s="100"/>
      <c r="O74" s="100"/>
      <c r="P74" s="100"/>
      <c r="Q74" s="100"/>
      <c r="R74" s="100"/>
      <c r="S74" s="100"/>
      <c r="T74" s="109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1"/>
      <c r="AJ74" s="112"/>
      <c r="AK74" s="111"/>
      <c r="AL74" s="66">
        <f t="shared" si="4"/>
        <v>0</v>
      </c>
      <c r="AM74" s="28" t="str">
        <f t="shared" si="2"/>
        <v>OK</v>
      </c>
    </row>
    <row r="75" spans="1:39" hidden="1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40"/>
      <c r="I75" s="105">
        <f t="shared" si="7"/>
        <v>0</v>
      </c>
      <c r="J75" s="90"/>
      <c r="K75" s="91"/>
      <c r="L75" s="113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5"/>
      <c r="AL75" s="92">
        <f t="shared" ref="AL75:AL80" si="8">SUM(L75:AK75)</f>
        <v>0</v>
      </c>
      <c r="AM75" s="122" t="str">
        <f t="shared" ref="AM75:AM96" si="9">IF(AL75=I75,"OK","NG")</f>
        <v>OK</v>
      </c>
    </row>
    <row r="76" spans="1:39" ht="17.25" thickBot="1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139">
        <f>300+1680+1560</f>
        <v>3540</v>
      </c>
      <c r="I76" s="106">
        <f t="shared" si="7"/>
        <v>1</v>
      </c>
      <c r="J76" s="85"/>
      <c r="K76" s="16"/>
      <c r="L76" s="1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>
        <v>1</v>
      </c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8"/>
      <c r="AL76" s="66">
        <f t="shared" si="8"/>
        <v>1</v>
      </c>
      <c r="AM76" s="28" t="str">
        <f t="shared" si="9"/>
        <v>OK</v>
      </c>
    </row>
    <row r="77" spans="1:39" ht="17.25" hidden="1" thickBot="1">
      <c r="A77" s="87" t="s">
        <v>165</v>
      </c>
      <c r="B77" s="93">
        <v>13007</v>
      </c>
      <c r="C77" s="94" t="s">
        <v>164</v>
      </c>
      <c r="D77" s="88"/>
      <c r="E77" s="88"/>
      <c r="F77" s="88"/>
      <c r="G77" s="89"/>
      <c r="H77" s="104"/>
      <c r="I77" s="105">
        <f t="shared" si="7"/>
        <v>0</v>
      </c>
      <c r="J77" s="90"/>
      <c r="K77" s="91"/>
      <c r="L77" s="113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5"/>
      <c r="AL77" s="92">
        <f t="shared" si="8"/>
        <v>0</v>
      </c>
      <c r="AM77" s="122" t="str">
        <f t="shared" si="9"/>
        <v>OK</v>
      </c>
    </row>
    <row r="78" spans="1:39" ht="17.25" hidden="1" thickBot="1">
      <c r="A78" s="68"/>
      <c r="B78" s="78"/>
      <c r="C78" s="95"/>
      <c r="D78" s="83"/>
      <c r="E78" s="83"/>
      <c r="F78" s="83"/>
      <c r="G78" s="84"/>
      <c r="H78" s="102"/>
      <c r="I78" s="106">
        <f t="shared" si="7"/>
        <v>0</v>
      </c>
      <c r="J78" s="85"/>
      <c r="K78" s="16"/>
      <c r="L78" s="1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66">
        <f t="shared" si="8"/>
        <v>0</v>
      </c>
      <c r="AM78" s="28" t="str">
        <f t="shared" si="9"/>
        <v>OK</v>
      </c>
    </row>
    <row r="79" spans="1:39" ht="17.25" hidden="1" thickBot="1">
      <c r="A79" s="87"/>
      <c r="B79" s="93"/>
      <c r="C79" s="94"/>
      <c r="D79" s="88"/>
      <c r="E79" s="88"/>
      <c r="F79" s="88"/>
      <c r="G79" s="89"/>
      <c r="H79" s="104"/>
      <c r="I79" s="105">
        <f t="shared" si="7"/>
        <v>0</v>
      </c>
      <c r="J79" s="90"/>
      <c r="K79" s="91"/>
      <c r="L79" s="113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5"/>
      <c r="AL79" s="92">
        <f t="shared" si="8"/>
        <v>0</v>
      </c>
      <c r="AM79" s="122" t="str">
        <f t="shared" si="9"/>
        <v>OK</v>
      </c>
    </row>
    <row r="80" spans="1:39" ht="17.25" hidden="1" thickBot="1">
      <c r="A80" s="68"/>
      <c r="B80" s="78"/>
      <c r="C80" s="95"/>
      <c r="D80" s="83"/>
      <c r="E80" s="83"/>
      <c r="F80" s="83"/>
      <c r="G80" s="84"/>
      <c r="H80" s="102"/>
      <c r="I80" s="106">
        <f t="shared" si="7"/>
        <v>0</v>
      </c>
      <c r="J80" s="85"/>
      <c r="K80" s="16"/>
      <c r="L80" s="116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66">
        <f t="shared" si="8"/>
        <v>0</v>
      </c>
      <c r="AM80" s="28" t="str">
        <f t="shared" si="9"/>
        <v>OK</v>
      </c>
    </row>
    <row r="81" spans="1:39" ht="17.25" hidden="1" thickBot="1">
      <c r="A81" s="87"/>
      <c r="B81" s="93"/>
      <c r="C81" s="94"/>
      <c r="D81" s="88"/>
      <c r="E81" s="88"/>
      <c r="F81" s="88"/>
      <c r="G81" s="89"/>
      <c r="H81" s="104"/>
      <c r="I81" s="105">
        <f t="shared" si="7"/>
        <v>0</v>
      </c>
      <c r="J81" s="90"/>
      <c r="K81" s="91"/>
      <c r="L81" s="113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5"/>
      <c r="AL81" s="92">
        <f t="shared" ref="AL81:AL96" si="10">SUM(L81:AK81)</f>
        <v>0</v>
      </c>
      <c r="AM81" s="122" t="str">
        <f t="shared" si="9"/>
        <v>OK</v>
      </c>
    </row>
    <row r="82" spans="1:39" ht="17.25" hidden="1" thickBot="1">
      <c r="A82" s="68"/>
      <c r="B82" s="78"/>
      <c r="C82" s="95"/>
      <c r="D82" s="83"/>
      <c r="E82" s="83"/>
      <c r="F82" s="83"/>
      <c r="G82" s="84"/>
      <c r="H82" s="102"/>
      <c r="I82" s="106">
        <f t="shared" si="7"/>
        <v>0</v>
      </c>
      <c r="J82" s="85"/>
      <c r="K82" s="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66">
        <f t="shared" si="10"/>
        <v>0</v>
      </c>
      <c r="AM82" s="28" t="str">
        <f t="shared" si="9"/>
        <v>OK</v>
      </c>
    </row>
    <row r="83" spans="1:39" ht="17.25" hidden="1" thickBot="1">
      <c r="A83" s="96"/>
      <c r="B83" s="93"/>
      <c r="C83" s="94"/>
      <c r="D83" s="88"/>
      <c r="E83" s="88"/>
      <c r="F83" s="88"/>
      <c r="G83" s="89"/>
      <c r="H83" s="104"/>
      <c r="I83" s="105">
        <f t="shared" si="7"/>
        <v>0</v>
      </c>
      <c r="J83" s="90"/>
      <c r="K83" s="91"/>
      <c r="L83" s="113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5"/>
      <c r="AL83" s="92">
        <f t="shared" si="10"/>
        <v>0</v>
      </c>
      <c r="AM83" s="122" t="str">
        <f t="shared" si="9"/>
        <v>OK</v>
      </c>
    </row>
    <row r="84" spans="1:39" ht="17.25" hidden="1" thickBot="1">
      <c r="A84" s="68"/>
      <c r="B84" s="78"/>
      <c r="C84" s="95"/>
      <c r="D84" s="83"/>
      <c r="E84" s="83"/>
      <c r="F84" s="83"/>
      <c r="G84" s="84"/>
      <c r="H84" s="102"/>
      <c r="I84" s="106">
        <f t="shared" si="7"/>
        <v>0</v>
      </c>
      <c r="J84" s="85"/>
      <c r="K84" s="16"/>
      <c r="L84" s="116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66">
        <f t="shared" si="10"/>
        <v>0</v>
      </c>
      <c r="AM84" s="28" t="str">
        <f t="shared" si="9"/>
        <v>OK</v>
      </c>
    </row>
    <row r="85" spans="1:39" ht="17.25" hidden="1" thickBot="1">
      <c r="A85" s="87"/>
      <c r="B85" s="93"/>
      <c r="C85" s="94"/>
      <c r="D85" s="88"/>
      <c r="E85" s="88"/>
      <c r="F85" s="88"/>
      <c r="G85" s="89"/>
      <c r="H85" s="104"/>
      <c r="I85" s="105">
        <f t="shared" si="7"/>
        <v>0</v>
      </c>
      <c r="J85" s="90"/>
      <c r="K85" s="91"/>
      <c r="L85" s="113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5"/>
      <c r="AL85" s="92">
        <f t="shared" si="10"/>
        <v>0</v>
      </c>
      <c r="AM85" s="122" t="str">
        <f t="shared" si="9"/>
        <v>OK</v>
      </c>
    </row>
    <row r="86" spans="1:39" ht="17.25" hidden="1" thickBot="1">
      <c r="A86" s="68"/>
      <c r="B86" s="78"/>
      <c r="C86" s="95"/>
      <c r="D86" s="83"/>
      <c r="E86" s="83"/>
      <c r="F86" s="83"/>
      <c r="G86" s="84"/>
      <c r="H86" s="102"/>
      <c r="I86" s="106">
        <f t="shared" si="7"/>
        <v>0</v>
      </c>
      <c r="J86" s="85"/>
      <c r="K86" s="16"/>
      <c r="L86" s="116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66">
        <f t="shared" si="10"/>
        <v>0</v>
      </c>
      <c r="AM86" s="28" t="str">
        <f t="shared" si="9"/>
        <v>OK</v>
      </c>
    </row>
    <row r="87" spans="1:39" ht="17.25" hidden="1" thickBot="1">
      <c r="A87" s="87"/>
      <c r="B87" s="93"/>
      <c r="C87" s="94"/>
      <c r="D87" s="88"/>
      <c r="E87" s="88"/>
      <c r="F87" s="88"/>
      <c r="G87" s="89"/>
      <c r="H87" s="104"/>
      <c r="I87" s="105">
        <f t="shared" si="7"/>
        <v>0</v>
      </c>
      <c r="J87" s="90"/>
      <c r="K87" s="91"/>
      <c r="L87" s="113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5"/>
      <c r="AL87" s="92">
        <f t="shared" si="10"/>
        <v>0</v>
      </c>
      <c r="AM87" s="122" t="str">
        <f t="shared" si="9"/>
        <v>OK</v>
      </c>
    </row>
    <row r="88" spans="1:39" ht="17.25" hidden="1" thickBot="1">
      <c r="A88" s="68"/>
      <c r="B88" s="78"/>
      <c r="C88" s="95"/>
      <c r="D88" s="83"/>
      <c r="E88" s="83"/>
      <c r="F88" s="83"/>
      <c r="G88" s="84"/>
      <c r="H88" s="102"/>
      <c r="I88" s="106">
        <f t="shared" si="7"/>
        <v>0</v>
      </c>
      <c r="J88" s="85"/>
      <c r="K88" s="16"/>
      <c r="L88" s="116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66">
        <f t="shared" si="10"/>
        <v>0</v>
      </c>
      <c r="AM88" s="28" t="str">
        <f t="shared" si="9"/>
        <v>OK</v>
      </c>
    </row>
    <row r="89" spans="1:39" ht="17.25" hidden="1" thickBot="1">
      <c r="A89" s="87"/>
      <c r="B89" s="93"/>
      <c r="C89" s="94"/>
      <c r="D89" s="88"/>
      <c r="E89" s="88"/>
      <c r="F89" s="88"/>
      <c r="G89" s="89"/>
      <c r="H89" s="104"/>
      <c r="I89" s="105">
        <f t="shared" si="7"/>
        <v>0</v>
      </c>
      <c r="J89" s="90"/>
      <c r="K89" s="91"/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5"/>
      <c r="AL89" s="92">
        <f t="shared" si="10"/>
        <v>0</v>
      </c>
      <c r="AM89" s="122" t="str">
        <f t="shared" si="9"/>
        <v>OK</v>
      </c>
    </row>
    <row r="90" spans="1:39" ht="17.25" hidden="1" thickBot="1">
      <c r="A90" s="68"/>
      <c r="B90" s="78"/>
      <c r="C90" s="95"/>
      <c r="D90" s="83"/>
      <c r="E90" s="83"/>
      <c r="F90" s="83"/>
      <c r="G90" s="84"/>
      <c r="H90" s="102"/>
      <c r="I90" s="106">
        <f t="shared" si="7"/>
        <v>0</v>
      </c>
      <c r="J90" s="85"/>
      <c r="K90" s="16"/>
      <c r="L90" s="116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66">
        <f t="shared" si="10"/>
        <v>0</v>
      </c>
      <c r="AM90" s="28" t="str">
        <f t="shared" si="9"/>
        <v>OK</v>
      </c>
    </row>
    <row r="91" spans="1:39" ht="17.25" hidden="1" thickBot="1">
      <c r="A91" s="87"/>
      <c r="B91" s="93"/>
      <c r="C91" s="94"/>
      <c r="D91" s="88"/>
      <c r="E91" s="88"/>
      <c r="F91" s="88"/>
      <c r="G91" s="89"/>
      <c r="H91" s="104"/>
      <c r="I91" s="105">
        <f t="shared" si="7"/>
        <v>0</v>
      </c>
      <c r="J91" s="90"/>
      <c r="K91" s="91"/>
      <c r="L91" s="113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5"/>
      <c r="AL91" s="92">
        <f t="shared" si="10"/>
        <v>0</v>
      </c>
      <c r="AM91" s="122" t="str">
        <f t="shared" si="9"/>
        <v>OK</v>
      </c>
    </row>
    <row r="92" spans="1:39" ht="17.25" hidden="1" thickBot="1">
      <c r="A92" s="68"/>
      <c r="B92" s="78"/>
      <c r="C92" s="95"/>
      <c r="D92" s="83"/>
      <c r="E92" s="83"/>
      <c r="F92" s="83"/>
      <c r="G92" s="84"/>
      <c r="H92" s="102"/>
      <c r="I92" s="106">
        <f t="shared" si="7"/>
        <v>0</v>
      </c>
      <c r="J92" s="85"/>
      <c r="K92" s="16"/>
      <c r="L92" s="116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66">
        <f t="shared" si="10"/>
        <v>0</v>
      </c>
      <c r="AM92" s="28" t="str">
        <f t="shared" si="9"/>
        <v>OK</v>
      </c>
    </row>
    <row r="93" spans="1:39" ht="17.25" hidden="1" thickBot="1">
      <c r="A93" s="87"/>
      <c r="B93" s="93"/>
      <c r="C93" s="94"/>
      <c r="D93" s="88"/>
      <c r="E93" s="88"/>
      <c r="F93" s="88"/>
      <c r="G93" s="89"/>
      <c r="H93" s="104"/>
      <c r="I93" s="105">
        <f t="shared" si="7"/>
        <v>0</v>
      </c>
      <c r="J93" s="90"/>
      <c r="K93" s="91"/>
      <c r="L93" s="113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5"/>
      <c r="AL93" s="92">
        <f t="shared" si="10"/>
        <v>0</v>
      </c>
      <c r="AM93" s="122" t="str">
        <f t="shared" si="9"/>
        <v>OK</v>
      </c>
    </row>
    <row r="94" spans="1:39" ht="17.25" hidden="1" thickBot="1">
      <c r="A94" s="68"/>
      <c r="B94" s="78"/>
      <c r="C94" s="95"/>
      <c r="D94" s="83"/>
      <c r="E94" s="83"/>
      <c r="F94" s="83"/>
      <c r="G94" s="84"/>
      <c r="H94" s="102"/>
      <c r="I94" s="106">
        <f t="shared" si="7"/>
        <v>0</v>
      </c>
      <c r="J94" s="85"/>
      <c r="K94" s="16"/>
      <c r="L94" s="116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66">
        <f t="shared" si="10"/>
        <v>0</v>
      </c>
      <c r="AM94" s="28" t="str">
        <f t="shared" si="9"/>
        <v>OK</v>
      </c>
    </row>
    <row r="95" spans="1:39" ht="17.25" hidden="1" thickBot="1">
      <c r="A95" s="87"/>
      <c r="B95" s="93"/>
      <c r="C95" s="94"/>
      <c r="D95" s="88"/>
      <c r="E95" s="88"/>
      <c r="F95" s="88"/>
      <c r="G95" s="89"/>
      <c r="H95" s="104"/>
      <c r="I95" s="105">
        <f t="shared" si="7"/>
        <v>0</v>
      </c>
      <c r="J95" s="90"/>
      <c r="K95" s="91"/>
      <c r="L95" s="113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5"/>
      <c r="AL95" s="92">
        <f t="shared" si="10"/>
        <v>0</v>
      </c>
      <c r="AM95" s="122" t="str">
        <f t="shared" si="9"/>
        <v>OK</v>
      </c>
    </row>
    <row r="96" spans="1:39" ht="17.25" hidden="1" thickBot="1">
      <c r="A96" s="97"/>
      <c r="B96" s="98"/>
      <c r="C96" s="99"/>
      <c r="D96" s="83"/>
      <c r="E96" s="83"/>
      <c r="F96" s="83"/>
      <c r="G96" s="84"/>
      <c r="H96" s="107"/>
      <c r="I96" s="108">
        <f t="shared" si="7"/>
        <v>0</v>
      </c>
      <c r="J96" s="85"/>
      <c r="K96" s="16"/>
      <c r="L96" s="119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1"/>
      <c r="AL96" s="66">
        <f t="shared" si="10"/>
        <v>0</v>
      </c>
      <c r="AM96" s="28" t="str">
        <f t="shared" si="9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28902</v>
      </c>
      <c r="I97" s="46">
        <f>SUM(I6:I96)</f>
        <v>27</v>
      </c>
      <c r="J97" s="47">
        <f>SUM(J6:J74)</f>
        <v>0</v>
      </c>
      <c r="K97" s="9"/>
      <c r="L97" s="45">
        <f>SUM(L6:L96)</f>
        <v>19</v>
      </c>
      <c r="M97" s="45">
        <f t="shared" ref="M97:AI97" si="11">SUM(M6:M96)</f>
        <v>3</v>
      </c>
      <c r="N97" s="45">
        <f t="shared" si="11"/>
        <v>0</v>
      </c>
      <c r="O97" s="45">
        <f t="shared" si="11"/>
        <v>0</v>
      </c>
      <c r="P97" s="45">
        <f t="shared" si="11"/>
        <v>1</v>
      </c>
      <c r="Q97" s="45">
        <f t="shared" si="11"/>
        <v>0</v>
      </c>
      <c r="R97" s="45">
        <f t="shared" si="11"/>
        <v>0</v>
      </c>
      <c r="S97" s="45">
        <f t="shared" si="11"/>
        <v>0</v>
      </c>
      <c r="T97" s="45">
        <f t="shared" si="11"/>
        <v>0</v>
      </c>
      <c r="U97" s="45">
        <f t="shared" si="11"/>
        <v>0</v>
      </c>
      <c r="V97" s="45">
        <f t="shared" si="11"/>
        <v>0</v>
      </c>
      <c r="W97" s="45">
        <f t="shared" si="11"/>
        <v>0</v>
      </c>
      <c r="X97" s="45">
        <f t="shared" si="11"/>
        <v>0</v>
      </c>
      <c r="Y97" s="45">
        <f t="shared" si="11"/>
        <v>4</v>
      </c>
      <c r="Z97" s="45">
        <f t="shared" si="11"/>
        <v>0</v>
      </c>
      <c r="AA97" s="45">
        <f t="shared" si="11"/>
        <v>0</v>
      </c>
      <c r="AB97" s="45">
        <f t="shared" si="11"/>
        <v>0</v>
      </c>
      <c r="AC97" s="45">
        <f t="shared" si="11"/>
        <v>0</v>
      </c>
      <c r="AD97" s="45">
        <f t="shared" si="11"/>
        <v>0</v>
      </c>
      <c r="AE97" s="45">
        <f t="shared" si="11"/>
        <v>0</v>
      </c>
      <c r="AF97" s="45">
        <f t="shared" si="11"/>
        <v>0</v>
      </c>
      <c r="AG97" s="45">
        <f t="shared" si="11"/>
        <v>0</v>
      </c>
      <c r="AH97" s="45">
        <f t="shared" si="11"/>
        <v>0</v>
      </c>
      <c r="AI97" s="45">
        <f t="shared" si="11"/>
        <v>0</v>
      </c>
      <c r="AJ97" s="49">
        <f>SUM(AJ6:AJ96)</f>
        <v>0</v>
      </c>
      <c r="AK97" s="61">
        <f>SUM(AK6:AK96)</f>
        <v>0</v>
      </c>
      <c r="AL97" s="67">
        <f>SUM(AL6:AL96)</f>
        <v>27</v>
      </c>
      <c r="AM97" s="48" t="str">
        <f>IF(AL97=SUM(I97),"OK","NG")</f>
        <v>OK</v>
      </c>
    </row>
  </sheetData>
  <autoFilter ref="A5:AM97" xr:uid="{00000000-0001-0000-1000-000000000000}">
    <filterColumn colId="7">
      <customFilters>
        <customFilter operator="notEqual" val=" "/>
      </customFilters>
    </filterColumn>
  </autoFilter>
  <mergeCells count="37">
    <mergeCell ref="AM4:AM5"/>
    <mergeCell ref="AG4:AG5"/>
    <mergeCell ref="AH4:AH5"/>
    <mergeCell ref="AI4:AI5"/>
    <mergeCell ref="AJ4:AJ5"/>
    <mergeCell ref="AK4:AK5"/>
    <mergeCell ref="AL4:AL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B1:C1"/>
    <mergeCell ref="F1:G1"/>
    <mergeCell ref="H1:J3"/>
    <mergeCell ref="B2:C2"/>
    <mergeCell ref="AM2:AM3"/>
    <mergeCell ref="B3:C3"/>
  </mergeCells>
  <phoneticPr fontId="3" type="noConversion"/>
  <conditionalFormatting sqref="A4 AM6:AM97">
    <cfRule type="containsText" dxfId="45" priority="7" operator="containsText" text="NG">
      <formula>NOT(ISERROR(SEARCH("NG",A4)))</formula>
    </cfRule>
    <cfRule type="containsText" dxfId="44" priority="8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51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 filterMode="1">
    <pageSetUpPr fitToPage="1"/>
  </sheetPr>
  <dimension ref="A1:AM104"/>
  <sheetViews>
    <sheetView showGridLines="0" zoomScale="85" zoomScaleNormal="85" workbookViewId="0">
      <pane ySplit="5" topLeftCell="A9" activePane="bottomLeft" state="frozen"/>
      <selection activeCell="P19" sqref="P19"/>
      <selection pane="bottomLeft" activeCell="K37" sqref="K37"/>
    </sheetView>
  </sheetViews>
  <sheetFormatPr defaultColWidth="9" defaultRowHeight="16.5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8" width="13.25" customWidth="1"/>
    <col min="9" max="9" width="13.25" style="132" customWidth="1"/>
    <col min="10" max="10" width="13.25" hidden="1" customWidth="1"/>
    <col min="11" max="11" width="0.875" customWidth="1"/>
    <col min="12" max="16" width="8.75"/>
    <col min="17" max="20" width="9" customWidth="1"/>
    <col min="21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5" customHeight="1" thickBot="1">
      <c r="A1" s="37" t="s">
        <v>13</v>
      </c>
      <c r="B1" s="168">
        <f>H97</f>
        <v>6102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5" customHeight="1" thickBot="1">
      <c r="A2" s="37" t="s">
        <v>14</v>
      </c>
      <c r="B2" s="173">
        <f>I97</f>
        <v>0</v>
      </c>
      <c r="C2" s="174"/>
      <c r="D2" s="75"/>
      <c r="E2" s="71"/>
      <c r="F2" s="2"/>
      <c r="G2" s="2"/>
      <c r="H2" s="171"/>
      <c r="I2" s="171"/>
      <c r="J2" s="171"/>
      <c r="K2" s="3"/>
      <c r="L2" s="4">
        <f t="shared" ref="L2:AK2" si="0">SUBTOTAL(9,L6:L96)</f>
        <v>0</v>
      </c>
      <c r="M2" s="4">
        <f t="shared" si="0"/>
        <v>0</v>
      </c>
      <c r="N2" s="4">
        <f t="shared" si="0"/>
        <v>0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39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0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0</v>
      </c>
      <c r="AH2" s="5">
        <f t="shared" si="0"/>
        <v>0</v>
      </c>
      <c r="AI2" s="5">
        <f t="shared" si="0"/>
        <v>0</v>
      </c>
      <c r="AJ2" s="5">
        <f t="shared" si="0"/>
        <v>0</v>
      </c>
      <c r="AK2" s="59">
        <f t="shared" si="0"/>
        <v>0</v>
      </c>
      <c r="AL2" s="62">
        <f>SUBTOTAL(9,AL6:AL96)</f>
        <v>0</v>
      </c>
      <c r="AM2" s="175"/>
    </row>
    <row r="3" spans="1:39" customFormat="1" ht="22.5" customHeight="1" thickBot="1">
      <c r="A3" s="38" t="s">
        <v>15</v>
      </c>
      <c r="B3" s="177">
        <f>IF(ISERROR(B2/(B2+B1)*1000000),"",(B2/(B2+B1)*1000000))</f>
        <v>0</v>
      </c>
      <c r="C3" s="178"/>
      <c r="D3" s="73"/>
      <c r="E3" s="72"/>
      <c r="F3" s="32"/>
      <c r="G3" s="32"/>
      <c r="H3" s="172"/>
      <c r="I3" s="172"/>
      <c r="J3" s="172"/>
      <c r="K3" s="6"/>
      <c r="L3" s="7">
        <f t="shared" ref="L3:AK3" si="1">SUM(L6:L96)</f>
        <v>0</v>
      </c>
      <c r="M3" s="7">
        <f t="shared" si="1"/>
        <v>0</v>
      </c>
      <c r="N3" s="7">
        <f t="shared" si="1"/>
        <v>0</v>
      </c>
      <c r="O3" s="7">
        <f t="shared" si="1"/>
        <v>0</v>
      </c>
      <c r="P3" s="7">
        <f t="shared" si="1"/>
        <v>0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40">
        <f t="shared" si="1"/>
        <v>0</v>
      </c>
      <c r="U3" s="8">
        <f t="shared" si="1"/>
        <v>0</v>
      </c>
      <c r="V3" s="8">
        <f t="shared" si="1"/>
        <v>0</v>
      </c>
      <c r="W3" s="8">
        <f t="shared" si="1"/>
        <v>0</v>
      </c>
      <c r="X3" s="8">
        <f t="shared" si="1"/>
        <v>0</v>
      </c>
      <c r="Y3" s="8">
        <f t="shared" si="1"/>
        <v>0</v>
      </c>
      <c r="Z3" s="8">
        <f t="shared" si="1"/>
        <v>0</v>
      </c>
      <c r="AA3" s="8">
        <f t="shared" si="1"/>
        <v>0</v>
      </c>
      <c r="AB3" s="8">
        <f t="shared" si="1"/>
        <v>0</v>
      </c>
      <c r="AC3" s="8">
        <f t="shared" si="1"/>
        <v>0</v>
      </c>
      <c r="AD3" s="8">
        <f t="shared" si="1"/>
        <v>0</v>
      </c>
      <c r="AE3" s="8">
        <f t="shared" si="1"/>
        <v>0</v>
      </c>
      <c r="AF3" s="8">
        <f t="shared" si="1"/>
        <v>0</v>
      </c>
      <c r="AG3" s="8">
        <f t="shared" si="1"/>
        <v>0</v>
      </c>
      <c r="AH3" s="8">
        <f t="shared" si="1"/>
        <v>0</v>
      </c>
      <c r="AI3" s="8">
        <f t="shared" si="1"/>
        <v>0</v>
      </c>
      <c r="AJ3" s="8">
        <f t="shared" si="1"/>
        <v>0</v>
      </c>
      <c r="AK3" s="60">
        <f t="shared" si="1"/>
        <v>0</v>
      </c>
      <c r="AL3" s="63">
        <f>SUM(AL6:AL96)</f>
        <v>0</v>
      </c>
      <c r="AM3" s="176"/>
    </row>
    <row r="4" spans="1:39" customFormat="1" ht="43.5" customHeight="1">
      <c r="A4" s="163" t="str">
        <f>AM97</f>
        <v>OK</v>
      </c>
      <c r="B4" s="163"/>
      <c r="C4" s="163"/>
      <c r="D4" s="164"/>
      <c r="E4" s="165" t="s">
        <v>16</v>
      </c>
      <c r="F4" s="165"/>
      <c r="G4" s="165"/>
      <c r="H4" s="165" t="s">
        <v>17</v>
      </c>
      <c r="I4" s="165"/>
      <c r="J4" s="165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1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56" t="s">
        <v>12</v>
      </c>
      <c r="AL4" s="158" t="s">
        <v>36</v>
      </c>
      <c r="AM4" s="149" t="s">
        <v>37</v>
      </c>
    </row>
    <row r="5" spans="1:39" customFormat="1" ht="33.75" thickBot="1">
      <c r="A5" s="34" t="s">
        <v>3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137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6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3"/>
      <c r="AJ5" s="155"/>
      <c r="AK5" s="157"/>
      <c r="AL5" s="159"/>
      <c r="AM5" s="150"/>
    </row>
    <row r="6" spans="1:39" customFormat="1" hidden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34"/>
      <c r="I6" s="15">
        <f>SUM(L6:AK6)</f>
        <v>0</v>
      </c>
      <c r="J6" s="15"/>
      <c r="K6" s="16"/>
      <c r="L6" s="15"/>
      <c r="M6" s="15"/>
      <c r="N6" s="15"/>
      <c r="O6" s="15"/>
      <c r="P6" s="15"/>
      <c r="Q6" s="15"/>
      <c r="R6" s="15"/>
      <c r="S6" s="15"/>
      <c r="T6" s="41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3"/>
      <c r="AJ6" s="56"/>
      <c r="AK6" s="53"/>
      <c r="AL6" s="64">
        <f>SUM(L6:AK6)</f>
        <v>0</v>
      </c>
      <c r="AM6" s="31" t="str">
        <f t="shared" ref="AM6:AM74" si="2">IF(AL6=I6,"OK","NG")</f>
        <v>OK</v>
      </c>
    </row>
    <row r="7" spans="1:39" customFormat="1" hidden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135"/>
      <c r="I7" s="21">
        <f t="shared" ref="I7:I70" si="3">SUM(L7:AK7)</f>
        <v>0</v>
      </c>
      <c r="J7" s="21"/>
      <c r="K7" s="16"/>
      <c r="L7" s="21"/>
      <c r="M7" s="21"/>
      <c r="N7" s="21"/>
      <c r="O7" s="21"/>
      <c r="P7" s="21"/>
      <c r="Q7" s="21"/>
      <c r="R7" s="21"/>
      <c r="S7" s="21"/>
      <c r="T7" s="42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4"/>
      <c r="AJ7" s="57"/>
      <c r="AK7" s="54"/>
      <c r="AL7" s="65">
        <f t="shared" ref="AL7:AL74" si="4">SUM(L7:AK7)</f>
        <v>0</v>
      </c>
      <c r="AM7" s="22" t="str">
        <f t="shared" si="2"/>
        <v>OK</v>
      </c>
    </row>
    <row r="8" spans="1:39" customFormat="1" hidden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36"/>
      <c r="I8" s="27">
        <f t="shared" si="3"/>
        <v>0</v>
      </c>
      <c r="J8" s="27"/>
      <c r="K8" s="16"/>
      <c r="L8" s="27"/>
      <c r="M8" s="27"/>
      <c r="N8" s="27"/>
      <c r="O8" s="27"/>
      <c r="P8" s="27"/>
      <c r="Q8" s="27"/>
      <c r="R8" s="27"/>
      <c r="S8" s="27"/>
      <c r="T8" s="4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5"/>
      <c r="AJ8" s="58"/>
      <c r="AK8" s="55"/>
      <c r="AL8" s="66">
        <f t="shared" si="4"/>
        <v>0</v>
      </c>
      <c r="AM8" s="28" t="str">
        <f t="shared" si="2"/>
        <v>OK</v>
      </c>
    </row>
    <row r="9" spans="1:39" customFormat="1">
      <c r="A9" s="17" t="s">
        <v>68</v>
      </c>
      <c r="B9" s="77">
        <v>10897</v>
      </c>
      <c r="C9" s="17" t="s">
        <v>62</v>
      </c>
      <c r="D9" s="69"/>
      <c r="E9" s="18"/>
      <c r="F9" s="18"/>
      <c r="G9" s="19"/>
      <c r="H9" s="135">
        <v>1170</v>
      </c>
      <c r="I9" s="21">
        <f t="shared" si="3"/>
        <v>0</v>
      </c>
      <c r="J9" s="21"/>
      <c r="K9" s="16"/>
      <c r="L9" s="21"/>
      <c r="M9" s="21"/>
      <c r="N9" s="21"/>
      <c r="O9" s="21"/>
      <c r="P9" s="21"/>
      <c r="Q9" s="21"/>
      <c r="R9" s="21"/>
      <c r="S9" s="21"/>
      <c r="T9" s="42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4"/>
      <c r="AJ9" s="57"/>
      <c r="AK9" s="54"/>
      <c r="AL9" s="65">
        <f t="shared" si="4"/>
        <v>0</v>
      </c>
      <c r="AM9" s="22" t="str">
        <f t="shared" si="2"/>
        <v>OK</v>
      </c>
    </row>
    <row r="10" spans="1:39" customFormat="1" hidden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36"/>
      <c r="I10" s="27">
        <f t="shared" si="3"/>
        <v>0</v>
      </c>
      <c r="J10" s="27"/>
      <c r="K10" s="16"/>
      <c r="L10" s="27"/>
      <c r="M10" s="27"/>
      <c r="N10" s="27"/>
      <c r="O10" s="27"/>
      <c r="P10" s="27"/>
      <c r="Q10" s="27"/>
      <c r="R10" s="27"/>
      <c r="S10" s="27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5"/>
      <c r="AJ10" s="58"/>
      <c r="AK10" s="55"/>
      <c r="AL10" s="66">
        <f t="shared" si="4"/>
        <v>0</v>
      </c>
      <c r="AM10" s="28" t="str">
        <f t="shared" si="2"/>
        <v>OK</v>
      </c>
    </row>
    <row r="11" spans="1:39" customFormat="1" hidden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135"/>
      <c r="I11" s="21">
        <f t="shared" si="3"/>
        <v>0</v>
      </c>
      <c r="J11" s="21"/>
      <c r="K11" s="16"/>
      <c r="L11" s="21"/>
      <c r="M11" s="21"/>
      <c r="N11" s="21"/>
      <c r="O11" s="21"/>
      <c r="P11" s="21"/>
      <c r="Q11" s="21"/>
      <c r="R11" s="21"/>
      <c r="S11" s="21"/>
      <c r="T11" s="42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4"/>
      <c r="AJ11" s="57"/>
      <c r="AK11" s="54"/>
      <c r="AL11" s="65">
        <f t="shared" si="4"/>
        <v>0</v>
      </c>
      <c r="AM11" s="22" t="str">
        <f t="shared" si="2"/>
        <v>OK</v>
      </c>
    </row>
    <row r="12" spans="1:39" customFormat="1" hidden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36"/>
      <c r="I12" s="27">
        <f t="shared" si="3"/>
        <v>0</v>
      </c>
      <c r="J12" s="27"/>
      <c r="K12" s="16"/>
      <c r="L12" s="27"/>
      <c r="M12" s="27"/>
      <c r="N12" s="27"/>
      <c r="O12" s="27"/>
      <c r="P12" s="27"/>
      <c r="Q12" s="27"/>
      <c r="R12" s="27"/>
      <c r="S12" s="27"/>
      <c r="T12" s="43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8"/>
      <c r="AK12" s="55"/>
      <c r="AL12" s="66">
        <f t="shared" si="4"/>
        <v>0</v>
      </c>
      <c r="AM12" s="28" t="str">
        <f t="shared" si="2"/>
        <v>OK</v>
      </c>
    </row>
    <row r="13" spans="1:39" customFormat="1" hidden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135"/>
      <c r="I13" s="21">
        <f t="shared" si="3"/>
        <v>0</v>
      </c>
      <c r="J13" s="21"/>
      <c r="K13" s="16"/>
      <c r="L13" s="21"/>
      <c r="M13" s="21"/>
      <c r="N13" s="21"/>
      <c r="O13" s="21"/>
      <c r="P13" s="21"/>
      <c r="Q13" s="21"/>
      <c r="R13" s="21"/>
      <c r="S13" s="21"/>
      <c r="T13" s="4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4"/>
      <c r="AJ13" s="57"/>
      <c r="AK13" s="54"/>
      <c r="AL13" s="65">
        <f t="shared" si="4"/>
        <v>0</v>
      </c>
      <c r="AM13" s="22" t="str">
        <f t="shared" si="2"/>
        <v>OK</v>
      </c>
    </row>
    <row r="14" spans="1:39" customFormat="1" hidden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36"/>
      <c r="I14" s="27">
        <f t="shared" si="3"/>
        <v>0</v>
      </c>
      <c r="J14" s="27"/>
      <c r="K14" s="16"/>
      <c r="L14" s="27"/>
      <c r="M14" s="27"/>
      <c r="N14" s="27"/>
      <c r="O14" s="27"/>
      <c r="P14" s="27"/>
      <c r="Q14" s="27"/>
      <c r="R14" s="27"/>
      <c r="S14" s="27"/>
      <c r="T14" s="43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5"/>
      <c r="AJ14" s="58"/>
      <c r="AK14" s="55"/>
      <c r="AL14" s="66">
        <f t="shared" si="4"/>
        <v>0</v>
      </c>
      <c r="AM14" s="28" t="str">
        <f t="shared" si="2"/>
        <v>OK</v>
      </c>
    </row>
    <row r="15" spans="1:39" customFormat="1" hidden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135"/>
      <c r="I15" s="21">
        <f t="shared" si="3"/>
        <v>0</v>
      </c>
      <c r="J15" s="21"/>
      <c r="K15" s="16"/>
      <c r="L15" s="21"/>
      <c r="M15" s="21"/>
      <c r="N15" s="21"/>
      <c r="O15" s="21"/>
      <c r="P15" s="21"/>
      <c r="Q15" s="21"/>
      <c r="R15" s="21"/>
      <c r="S15" s="21"/>
      <c r="T15" s="42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4"/>
      <c r="AJ15" s="57"/>
      <c r="AK15" s="54"/>
      <c r="AL15" s="65">
        <f t="shared" si="4"/>
        <v>0</v>
      </c>
      <c r="AM15" s="22" t="str">
        <f t="shared" si="2"/>
        <v>OK</v>
      </c>
    </row>
    <row r="16" spans="1:39" customFormat="1" hidden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36"/>
      <c r="I16" s="27">
        <f t="shared" si="3"/>
        <v>0</v>
      </c>
      <c r="J16" s="27"/>
      <c r="K16" s="16"/>
      <c r="L16" s="27"/>
      <c r="M16" s="27"/>
      <c r="N16" s="27"/>
      <c r="O16" s="27"/>
      <c r="P16" s="27"/>
      <c r="Q16" s="27"/>
      <c r="R16" s="27"/>
      <c r="S16" s="27"/>
      <c r="T16" s="43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8"/>
      <c r="AK16" s="55"/>
      <c r="AL16" s="66">
        <f t="shared" si="4"/>
        <v>0</v>
      </c>
      <c r="AM16" s="28" t="str">
        <f t="shared" si="2"/>
        <v>OK</v>
      </c>
    </row>
    <row r="17" spans="1:39" customFormat="1" hidden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135"/>
      <c r="I17" s="21">
        <f t="shared" si="3"/>
        <v>0</v>
      </c>
      <c r="J17" s="21"/>
      <c r="K17" s="16"/>
      <c r="L17" s="21"/>
      <c r="M17" s="21"/>
      <c r="N17" s="21"/>
      <c r="O17" s="21"/>
      <c r="P17" s="21"/>
      <c r="Q17" s="21"/>
      <c r="R17" s="21"/>
      <c r="S17" s="21"/>
      <c r="T17" s="42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4"/>
      <c r="AJ17" s="57"/>
      <c r="AK17" s="54"/>
      <c r="AL17" s="65">
        <f t="shared" si="4"/>
        <v>0</v>
      </c>
      <c r="AM17" s="22" t="str">
        <f t="shared" si="2"/>
        <v>OK</v>
      </c>
    </row>
    <row r="18" spans="1:39" customFormat="1" hidden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36"/>
      <c r="I18" s="27">
        <f t="shared" si="3"/>
        <v>0</v>
      </c>
      <c r="J18" s="27"/>
      <c r="K18" s="16"/>
      <c r="L18" s="27"/>
      <c r="M18" s="27"/>
      <c r="N18" s="27"/>
      <c r="O18" s="27"/>
      <c r="P18" s="27"/>
      <c r="Q18" s="27"/>
      <c r="R18" s="27"/>
      <c r="S18" s="27"/>
      <c r="T18" s="43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8"/>
      <c r="AK18" s="55"/>
      <c r="AL18" s="66">
        <f t="shared" si="4"/>
        <v>0</v>
      </c>
      <c r="AM18" s="28" t="str">
        <f t="shared" si="2"/>
        <v>OK</v>
      </c>
    </row>
    <row r="19" spans="1:39" customFormat="1" hidden="1">
      <c r="A19" s="17" t="s">
        <v>91</v>
      </c>
      <c r="B19" s="77">
        <v>14988</v>
      </c>
      <c r="C19" s="17" t="s">
        <v>64</v>
      </c>
      <c r="D19" s="69"/>
      <c r="E19" s="18"/>
      <c r="F19" s="18"/>
      <c r="G19" s="19"/>
      <c r="H19" s="135"/>
      <c r="I19" s="21">
        <f t="shared" si="3"/>
        <v>0</v>
      </c>
      <c r="J19" s="21"/>
      <c r="K19" s="16"/>
      <c r="L19" s="21"/>
      <c r="M19" s="21"/>
      <c r="N19" s="21"/>
      <c r="O19" s="21"/>
      <c r="P19" s="21"/>
      <c r="Q19" s="21"/>
      <c r="R19" s="21"/>
      <c r="S19" s="21"/>
      <c r="T19" s="42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4"/>
      <c r="AJ19" s="57"/>
      <c r="AK19" s="54"/>
      <c r="AL19" s="65">
        <f t="shared" si="4"/>
        <v>0</v>
      </c>
      <c r="AM19" s="22" t="str">
        <f t="shared" si="2"/>
        <v>OK</v>
      </c>
    </row>
    <row r="20" spans="1:39" customFormat="1" hidden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136"/>
      <c r="I20" s="27">
        <f t="shared" si="3"/>
        <v>0</v>
      </c>
      <c r="J20" s="27"/>
      <c r="K20" s="16"/>
      <c r="L20" s="27"/>
      <c r="M20" s="27"/>
      <c r="N20" s="27"/>
      <c r="O20" s="27"/>
      <c r="P20" s="27"/>
      <c r="Q20" s="27"/>
      <c r="R20" s="27"/>
      <c r="S20" s="27"/>
      <c r="T20" s="43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8"/>
      <c r="AK20" s="55"/>
      <c r="AL20" s="66">
        <f t="shared" si="4"/>
        <v>0</v>
      </c>
      <c r="AM20" s="28" t="str">
        <f t="shared" si="2"/>
        <v>OK</v>
      </c>
    </row>
    <row r="21" spans="1:39" customFormat="1" hidden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135"/>
      <c r="I21" s="21">
        <f t="shared" si="3"/>
        <v>0</v>
      </c>
      <c r="J21" s="21"/>
      <c r="K21" s="16"/>
      <c r="L21" s="21"/>
      <c r="M21" s="21"/>
      <c r="N21" s="21"/>
      <c r="O21" s="21"/>
      <c r="P21" s="21"/>
      <c r="Q21" s="21"/>
      <c r="R21" s="21"/>
      <c r="S21" s="21"/>
      <c r="T21" s="4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4"/>
      <c r="AJ21" s="57"/>
      <c r="AK21" s="54"/>
      <c r="AL21" s="65">
        <f t="shared" si="4"/>
        <v>0</v>
      </c>
      <c r="AM21" s="22" t="str">
        <f t="shared" si="2"/>
        <v>OK</v>
      </c>
    </row>
    <row r="22" spans="1:39" customFormat="1" hidden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36"/>
      <c r="I22" s="27">
        <f t="shared" si="3"/>
        <v>0</v>
      </c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43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5"/>
      <c r="AJ22" s="58"/>
      <c r="AK22" s="55"/>
      <c r="AL22" s="66">
        <f t="shared" si="4"/>
        <v>0</v>
      </c>
      <c r="AM22" s="28" t="str">
        <f t="shared" si="2"/>
        <v>OK</v>
      </c>
    </row>
    <row r="23" spans="1:39" customFormat="1" hidden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135"/>
      <c r="I23" s="21">
        <f t="shared" si="3"/>
        <v>0</v>
      </c>
      <c r="J23" s="21"/>
      <c r="K23" s="16"/>
      <c r="L23" s="21"/>
      <c r="M23" s="21"/>
      <c r="N23" s="21"/>
      <c r="O23" s="21"/>
      <c r="P23" s="21"/>
      <c r="Q23" s="21"/>
      <c r="R23" s="21"/>
      <c r="S23" s="21"/>
      <c r="T23" s="42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7"/>
      <c r="AK23" s="54"/>
      <c r="AL23" s="65">
        <f>SUM(L23:AK23)</f>
        <v>0</v>
      </c>
      <c r="AM23" s="22" t="str">
        <f t="shared" si="2"/>
        <v>OK</v>
      </c>
    </row>
    <row r="24" spans="1:39" customFormat="1" hidden="1">
      <c r="A24" s="68" t="s">
        <v>44</v>
      </c>
      <c r="B24" s="78">
        <v>10163</v>
      </c>
      <c r="C24" s="23" t="s">
        <v>45</v>
      </c>
      <c r="D24" s="24"/>
      <c r="E24" s="24"/>
      <c r="F24" s="24"/>
      <c r="G24" s="25"/>
      <c r="H24" s="136"/>
      <c r="I24" s="27">
        <f t="shared" si="3"/>
        <v>0</v>
      </c>
      <c r="J24" s="27"/>
      <c r="K24" s="16"/>
      <c r="L24" s="27"/>
      <c r="M24" s="27"/>
      <c r="N24" s="27"/>
      <c r="O24" s="27"/>
      <c r="P24" s="27"/>
      <c r="Q24" s="27"/>
      <c r="R24" s="27"/>
      <c r="S24" s="27"/>
      <c r="T24" s="43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5"/>
      <c r="AJ24" s="58"/>
      <c r="AK24" s="55"/>
      <c r="AL24" s="66">
        <f t="shared" si="4"/>
        <v>0</v>
      </c>
      <c r="AM24" s="28" t="str">
        <f t="shared" si="2"/>
        <v>OK</v>
      </c>
    </row>
    <row r="25" spans="1:39" customFormat="1" hidden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135"/>
      <c r="I25" s="21">
        <f t="shared" si="3"/>
        <v>0</v>
      </c>
      <c r="J25" s="21"/>
      <c r="K25" s="16"/>
      <c r="L25" s="21"/>
      <c r="M25" s="21"/>
      <c r="N25" s="21"/>
      <c r="O25" s="21"/>
      <c r="P25" s="21"/>
      <c r="Q25" s="21"/>
      <c r="R25" s="21"/>
      <c r="S25" s="21"/>
      <c r="T25" s="42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4"/>
      <c r="AJ25" s="57"/>
      <c r="AK25" s="54"/>
      <c r="AL25" s="65">
        <f t="shared" si="4"/>
        <v>0</v>
      </c>
      <c r="AM25" s="22" t="str">
        <f t="shared" si="2"/>
        <v>OK</v>
      </c>
    </row>
    <row r="26" spans="1:39" customFormat="1" hidden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36"/>
      <c r="I26" s="27">
        <f t="shared" si="3"/>
        <v>0</v>
      </c>
      <c r="J26" s="27"/>
      <c r="K26" s="16"/>
      <c r="L26" s="27"/>
      <c r="M26" s="27"/>
      <c r="N26" s="27"/>
      <c r="O26" s="27"/>
      <c r="P26" s="27"/>
      <c r="Q26" s="27"/>
      <c r="R26" s="27"/>
      <c r="S26" s="27"/>
      <c r="T26" s="43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8"/>
      <c r="AK26" s="55"/>
      <c r="AL26" s="66">
        <f t="shared" si="4"/>
        <v>0</v>
      </c>
      <c r="AM26" s="28" t="str">
        <f t="shared" si="2"/>
        <v>OK</v>
      </c>
    </row>
    <row r="27" spans="1:39" customFormat="1" hidden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135"/>
      <c r="I27" s="21">
        <f t="shared" si="3"/>
        <v>0</v>
      </c>
      <c r="J27" s="21"/>
      <c r="K27" s="16"/>
      <c r="L27" s="21"/>
      <c r="M27" s="21"/>
      <c r="N27" s="21"/>
      <c r="O27" s="21"/>
      <c r="P27" s="21"/>
      <c r="Q27" s="21"/>
      <c r="R27" s="21"/>
      <c r="S27" s="21"/>
      <c r="T27" s="4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7"/>
      <c r="AK27" s="54"/>
      <c r="AL27" s="65">
        <f t="shared" si="4"/>
        <v>0</v>
      </c>
      <c r="AM27" s="22" t="str">
        <f t="shared" si="2"/>
        <v>OK</v>
      </c>
    </row>
    <row r="28" spans="1:39" customFormat="1" hidden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136"/>
      <c r="I28" s="27">
        <f t="shared" si="3"/>
        <v>0</v>
      </c>
      <c r="J28" s="27"/>
      <c r="K28" s="16"/>
      <c r="L28" s="27"/>
      <c r="M28" s="27"/>
      <c r="N28" s="27"/>
      <c r="O28" s="27"/>
      <c r="P28" s="27"/>
      <c r="Q28" s="27"/>
      <c r="R28" s="27"/>
      <c r="S28" s="27"/>
      <c r="T28" s="43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5"/>
      <c r="AJ28" s="58"/>
      <c r="AK28" s="55"/>
      <c r="AL28" s="66">
        <f t="shared" si="4"/>
        <v>0</v>
      </c>
      <c r="AM28" s="28" t="str">
        <f t="shared" si="2"/>
        <v>OK</v>
      </c>
    </row>
    <row r="29" spans="1:39" customFormat="1" hidden="1">
      <c r="A29" s="80" t="s">
        <v>71</v>
      </c>
      <c r="B29" s="77">
        <v>10151</v>
      </c>
      <c r="C29" s="17" t="s">
        <v>51</v>
      </c>
      <c r="D29" s="69"/>
      <c r="E29" s="18"/>
      <c r="F29" s="18"/>
      <c r="G29" s="19"/>
      <c r="H29" s="135"/>
      <c r="I29" s="21">
        <f t="shared" si="3"/>
        <v>0</v>
      </c>
      <c r="J29" s="21"/>
      <c r="K29" s="16"/>
      <c r="L29" s="21"/>
      <c r="M29" s="21"/>
      <c r="N29" s="21"/>
      <c r="O29" s="21"/>
      <c r="P29" s="21"/>
      <c r="Q29" s="21"/>
      <c r="R29" s="21"/>
      <c r="S29" s="21"/>
      <c r="T29" s="42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4"/>
      <c r="AJ29" s="57"/>
      <c r="AK29" s="54"/>
      <c r="AL29" s="65">
        <f t="shared" si="4"/>
        <v>0</v>
      </c>
      <c r="AM29" s="22" t="str">
        <f t="shared" si="2"/>
        <v>OK</v>
      </c>
    </row>
    <row r="30" spans="1:39" customFormat="1" hidden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137"/>
      <c r="I30" s="27">
        <f t="shared" si="3"/>
        <v>0</v>
      </c>
      <c r="J30" s="27"/>
      <c r="K30" s="16"/>
      <c r="L30" s="27"/>
      <c r="M30" s="27"/>
      <c r="N30" s="27"/>
      <c r="O30" s="27"/>
      <c r="P30" s="27"/>
      <c r="Q30" s="27"/>
      <c r="R30" s="27"/>
      <c r="S30" s="27"/>
      <c r="T30" s="43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5"/>
      <c r="AJ30" s="58"/>
      <c r="AK30" s="55"/>
      <c r="AL30" s="66">
        <f t="shared" si="4"/>
        <v>0</v>
      </c>
      <c r="AM30" s="28" t="str">
        <f t="shared" si="2"/>
        <v>OK</v>
      </c>
    </row>
    <row r="31" spans="1:39" customFormat="1" hidden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135"/>
      <c r="I31" s="21">
        <f t="shared" si="3"/>
        <v>0</v>
      </c>
      <c r="J31" s="21"/>
      <c r="K31" s="16"/>
      <c r="L31" s="21"/>
      <c r="M31" s="21"/>
      <c r="N31" s="21"/>
      <c r="O31" s="21"/>
      <c r="P31" s="21"/>
      <c r="Q31" s="21"/>
      <c r="R31" s="21"/>
      <c r="S31" s="21"/>
      <c r="T31" s="4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7"/>
      <c r="AK31" s="54"/>
      <c r="AL31" s="65">
        <f t="shared" si="4"/>
        <v>0</v>
      </c>
      <c r="AM31" s="22" t="str">
        <f t="shared" si="2"/>
        <v>OK</v>
      </c>
    </row>
    <row r="32" spans="1:39" customFormat="1" hidden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136"/>
      <c r="I32" s="27">
        <f t="shared" si="3"/>
        <v>0</v>
      </c>
      <c r="J32" s="27"/>
      <c r="K32" s="16"/>
      <c r="L32" s="27"/>
      <c r="M32" s="27"/>
      <c r="N32" s="27"/>
      <c r="O32" s="27"/>
      <c r="P32" s="27"/>
      <c r="Q32" s="27"/>
      <c r="R32" s="27"/>
      <c r="S32" s="27"/>
      <c r="T32" s="43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5"/>
      <c r="AJ32" s="58"/>
      <c r="AK32" s="55"/>
      <c r="AL32" s="66">
        <f t="shared" si="4"/>
        <v>0</v>
      </c>
      <c r="AM32" s="28" t="str">
        <f t="shared" si="2"/>
        <v>OK</v>
      </c>
    </row>
    <row r="33" spans="1:39" customFormat="1" hidden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135"/>
      <c r="I33" s="21">
        <f t="shared" si="3"/>
        <v>0</v>
      </c>
      <c r="J33" s="21"/>
      <c r="K33" s="16"/>
      <c r="L33" s="21"/>
      <c r="M33" s="21"/>
      <c r="N33" s="21"/>
      <c r="O33" s="21"/>
      <c r="P33" s="21"/>
      <c r="Q33" s="21"/>
      <c r="R33" s="21"/>
      <c r="S33" s="21"/>
      <c r="T33" s="42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4"/>
      <c r="AJ33" s="57"/>
      <c r="AK33" s="54"/>
      <c r="AL33" s="65">
        <f t="shared" si="4"/>
        <v>0</v>
      </c>
      <c r="AM33" s="22" t="str">
        <f t="shared" si="2"/>
        <v>OK</v>
      </c>
    </row>
    <row r="34" spans="1:39" customFormat="1" hidden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136"/>
      <c r="I34" s="27">
        <f t="shared" si="3"/>
        <v>0</v>
      </c>
      <c r="J34" s="27"/>
      <c r="K34" s="16"/>
      <c r="L34" s="27"/>
      <c r="M34" s="27"/>
      <c r="N34" s="27"/>
      <c r="O34" s="27"/>
      <c r="P34" s="27"/>
      <c r="Q34" s="27"/>
      <c r="R34" s="27"/>
      <c r="S34" s="27"/>
      <c r="T34" s="43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5"/>
      <c r="AJ34" s="58"/>
      <c r="AK34" s="55"/>
      <c r="AL34" s="66">
        <f t="shared" si="4"/>
        <v>0</v>
      </c>
      <c r="AM34" s="28" t="str">
        <f t="shared" si="2"/>
        <v>OK</v>
      </c>
    </row>
    <row r="35" spans="1:39" customFormat="1" hidden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135"/>
      <c r="I35" s="21">
        <f t="shared" si="3"/>
        <v>0</v>
      </c>
      <c r="J35" s="21"/>
      <c r="K35" s="16"/>
      <c r="L35" s="21"/>
      <c r="M35" s="21"/>
      <c r="N35" s="21"/>
      <c r="O35" s="21"/>
      <c r="P35" s="21"/>
      <c r="Q35" s="21"/>
      <c r="R35" s="21"/>
      <c r="S35" s="21"/>
      <c r="T35" s="42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4"/>
      <c r="AJ35" s="57"/>
      <c r="AK35" s="54"/>
      <c r="AL35" s="65">
        <f t="shared" si="4"/>
        <v>0</v>
      </c>
      <c r="AM35" s="22" t="str">
        <f t="shared" si="2"/>
        <v>OK</v>
      </c>
    </row>
    <row r="36" spans="1:39" customFormat="1" hidden="1">
      <c r="A36" s="68" t="s">
        <v>76</v>
      </c>
      <c r="B36" s="78">
        <v>10135</v>
      </c>
      <c r="C36" s="23" t="s">
        <v>56</v>
      </c>
      <c r="D36" s="24"/>
      <c r="E36" s="24"/>
      <c r="F36" s="24"/>
      <c r="G36" s="25"/>
      <c r="H36" s="136"/>
      <c r="I36" s="27">
        <f t="shared" si="3"/>
        <v>0</v>
      </c>
      <c r="J36" s="27"/>
      <c r="K36" s="16"/>
      <c r="L36" s="27"/>
      <c r="M36" s="27"/>
      <c r="N36" s="27"/>
      <c r="O36" s="27"/>
      <c r="P36" s="27"/>
      <c r="Q36" s="27"/>
      <c r="R36" s="27"/>
      <c r="S36" s="27"/>
      <c r="T36" s="43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5"/>
      <c r="AJ36" s="58"/>
      <c r="AK36" s="55"/>
      <c r="AL36" s="66">
        <f t="shared" si="4"/>
        <v>0</v>
      </c>
      <c r="AM36" s="28" t="str">
        <f t="shared" si="2"/>
        <v>OK</v>
      </c>
    </row>
    <row r="37" spans="1:39" customFormat="1">
      <c r="A37" s="80" t="s">
        <v>77</v>
      </c>
      <c r="B37" s="77">
        <v>10133</v>
      </c>
      <c r="C37" s="17" t="s">
        <v>55</v>
      </c>
      <c r="D37" s="69"/>
      <c r="E37" s="18"/>
      <c r="F37" s="18"/>
      <c r="G37" s="19"/>
      <c r="H37" s="135">
        <f>1004+1200</f>
        <v>2204</v>
      </c>
      <c r="I37" s="21">
        <f t="shared" si="3"/>
        <v>0</v>
      </c>
      <c r="J37" s="21"/>
      <c r="K37" s="16"/>
      <c r="L37" s="21"/>
      <c r="M37" s="21"/>
      <c r="N37" s="21"/>
      <c r="O37" s="21"/>
      <c r="P37" s="21"/>
      <c r="Q37" s="21"/>
      <c r="R37" s="21"/>
      <c r="S37" s="21"/>
      <c r="T37" s="42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4"/>
      <c r="AJ37" s="57"/>
      <c r="AK37" s="54"/>
      <c r="AL37" s="65">
        <f t="shared" si="4"/>
        <v>0</v>
      </c>
      <c r="AM37" s="22" t="str">
        <f t="shared" si="2"/>
        <v>OK</v>
      </c>
    </row>
    <row r="38" spans="1:39" customFormat="1" hidden="1">
      <c r="A38" s="68" t="s">
        <v>78</v>
      </c>
      <c r="B38" s="78">
        <v>10131</v>
      </c>
      <c r="C38" s="23" t="s">
        <v>56</v>
      </c>
      <c r="D38" s="24"/>
      <c r="E38" s="24"/>
      <c r="F38" s="24"/>
      <c r="G38" s="25"/>
      <c r="H38" s="136"/>
      <c r="I38" s="27">
        <f t="shared" si="3"/>
        <v>0</v>
      </c>
      <c r="J38" s="27"/>
      <c r="K38" s="16"/>
      <c r="L38" s="27"/>
      <c r="M38" s="27"/>
      <c r="N38" s="27"/>
      <c r="O38" s="27"/>
      <c r="P38" s="27"/>
      <c r="Q38" s="27"/>
      <c r="R38" s="27"/>
      <c r="S38" s="27"/>
      <c r="T38" s="43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5"/>
      <c r="AJ38" s="58"/>
      <c r="AK38" s="55"/>
      <c r="AL38" s="66">
        <f t="shared" ref="AL38:AL50" si="5">SUM(L38:AK38)</f>
        <v>0</v>
      </c>
      <c r="AM38" s="28" t="str">
        <f t="shared" si="2"/>
        <v>OK</v>
      </c>
    </row>
    <row r="39" spans="1:39" customFormat="1">
      <c r="A39" s="17" t="s">
        <v>79</v>
      </c>
      <c r="B39" s="77">
        <v>10129</v>
      </c>
      <c r="C39" s="17" t="s">
        <v>57</v>
      </c>
      <c r="D39" s="69"/>
      <c r="E39" s="18"/>
      <c r="F39" s="18"/>
      <c r="G39" s="19"/>
      <c r="H39" s="135">
        <v>1300</v>
      </c>
      <c r="I39" s="21">
        <f t="shared" si="3"/>
        <v>0</v>
      </c>
      <c r="J39" s="21"/>
      <c r="K39" s="16"/>
      <c r="L39" s="21"/>
      <c r="M39" s="21"/>
      <c r="N39" s="21"/>
      <c r="O39" s="21"/>
      <c r="P39" s="21"/>
      <c r="Q39" s="21"/>
      <c r="R39" s="21"/>
      <c r="S39" s="21"/>
      <c r="T39" s="42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4"/>
      <c r="AJ39" s="57"/>
      <c r="AK39" s="54"/>
      <c r="AL39" s="65">
        <f t="shared" si="5"/>
        <v>0</v>
      </c>
      <c r="AM39" s="22" t="str">
        <f t="shared" si="2"/>
        <v>OK</v>
      </c>
    </row>
    <row r="40" spans="1:39" customFormat="1" hidden="1">
      <c r="A40" s="68" t="s">
        <v>80</v>
      </c>
      <c r="B40" s="78">
        <v>10127</v>
      </c>
      <c r="C40" s="23" t="s">
        <v>58</v>
      </c>
      <c r="D40" s="24"/>
      <c r="E40" s="24"/>
      <c r="F40" s="24"/>
      <c r="G40" s="25"/>
      <c r="H40" s="136"/>
      <c r="I40" s="27">
        <f t="shared" si="3"/>
        <v>0</v>
      </c>
      <c r="J40" s="27"/>
      <c r="K40" s="16"/>
      <c r="L40" s="27"/>
      <c r="M40" s="27"/>
      <c r="N40" s="27"/>
      <c r="O40" s="27"/>
      <c r="P40" s="27"/>
      <c r="Q40" s="27"/>
      <c r="R40" s="27"/>
      <c r="S40" s="27"/>
      <c r="T40" s="43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5"/>
      <c r="AJ40" s="58"/>
      <c r="AK40" s="55"/>
      <c r="AL40" s="66">
        <f t="shared" si="5"/>
        <v>0</v>
      </c>
      <c r="AM40" s="28" t="str">
        <f t="shared" si="2"/>
        <v>OK</v>
      </c>
    </row>
    <row r="41" spans="1:39" customFormat="1" hidden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135"/>
      <c r="I41" s="21">
        <f t="shared" si="3"/>
        <v>0</v>
      </c>
      <c r="J41" s="21"/>
      <c r="K41" s="16"/>
      <c r="L41" s="21"/>
      <c r="M41" s="21"/>
      <c r="N41" s="21"/>
      <c r="O41" s="21"/>
      <c r="P41" s="21"/>
      <c r="Q41" s="21"/>
      <c r="R41" s="21"/>
      <c r="S41" s="21"/>
      <c r="T41" s="4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4"/>
      <c r="AJ41" s="57"/>
      <c r="AK41" s="54"/>
      <c r="AL41" s="65">
        <f t="shared" si="5"/>
        <v>0</v>
      </c>
      <c r="AM41" s="22" t="str">
        <f t="shared" si="2"/>
        <v>OK</v>
      </c>
    </row>
    <row r="42" spans="1:39" customFormat="1" hidden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136"/>
      <c r="I42" s="27">
        <f t="shared" si="3"/>
        <v>0</v>
      </c>
      <c r="J42" s="27"/>
      <c r="K42" s="16"/>
      <c r="L42" s="27"/>
      <c r="M42" s="27"/>
      <c r="N42" s="27"/>
      <c r="O42" s="27"/>
      <c r="P42" s="27"/>
      <c r="Q42" s="27"/>
      <c r="R42" s="27"/>
      <c r="S42" s="27"/>
      <c r="T42" s="43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5"/>
      <c r="AJ42" s="58"/>
      <c r="AK42" s="55"/>
      <c r="AL42" s="66">
        <f t="shared" si="5"/>
        <v>0</v>
      </c>
      <c r="AM42" s="28" t="str">
        <f t="shared" si="2"/>
        <v>OK</v>
      </c>
    </row>
    <row r="43" spans="1:39" customFormat="1" hidden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135"/>
      <c r="I43" s="21">
        <f t="shared" si="3"/>
        <v>0</v>
      </c>
      <c r="J43" s="21"/>
      <c r="K43" s="16"/>
      <c r="L43" s="21"/>
      <c r="M43" s="21"/>
      <c r="N43" s="21"/>
      <c r="O43" s="21"/>
      <c r="P43" s="21"/>
      <c r="Q43" s="21"/>
      <c r="R43" s="21"/>
      <c r="S43" s="21"/>
      <c r="T43" s="42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4"/>
      <c r="AJ43" s="57"/>
      <c r="AK43" s="54"/>
      <c r="AL43" s="65">
        <f t="shared" si="5"/>
        <v>0</v>
      </c>
      <c r="AM43" s="22" t="str">
        <f t="shared" si="2"/>
        <v>OK</v>
      </c>
    </row>
    <row r="44" spans="1:39" customFormat="1" hidden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136"/>
      <c r="I44" s="27">
        <f t="shared" si="3"/>
        <v>0</v>
      </c>
      <c r="J44" s="27"/>
      <c r="K44" s="16"/>
      <c r="L44" s="27"/>
      <c r="M44" s="27"/>
      <c r="N44" s="27"/>
      <c r="O44" s="27"/>
      <c r="P44" s="27"/>
      <c r="Q44" s="27"/>
      <c r="R44" s="27"/>
      <c r="S44" s="27"/>
      <c r="T44" s="43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5"/>
      <c r="AJ44" s="58"/>
      <c r="AK44" s="55"/>
      <c r="AL44" s="66">
        <f t="shared" si="5"/>
        <v>0</v>
      </c>
      <c r="AM44" s="28" t="str">
        <f t="shared" si="2"/>
        <v>OK</v>
      </c>
    </row>
    <row r="45" spans="1:39" customFormat="1" hidden="1">
      <c r="A45" s="17" t="s">
        <v>107</v>
      </c>
      <c r="B45" s="77">
        <v>13467</v>
      </c>
      <c r="C45" s="17" t="s">
        <v>87</v>
      </c>
      <c r="D45" s="69"/>
      <c r="E45" s="18"/>
      <c r="F45" s="18"/>
      <c r="G45" s="19"/>
      <c r="H45" s="135"/>
      <c r="I45" s="21">
        <f t="shared" si="3"/>
        <v>0</v>
      </c>
      <c r="J45" s="21"/>
      <c r="K45" s="16"/>
      <c r="L45" s="21"/>
      <c r="M45" s="21"/>
      <c r="N45" s="21"/>
      <c r="O45" s="21"/>
      <c r="P45" s="21"/>
      <c r="Q45" s="21"/>
      <c r="R45" s="21"/>
      <c r="S45" s="21"/>
      <c r="T45" s="4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4"/>
      <c r="AJ45" s="57"/>
      <c r="AK45" s="54"/>
      <c r="AL45" s="65">
        <f t="shared" si="5"/>
        <v>0</v>
      </c>
      <c r="AM45" s="22" t="str">
        <f t="shared" si="2"/>
        <v>OK</v>
      </c>
    </row>
    <row r="46" spans="1:39" customFormat="1" hidden="1">
      <c r="A46" s="68" t="s">
        <v>111</v>
      </c>
      <c r="B46" s="78">
        <v>15948</v>
      </c>
      <c r="C46" s="23" t="s">
        <v>87</v>
      </c>
      <c r="D46" s="24"/>
      <c r="E46" s="24"/>
      <c r="F46" s="24"/>
      <c r="G46" s="25"/>
      <c r="H46" s="136"/>
      <c r="I46" s="27">
        <f t="shared" si="3"/>
        <v>0</v>
      </c>
      <c r="J46" s="27"/>
      <c r="K46" s="16"/>
      <c r="L46" s="27"/>
      <c r="M46" s="27"/>
      <c r="N46" s="27"/>
      <c r="O46" s="27"/>
      <c r="P46" s="27"/>
      <c r="Q46" s="27"/>
      <c r="R46" s="27"/>
      <c r="S46" s="27"/>
      <c r="T46" s="43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5"/>
      <c r="AJ46" s="58"/>
      <c r="AK46" s="55"/>
      <c r="AL46" s="66">
        <f t="shared" si="5"/>
        <v>0</v>
      </c>
      <c r="AM46" s="28" t="str">
        <f t="shared" si="2"/>
        <v>OK</v>
      </c>
    </row>
    <row r="47" spans="1:39" customFormat="1" hidden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135"/>
      <c r="I47" s="21">
        <f t="shared" si="3"/>
        <v>0</v>
      </c>
      <c r="J47" s="21"/>
      <c r="K47" s="16"/>
      <c r="L47" s="21"/>
      <c r="M47" s="21"/>
      <c r="N47" s="21"/>
      <c r="O47" s="21"/>
      <c r="P47" s="21"/>
      <c r="Q47" s="21"/>
      <c r="R47" s="21"/>
      <c r="S47" s="21"/>
      <c r="T47" s="42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4"/>
      <c r="AJ47" s="57"/>
      <c r="AK47" s="54"/>
      <c r="AL47" s="65">
        <f t="shared" si="5"/>
        <v>0</v>
      </c>
      <c r="AM47" s="22" t="str">
        <f t="shared" si="2"/>
        <v>OK</v>
      </c>
    </row>
    <row r="48" spans="1:39" customFormat="1" hidden="1">
      <c r="A48" s="68" t="s">
        <v>121</v>
      </c>
      <c r="B48" s="78">
        <v>16598</v>
      </c>
      <c r="C48" s="23" t="s">
        <v>87</v>
      </c>
      <c r="D48" s="24"/>
      <c r="E48" s="24"/>
      <c r="F48" s="24"/>
      <c r="G48" s="25"/>
      <c r="H48" s="136"/>
      <c r="I48" s="27">
        <f t="shared" si="3"/>
        <v>0</v>
      </c>
      <c r="J48" s="27"/>
      <c r="K48" s="16"/>
      <c r="L48" s="27"/>
      <c r="M48" s="27"/>
      <c r="N48" s="27"/>
      <c r="O48" s="27"/>
      <c r="P48" s="27"/>
      <c r="Q48" s="27"/>
      <c r="R48" s="27"/>
      <c r="S48" s="27"/>
      <c r="T48" s="43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5"/>
      <c r="AJ48" s="58"/>
      <c r="AK48" s="55"/>
      <c r="AL48" s="66">
        <f t="shared" si="5"/>
        <v>0</v>
      </c>
      <c r="AM48" s="28" t="str">
        <f t="shared" si="2"/>
        <v>OK</v>
      </c>
    </row>
    <row r="49" spans="1:39" customFormat="1" hidden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135"/>
      <c r="I49" s="21">
        <f t="shared" si="3"/>
        <v>0</v>
      </c>
      <c r="J49" s="21"/>
      <c r="K49" s="16"/>
      <c r="L49" s="21"/>
      <c r="M49" s="21"/>
      <c r="N49" s="21"/>
      <c r="O49" s="21"/>
      <c r="P49" s="21"/>
      <c r="Q49" s="21"/>
      <c r="R49" s="21"/>
      <c r="S49" s="21"/>
      <c r="T49" s="4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4"/>
      <c r="AJ49" s="57"/>
      <c r="AK49" s="54"/>
      <c r="AL49" s="65">
        <f t="shared" si="5"/>
        <v>0</v>
      </c>
      <c r="AM49" s="22" t="str">
        <f t="shared" si="2"/>
        <v>OK</v>
      </c>
    </row>
    <row r="50" spans="1:39" customFormat="1" hidden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136"/>
      <c r="I50" s="27">
        <f t="shared" si="3"/>
        <v>0</v>
      </c>
      <c r="J50" s="27"/>
      <c r="K50" s="16"/>
      <c r="L50" s="27"/>
      <c r="M50" s="27"/>
      <c r="N50" s="27"/>
      <c r="O50" s="27"/>
      <c r="P50" s="27"/>
      <c r="Q50" s="27"/>
      <c r="R50" s="27"/>
      <c r="S50" s="27"/>
      <c r="T50" s="43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8"/>
      <c r="AK50" s="55"/>
      <c r="AL50" s="66">
        <f t="shared" si="5"/>
        <v>0</v>
      </c>
      <c r="AM50" s="28" t="str">
        <f t="shared" si="2"/>
        <v>OK</v>
      </c>
    </row>
    <row r="51" spans="1:39" customFormat="1" hidden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135"/>
      <c r="I51" s="21">
        <f t="shared" si="3"/>
        <v>0</v>
      </c>
      <c r="J51" s="21"/>
      <c r="K51" s="16"/>
      <c r="L51" s="21"/>
      <c r="M51" s="21"/>
      <c r="N51" s="21"/>
      <c r="O51" s="21"/>
      <c r="P51" s="21"/>
      <c r="Q51" s="21"/>
      <c r="R51" s="21"/>
      <c r="S51" s="21"/>
      <c r="T51" s="4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4"/>
      <c r="AJ51" s="57"/>
      <c r="AK51" s="54"/>
      <c r="AL51" s="65">
        <f>SUM(L51:AK51)</f>
        <v>0</v>
      </c>
      <c r="AM51" s="22" t="str">
        <f t="shared" si="2"/>
        <v>OK</v>
      </c>
    </row>
    <row r="52" spans="1:39" customFormat="1" hidden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136"/>
      <c r="I52" s="27">
        <f t="shared" si="3"/>
        <v>0</v>
      </c>
      <c r="J52" s="27"/>
      <c r="K52" s="16"/>
      <c r="L52" s="27"/>
      <c r="M52" s="27"/>
      <c r="N52" s="27"/>
      <c r="O52" s="27"/>
      <c r="P52" s="27"/>
      <c r="Q52" s="27"/>
      <c r="R52" s="27"/>
      <c r="S52" s="27"/>
      <c r="T52" s="43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5"/>
      <c r="AJ52" s="58"/>
      <c r="AK52" s="55"/>
      <c r="AL52" s="66">
        <f t="shared" ref="AL52:AL64" si="6">SUM(L52:AK52)</f>
        <v>0</v>
      </c>
      <c r="AM52" s="28" t="str">
        <f t="shared" si="2"/>
        <v>OK</v>
      </c>
    </row>
    <row r="53" spans="1:39" customFormat="1" hidden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135"/>
      <c r="I53" s="21">
        <f t="shared" si="3"/>
        <v>0</v>
      </c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42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4"/>
      <c r="AJ53" s="57"/>
      <c r="AK53" s="54"/>
      <c r="AL53" s="65">
        <f t="shared" si="6"/>
        <v>0</v>
      </c>
      <c r="AM53" s="22" t="str">
        <f t="shared" si="2"/>
        <v>OK</v>
      </c>
    </row>
    <row r="54" spans="1:39" customFormat="1" hidden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136"/>
      <c r="I54" s="27">
        <f t="shared" si="3"/>
        <v>0</v>
      </c>
      <c r="J54" s="27"/>
      <c r="K54" s="16"/>
      <c r="L54" s="27"/>
      <c r="M54" s="27"/>
      <c r="N54" s="27"/>
      <c r="O54" s="27"/>
      <c r="P54" s="27"/>
      <c r="Q54" s="27"/>
      <c r="R54" s="27"/>
      <c r="S54" s="27"/>
      <c r="T54" s="43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5"/>
      <c r="AJ54" s="58"/>
      <c r="AK54" s="55"/>
      <c r="AL54" s="66">
        <f t="shared" si="6"/>
        <v>0</v>
      </c>
      <c r="AM54" s="28" t="str">
        <f t="shared" si="2"/>
        <v>OK</v>
      </c>
    </row>
    <row r="55" spans="1:39" customFormat="1" hidden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135"/>
      <c r="I55" s="21">
        <f t="shared" si="3"/>
        <v>0</v>
      </c>
      <c r="J55" s="21"/>
      <c r="K55" s="16"/>
      <c r="L55" s="21"/>
      <c r="M55" s="21"/>
      <c r="N55" s="21"/>
      <c r="O55" s="21"/>
      <c r="P55" s="21"/>
      <c r="Q55" s="21"/>
      <c r="R55" s="21"/>
      <c r="S55" s="21"/>
      <c r="T55" s="42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4"/>
      <c r="AJ55" s="57"/>
      <c r="AK55" s="54"/>
      <c r="AL55" s="65">
        <f t="shared" si="6"/>
        <v>0</v>
      </c>
      <c r="AM55" s="22" t="str">
        <f t="shared" si="2"/>
        <v>OK</v>
      </c>
    </row>
    <row r="56" spans="1:39" customFormat="1" hidden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136"/>
      <c r="I56" s="27">
        <f t="shared" si="3"/>
        <v>0</v>
      </c>
      <c r="J56" s="27"/>
      <c r="K56" s="16"/>
      <c r="L56" s="27"/>
      <c r="M56" s="27"/>
      <c r="N56" s="27"/>
      <c r="O56" s="27"/>
      <c r="P56" s="27"/>
      <c r="Q56" s="27"/>
      <c r="R56" s="27"/>
      <c r="S56" s="27"/>
      <c r="T56" s="43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5"/>
      <c r="AJ56" s="58"/>
      <c r="AK56" s="55"/>
      <c r="AL56" s="66">
        <f t="shared" si="6"/>
        <v>0</v>
      </c>
      <c r="AM56" s="28" t="str">
        <f t="shared" si="2"/>
        <v>OK</v>
      </c>
    </row>
    <row r="57" spans="1:39" customFormat="1" hidden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135"/>
      <c r="I57" s="21">
        <f t="shared" si="3"/>
        <v>0</v>
      </c>
      <c r="J57" s="21"/>
      <c r="K57" s="16"/>
      <c r="L57" s="21"/>
      <c r="M57" s="21"/>
      <c r="N57" s="21"/>
      <c r="O57" s="21"/>
      <c r="P57" s="21"/>
      <c r="Q57" s="21"/>
      <c r="R57" s="21"/>
      <c r="S57" s="21"/>
      <c r="T57" s="42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4"/>
      <c r="AJ57" s="57"/>
      <c r="AK57" s="54"/>
      <c r="AL57" s="65">
        <f t="shared" si="6"/>
        <v>0</v>
      </c>
      <c r="AM57" s="22" t="str">
        <f t="shared" si="2"/>
        <v>OK</v>
      </c>
    </row>
    <row r="58" spans="1:39" customFormat="1" hidden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136"/>
      <c r="I58" s="27">
        <f t="shared" si="3"/>
        <v>0</v>
      </c>
      <c r="J58" s="27"/>
      <c r="K58" s="16"/>
      <c r="L58" s="27"/>
      <c r="M58" s="27"/>
      <c r="N58" s="27"/>
      <c r="O58" s="27"/>
      <c r="P58" s="27"/>
      <c r="Q58" s="27"/>
      <c r="R58" s="27"/>
      <c r="S58" s="27"/>
      <c r="T58" s="43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5"/>
      <c r="AJ58" s="58"/>
      <c r="AK58" s="55"/>
      <c r="AL58" s="66">
        <f t="shared" si="6"/>
        <v>0</v>
      </c>
      <c r="AM58" s="28" t="str">
        <f t="shared" si="2"/>
        <v>OK</v>
      </c>
    </row>
    <row r="59" spans="1:39" customFormat="1" hidden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135"/>
      <c r="I59" s="21">
        <f t="shared" si="3"/>
        <v>0</v>
      </c>
      <c r="J59" s="21"/>
      <c r="K59" s="16"/>
      <c r="L59" s="21"/>
      <c r="M59" s="21"/>
      <c r="N59" s="21"/>
      <c r="O59" s="21"/>
      <c r="P59" s="21"/>
      <c r="Q59" s="21"/>
      <c r="R59" s="21"/>
      <c r="S59" s="21"/>
      <c r="T59" s="4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4"/>
      <c r="AJ59" s="57"/>
      <c r="AK59" s="54"/>
      <c r="AL59" s="65">
        <f t="shared" si="6"/>
        <v>0</v>
      </c>
      <c r="AM59" s="22" t="str">
        <f t="shared" si="2"/>
        <v>OK</v>
      </c>
    </row>
    <row r="60" spans="1:39" customFormat="1" hidden="1">
      <c r="A60" s="68" t="s">
        <v>84</v>
      </c>
      <c r="B60" s="78">
        <v>11380</v>
      </c>
      <c r="C60" s="23" t="s">
        <v>159</v>
      </c>
      <c r="D60" s="24"/>
      <c r="E60" s="24"/>
      <c r="F60" s="24"/>
      <c r="G60" s="25"/>
      <c r="H60" s="136"/>
      <c r="I60" s="27">
        <f t="shared" si="3"/>
        <v>0</v>
      </c>
      <c r="J60" s="27"/>
      <c r="K60" s="16"/>
      <c r="L60" s="27"/>
      <c r="M60" s="27"/>
      <c r="N60" s="27"/>
      <c r="O60" s="27"/>
      <c r="P60" s="27"/>
      <c r="Q60" s="27"/>
      <c r="R60" s="27"/>
      <c r="S60" s="27"/>
      <c r="T60" s="43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5"/>
      <c r="AJ60" s="58"/>
      <c r="AK60" s="55"/>
      <c r="AL60" s="66">
        <f t="shared" si="6"/>
        <v>0</v>
      </c>
      <c r="AM60" s="28" t="str">
        <f t="shared" si="2"/>
        <v>OK</v>
      </c>
    </row>
    <row r="61" spans="1:39" customFormat="1" hidden="1">
      <c r="A61" s="80" t="s">
        <v>112</v>
      </c>
      <c r="B61" s="77">
        <v>18518</v>
      </c>
      <c r="C61" s="17" t="s">
        <v>87</v>
      </c>
      <c r="D61" s="69"/>
      <c r="E61" s="18"/>
      <c r="F61" s="18"/>
      <c r="G61" s="19"/>
      <c r="H61" s="135"/>
      <c r="I61" s="21">
        <f t="shared" si="3"/>
        <v>0</v>
      </c>
      <c r="J61" s="21"/>
      <c r="K61" s="16"/>
      <c r="L61" s="21"/>
      <c r="M61" s="21"/>
      <c r="N61" s="21"/>
      <c r="O61" s="21"/>
      <c r="P61" s="21"/>
      <c r="Q61" s="21"/>
      <c r="R61" s="21"/>
      <c r="S61" s="21"/>
      <c r="T61" s="4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4"/>
      <c r="AJ61" s="57"/>
      <c r="AK61" s="54"/>
      <c r="AL61" s="65">
        <f t="shared" si="6"/>
        <v>0</v>
      </c>
      <c r="AM61" s="22" t="str">
        <f t="shared" si="2"/>
        <v>OK</v>
      </c>
    </row>
    <row r="62" spans="1:39" customFormat="1" hidden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136"/>
      <c r="I62" s="27">
        <f t="shared" si="3"/>
        <v>0</v>
      </c>
      <c r="J62" s="27"/>
      <c r="K62" s="16"/>
      <c r="L62" s="27"/>
      <c r="M62" s="27"/>
      <c r="N62" s="27"/>
      <c r="O62" s="27"/>
      <c r="P62" s="27"/>
      <c r="Q62" s="27"/>
      <c r="R62" s="27"/>
      <c r="S62" s="27"/>
      <c r="T62" s="43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5"/>
      <c r="AJ62" s="58"/>
      <c r="AK62" s="55"/>
      <c r="AL62" s="66">
        <f t="shared" si="6"/>
        <v>0</v>
      </c>
      <c r="AM62" s="28" t="str">
        <f t="shared" si="2"/>
        <v>OK</v>
      </c>
    </row>
    <row r="63" spans="1:39" customFormat="1" hidden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135"/>
      <c r="I63" s="21">
        <f t="shared" si="3"/>
        <v>0</v>
      </c>
      <c r="J63" s="21"/>
      <c r="K63" s="16"/>
      <c r="L63" s="21"/>
      <c r="M63" s="21"/>
      <c r="N63" s="21"/>
      <c r="O63" s="21"/>
      <c r="P63" s="21"/>
      <c r="Q63" s="21"/>
      <c r="R63" s="21"/>
      <c r="S63" s="21"/>
      <c r="T63" s="4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4"/>
      <c r="AJ63" s="57"/>
      <c r="AK63" s="54"/>
      <c r="AL63" s="65">
        <f t="shared" si="6"/>
        <v>0</v>
      </c>
      <c r="AM63" s="22" t="str">
        <f t="shared" si="2"/>
        <v>OK</v>
      </c>
    </row>
    <row r="64" spans="1:39" customFormat="1" ht="17.25" thickBot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136">
        <f>840+588</f>
        <v>1428</v>
      </c>
      <c r="I64" s="27">
        <f t="shared" si="3"/>
        <v>0</v>
      </c>
      <c r="J64" s="27"/>
      <c r="K64" s="16"/>
      <c r="L64" s="27"/>
      <c r="M64" s="27"/>
      <c r="N64" s="27"/>
      <c r="O64" s="27"/>
      <c r="P64" s="27"/>
      <c r="Q64" s="27"/>
      <c r="R64" s="27"/>
      <c r="S64" s="27"/>
      <c r="T64" s="43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5"/>
      <c r="AJ64" s="58"/>
      <c r="AK64" s="55"/>
      <c r="AL64" s="66">
        <f t="shared" si="6"/>
        <v>0</v>
      </c>
      <c r="AM64" s="28" t="str">
        <f t="shared" si="2"/>
        <v>OK</v>
      </c>
    </row>
    <row r="65" spans="1:39" customFormat="1" ht="17.25" hidden="1" thickBot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135"/>
      <c r="I65" s="21">
        <f t="shared" si="3"/>
        <v>0</v>
      </c>
      <c r="J65" s="21"/>
      <c r="K65" s="16"/>
      <c r="L65" s="21"/>
      <c r="M65" s="21"/>
      <c r="N65" s="21"/>
      <c r="O65" s="21"/>
      <c r="P65" s="21"/>
      <c r="Q65" s="21"/>
      <c r="R65" s="21"/>
      <c r="S65" s="21"/>
      <c r="T65" s="4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4"/>
      <c r="AJ65" s="57"/>
      <c r="AK65" s="54"/>
      <c r="AL65" s="65">
        <f t="shared" si="4"/>
        <v>0</v>
      </c>
      <c r="AM65" s="22" t="str">
        <f t="shared" si="2"/>
        <v>OK</v>
      </c>
    </row>
    <row r="66" spans="1:39" customFormat="1" ht="17.25" hidden="1" thickBot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136"/>
      <c r="I66" s="27">
        <f t="shared" si="3"/>
        <v>0</v>
      </c>
      <c r="J66" s="27"/>
      <c r="K66" s="16"/>
      <c r="L66" s="27"/>
      <c r="M66" s="27"/>
      <c r="N66" s="27"/>
      <c r="O66" s="27"/>
      <c r="P66" s="27"/>
      <c r="Q66" s="27"/>
      <c r="R66" s="27"/>
      <c r="S66" s="27"/>
      <c r="T66" s="43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5"/>
      <c r="AJ66" s="58"/>
      <c r="AK66" s="55"/>
      <c r="AL66" s="66">
        <f t="shared" si="4"/>
        <v>0</v>
      </c>
      <c r="AM66" s="28" t="str">
        <f t="shared" si="2"/>
        <v>OK</v>
      </c>
    </row>
    <row r="67" spans="1:39" customFormat="1" ht="17.25" hidden="1" thickBot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135"/>
      <c r="I67" s="21">
        <f t="shared" si="3"/>
        <v>0</v>
      </c>
      <c r="J67" s="21"/>
      <c r="K67" s="16"/>
      <c r="L67" s="21"/>
      <c r="M67" s="21"/>
      <c r="N67" s="21"/>
      <c r="O67" s="21"/>
      <c r="P67" s="21"/>
      <c r="Q67" s="21"/>
      <c r="R67" s="21"/>
      <c r="S67" s="21"/>
      <c r="T67" s="4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4"/>
      <c r="AJ67" s="57"/>
      <c r="AK67" s="54"/>
      <c r="AL67" s="65">
        <f t="shared" si="4"/>
        <v>0</v>
      </c>
      <c r="AM67" s="22" t="str">
        <f t="shared" si="2"/>
        <v>OK</v>
      </c>
    </row>
    <row r="68" spans="1:39" customFormat="1" ht="17.25" hidden="1" thickBot="1">
      <c r="A68" s="81" t="s">
        <v>132</v>
      </c>
      <c r="B68" s="78">
        <v>20269</v>
      </c>
      <c r="C68" s="23" t="s">
        <v>131</v>
      </c>
      <c r="D68" s="24"/>
      <c r="E68" s="24"/>
      <c r="F68" s="24"/>
      <c r="G68" s="25"/>
      <c r="H68" s="136"/>
      <c r="I68" s="27">
        <f t="shared" si="3"/>
        <v>0</v>
      </c>
      <c r="J68" s="27"/>
      <c r="K68" s="16"/>
      <c r="L68" s="27"/>
      <c r="M68" s="27"/>
      <c r="N68" s="27"/>
      <c r="O68" s="27"/>
      <c r="P68" s="27"/>
      <c r="Q68" s="27"/>
      <c r="R68" s="27"/>
      <c r="S68" s="27"/>
      <c r="T68" s="43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5"/>
      <c r="AJ68" s="58"/>
      <c r="AK68" s="55"/>
      <c r="AL68" s="66">
        <f t="shared" si="4"/>
        <v>0</v>
      </c>
      <c r="AM68" s="28" t="str">
        <f t="shared" si="2"/>
        <v>OK</v>
      </c>
    </row>
    <row r="69" spans="1:39" customFormat="1" ht="17.25" hidden="1" thickBot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135"/>
      <c r="I69" s="21">
        <f t="shared" si="3"/>
        <v>0</v>
      </c>
      <c r="J69" s="21"/>
      <c r="K69" s="16"/>
      <c r="L69" s="21"/>
      <c r="M69" s="21"/>
      <c r="N69" s="21"/>
      <c r="O69" s="21"/>
      <c r="P69" s="21"/>
      <c r="Q69" s="21"/>
      <c r="R69" s="21"/>
      <c r="S69" s="21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7"/>
      <c r="AK69" s="54"/>
      <c r="AL69" s="65">
        <f t="shared" si="4"/>
        <v>0</v>
      </c>
      <c r="AM69" s="22" t="str">
        <f t="shared" si="2"/>
        <v>OK</v>
      </c>
    </row>
    <row r="70" spans="1:39" customFormat="1" ht="17.25" hidden="1" thickBot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136"/>
      <c r="I70" s="27">
        <f t="shared" si="3"/>
        <v>0</v>
      </c>
      <c r="J70" s="27"/>
      <c r="K70" s="16"/>
      <c r="L70" s="27"/>
      <c r="M70" s="27"/>
      <c r="N70" s="27"/>
      <c r="O70" s="27"/>
      <c r="P70" s="27"/>
      <c r="Q70" s="27"/>
      <c r="R70" s="27"/>
      <c r="S70" s="27"/>
      <c r="T70" s="43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5"/>
      <c r="AJ70" s="58"/>
      <c r="AK70" s="55"/>
      <c r="AL70" s="66">
        <f t="shared" si="4"/>
        <v>0</v>
      </c>
      <c r="AM70" s="28" t="str">
        <f t="shared" si="2"/>
        <v>OK</v>
      </c>
    </row>
    <row r="71" spans="1:39" customFormat="1" ht="17.25" hidden="1" thickBot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135"/>
      <c r="I71" s="21">
        <f t="shared" ref="I71:I96" si="7">SUM(L71:AK71)</f>
        <v>0</v>
      </c>
      <c r="J71" s="21"/>
      <c r="K71" s="16"/>
      <c r="L71" s="21"/>
      <c r="M71" s="21"/>
      <c r="N71" s="21"/>
      <c r="O71" s="21"/>
      <c r="P71" s="21"/>
      <c r="Q71" s="21"/>
      <c r="R71" s="21"/>
      <c r="S71" s="21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4"/>
      <c r="AJ71" s="57"/>
      <c r="AK71" s="54"/>
      <c r="AL71" s="65">
        <f t="shared" si="4"/>
        <v>0</v>
      </c>
      <c r="AM71" s="22" t="str">
        <f t="shared" si="2"/>
        <v>OK</v>
      </c>
    </row>
    <row r="72" spans="1:39" customFormat="1" ht="17.25" hidden="1" thickBot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136"/>
      <c r="I72" s="27">
        <f t="shared" si="7"/>
        <v>0</v>
      </c>
      <c r="J72" s="27"/>
      <c r="K72" s="16"/>
      <c r="L72" s="27"/>
      <c r="M72" s="27"/>
      <c r="N72" s="27"/>
      <c r="O72" s="27"/>
      <c r="P72" s="27"/>
      <c r="Q72" s="27"/>
      <c r="R72" s="27"/>
      <c r="S72" s="27"/>
      <c r="T72" s="43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5"/>
      <c r="AJ72" s="58"/>
      <c r="AK72" s="55"/>
      <c r="AL72" s="66">
        <f t="shared" si="4"/>
        <v>0</v>
      </c>
      <c r="AM72" s="28" t="str">
        <f t="shared" si="2"/>
        <v>OK</v>
      </c>
    </row>
    <row r="73" spans="1:39" customFormat="1" ht="17.25" hidden="1" thickBot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138"/>
      <c r="I73" s="101">
        <f t="shared" si="7"/>
        <v>0</v>
      </c>
      <c r="J73" s="21"/>
      <c r="K73" s="16"/>
      <c r="L73" s="21"/>
      <c r="M73" s="21"/>
      <c r="N73" s="21"/>
      <c r="O73" s="21"/>
      <c r="P73" s="21"/>
      <c r="Q73" s="21"/>
      <c r="R73" s="21"/>
      <c r="S73" s="21"/>
      <c r="T73" s="42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4"/>
      <c r="AJ73" s="57"/>
      <c r="AK73" s="54"/>
      <c r="AL73" s="65">
        <f t="shared" si="4"/>
        <v>0</v>
      </c>
      <c r="AM73" s="22" t="str">
        <f t="shared" si="2"/>
        <v>OK</v>
      </c>
    </row>
    <row r="74" spans="1:39" customFormat="1" ht="17.25" hidden="1" thickBot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139"/>
      <c r="I74" s="103">
        <f t="shared" si="7"/>
        <v>0</v>
      </c>
      <c r="J74" s="27"/>
      <c r="K74" s="16"/>
      <c r="L74" s="100"/>
      <c r="M74" s="100"/>
      <c r="N74" s="100"/>
      <c r="O74" s="100"/>
      <c r="P74" s="100"/>
      <c r="Q74" s="100"/>
      <c r="R74" s="100"/>
      <c r="S74" s="100"/>
      <c r="T74" s="109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1"/>
      <c r="AJ74" s="112"/>
      <c r="AK74" s="111"/>
      <c r="AL74" s="66">
        <f t="shared" si="4"/>
        <v>0</v>
      </c>
      <c r="AM74" s="28" t="str">
        <f t="shared" si="2"/>
        <v>OK</v>
      </c>
    </row>
    <row r="75" spans="1:39" ht="17.25" hidden="1" thickBot="1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40"/>
      <c r="I75" s="105">
        <f t="shared" si="7"/>
        <v>0</v>
      </c>
      <c r="J75" s="90"/>
      <c r="K75" s="91"/>
      <c r="L75" s="113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5"/>
      <c r="AL75" s="92">
        <f t="shared" ref="AL75:AL80" si="8">SUM(L75:AK75)</f>
        <v>0</v>
      </c>
      <c r="AM75" s="122" t="str">
        <f t="shared" ref="AM75:AM96" si="9">IF(AL75=I75,"OK","NG")</f>
        <v>OK</v>
      </c>
    </row>
    <row r="76" spans="1:39" ht="17.25" hidden="1" thickBot="1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139"/>
      <c r="I76" s="106">
        <f t="shared" si="7"/>
        <v>0</v>
      </c>
      <c r="J76" s="85"/>
      <c r="K76" s="16"/>
      <c r="L76" s="1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8"/>
      <c r="AL76" s="66">
        <f t="shared" si="8"/>
        <v>0</v>
      </c>
      <c r="AM76" s="28" t="str">
        <f t="shared" si="9"/>
        <v>OK</v>
      </c>
    </row>
    <row r="77" spans="1:39" ht="17.25" hidden="1" thickBot="1">
      <c r="A77" s="87" t="s">
        <v>165</v>
      </c>
      <c r="B77" s="93">
        <v>13007</v>
      </c>
      <c r="C77" s="94" t="s">
        <v>164</v>
      </c>
      <c r="D77" s="88"/>
      <c r="E77" s="88"/>
      <c r="F77" s="88"/>
      <c r="G77" s="89"/>
      <c r="H77" s="104"/>
      <c r="I77" s="105">
        <f t="shared" si="7"/>
        <v>0</v>
      </c>
      <c r="J77" s="90"/>
      <c r="K77" s="91"/>
      <c r="L77" s="113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5"/>
      <c r="AL77" s="92">
        <f t="shared" si="8"/>
        <v>0</v>
      </c>
      <c r="AM77" s="122" t="str">
        <f t="shared" si="9"/>
        <v>OK</v>
      </c>
    </row>
    <row r="78" spans="1:39" ht="17.25" hidden="1" thickBot="1">
      <c r="A78" s="68"/>
      <c r="B78" s="78"/>
      <c r="C78" s="95"/>
      <c r="D78" s="83"/>
      <c r="E78" s="83"/>
      <c r="F78" s="83"/>
      <c r="G78" s="84"/>
      <c r="H78" s="102"/>
      <c r="I78" s="106">
        <f t="shared" si="7"/>
        <v>0</v>
      </c>
      <c r="J78" s="85"/>
      <c r="K78" s="16"/>
      <c r="L78" s="1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66">
        <f t="shared" si="8"/>
        <v>0</v>
      </c>
      <c r="AM78" s="28" t="str">
        <f t="shared" si="9"/>
        <v>OK</v>
      </c>
    </row>
    <row r="79" spans="1:39" ht="17.25" hidden="1" thickBot="1">
      <c r="A79" s="87"/>
      <c r="B79" s="93"/>
      <c r="C79" s="94"/>
      <c r="D79" s="88"/>
      <c r="E79" s="88"/>
      <c r="F79" s="88"/>
      <c r="G79" s="89"/>
      <c r="H79" s="104"/>
      <c r="I79" s="105">
        <f t="shared" si="7"/>
        <v>0</v>
      </c>
      <c r="J79" s="90"/>
      <c r="K79" s="91"/>
      <c r="L79" s="113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5"/>
      <c r="AL79" s="92">
        <f t="shared" si="8"/>
        <v>0</v>
      </c>
      <c r="AM79" s="122" t="str">
        <f t="shared" si="9"/>
        <v>OK</v>
      </c>
    </row>
    <row r="80" spans="1:39" ht="17.25" hidden="1" thickBot="1">
      <c r="A80" s="68"/>
      <c r="B80" s="78"/>
      <c r="C80" s="95"/>
      <c r="D80" s="83"/>
      <c r="E80" s="83"/>
      <c r="F80" s="83"/>
      <c r="G80" s="84"/>
      <c r="H80" s="102"/>
      <c r="I80" s="106">
        <f t="shared" si="7"/>
        <v>0</v>
      </c>
      <c r="J80" s="85"/>
      <c r="K80" s="16"/>
      <c r="L80" s="116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66">
        <f t="shared" si="8"/>
        <v>0</v>
      </c>
      <c r="AM80" s="28" t="str">
        <f t="shared" si="9"/>
        <v>OK</v>
      </c>
    </row>
    <row r="81" spans="1:39" ht="17.25" hidden="1" thickBot="1">
      <c r="A81" s="87"/>
      <c r="B81" s="93"/>
      <c r="C81" s="94"/>
      <c r="D81" s="88"/>
      <c r="E81" s="88"/>
      <c r="F81" s="88"/>
      <c r="G81" s="89"/>
      <c r="H81" s="104"/>
      <c r="I81" s="105">
        <f t="shared" si="7"/>
        <v>0</v>
      </c>
      <c r="J81" s="90"/>
      <c r="K81" s="91"/>
      <c r="L81" s="113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5"/>
      <c r="AL81" s="92">
        <f t="shared" ref="AL81:AL96" si="10">SUM(L81:AK81)</f>
        <v>0</v>
      </c>
      <c r="AM81" s="122" t="str">
        <f t="shared" si="9"/>
        <v>OK</v>
      </c>
    </row>
    <row r="82" spans="1:39" ht="17.25" hidden="1" thickBot="1">
      <c r="A82" s="68"/>
      <c r="B82" s="78"/>
      <c r="C82" s="95"/>
      <c r="D82" s="83"/>
      <c r="E82" s="83"/>
      <c r="F82" s="83"/>
      <c r="G82" s="84"/>
      <c r="H82" s="102"/>
      <c r="I82" s="106">
        <f t="shared" si="7"/>
        <v>0</v>
      </c>
      <c r="J82" s="85"/>
      <c r="K82" s="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66">
        <f t="shared" si="10"/>
        <v>0</v>
      </c>
      <c r="AM82" s="28" t="str">
        <f t="shared" si="9"/>
        <v>OK</v>
      </c>
    </row>
    <row r="83" spans="1:39" ht="17.25" hidden="1" thickBot="1">
      <c r="A83" s="96"/>
      <c r="B83" s="93"/>
      <c r="C83" s="94"/>
      <c r="D83" s="88"/>
      <c r="E83" s="88"/>
      <c r="F83" s="88"/>
      <c r="G83" s="89"/>
      <c r="H83" s="104"/>
      <c r="I83" s="105">
        <f t="shared" si="7"/>
        <v>0</v>
      </c>
      <c r="J83" s="90"/>
      <c r="K83" s="91"/>
      <c r="L83" s="113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5"/>
      <c r="AL83" s="92">
        <f t="shared" si="10"/>
        <v>0</v>
      </c>
      <c r="AM83" s="122" t="str">
        <f t="shared" si="9"/>
        <v>OK</v>
      </c>
    </row>
    <row r="84" spans="1:39" ht="17.25" hidden="1" thickBot="1">
      <c r="A84" s="68"/>
      <c r="B84" s="78"/>
      <c r="C84" s="95"/>
      <c r="D84" s="83"/>
      <c r="E84" s="83"/>
      <c r="F84" s="83"/>
      <c r="G84" s="84"/>
      <c r="H84" s="102"/>
      <c r="I84" s="106">
        <f t="shared" si="7"/>
        <v>0</v>
      </c>
      <c r="J84" s="85"/>
      <c r="K84" s="16"/>
      <c r="L84" s="116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66">
        <f t="shared" si="10"/>
        <v>0</v>
      </c>
      <c r="AM84" s="28" t="str">
        <f t="shared" si="9"/>
        <v>OK</v>
      </c>
    </row>
    <row r="85" spans="1:39" ht="17.25" hidden="1" thickBot="1">
      <c r="A85" s="87"/>
      <c r="B85" s="93"/>
      <c r="C85" s="94"/>
      <c r="D85" s="88"/>
      <c r="E85" s="88"/>
      <c r="F85" s="88"/>
      <c r="G85" s="89"/>
      <c r="H85" s="104"/>
      <c r="I85" s="105">
        <f t="shared" si="7"/>
        <v>0</v>
      </c>
      <c r="J85" s="90"/>
      <c r="K85" s="91"/>
      <c r="L85" s="113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5"/>
      <c r="AL85" s="92">
        <f t="shared" si="10"/>
        <v>0</v>
      </c>
      <c r="AM85" s="122" t="str">
        <f t="shared" si="9"/>
        <v>OK</v>
      </c>
    </row>
    <row r="86" spans="1:39" ht="17.25" hidden="1" thickBot="1">
      <c r="A86" s="68"/>
      <c r="B86" s="78"/>
      <c r="C86" s="95"/>
      <c r="D86" s="83"/>
      <c r="E86" s="83"/>
      <c r="F86" s="83"/>
      <c r="G86" s="84"/>
      <c r="H86" s="102"/>
      <c r="I86" s="106">
        <f t="shared" si="7"/>
        <v>0</v>
      </c>
      <c r="J86" s="85"/>
      <c r="K86" s="16"/>
      <c r="L86" s="116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66">
        <f t="shared" si="10"/>
        <v>0</v>
      </c>
      <c r="AM86" s="28" t="str">
        <f t="shared" si="9"/>
        <v>OK</v>
      </c>
    </row>
    <row r="87" spans="1:39" ht="17.25" hidden="1" thickBot="1">
      <c r="A87" s="87"/>
      <c r="B87" s="93"/>
      <c r="C87" s="94"/>
      <c r="D87" s="88"/>
      <c r="E87" s="88"/>
      <c r="F87" s="88"/>
      <c r="G87" s="89"/>
      <c r="H87" s="104"/>
      <c r="I87" s="105">
        <f t="shared" si="7"/>
        <v>0</v>
      </c>
      <c r="J87" s="90"/>
      <c r="K87" s="91"/>
      <c r="L87" s="113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5"/>
      <c r="AL87" s="92">
        <f t="shared" si="10"/>
        <v>0</v>
      </c>
      <c r="AM87" s="122" t="str">
        <f t="shared" si="9"/>
        <v>OK</v>
      </c>
    </row>
    <row r="88" spans="1:39" ht="17.25" hidden="1" thickBot="1">
      <c r="A88" s="68"/>
      <c r="B88" s="78"/>
      <c r="C88" s="95"/>
      <c r="D88" s="83"/>
      <c r="E88" s="83"/>
      <c r="F88" s="83"/>
      <c r="G88" s="84"/>
      <c r="H88" s="102"/>
      <c r="I88" s="106">
        <f t="shared" si="7"/>
        <v>0</v>
      </c>
      <c r="J88" s="85"/>
      <c r="K88" s="16"/>
      <c r="L88" s="116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66">
        <f t="shared" si="10"/>
        <v>0</v>
      </c>
      <c r="AM88" s="28" t="str">
        <f t="shared" si="9"/>
        <v>OK</v>
      </c>
    </row>
    <row r="89" spans="1:39" ht="17.25" hidden="1" thickBot="1">
      <c r="A89" s="87"/>
      <c r="B89" s="93"/>
      <c r="C89" s="94"/>
      <c r="D89" s="88"/>
      <c r="E89" s="88"/>
      <c r="F89" s="88"/>
      <c r="G89" s="89"/>
      <c r="H89" s="104"/>
      <c r="I89" s="105">
        <f t="shared" si="7"/>
        <v>0</v>
      </c>
      <c r="J89" s="90"/>
      <c r="K89" s="91"/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5"/>
      <c r="AL89" s="92">
        <f t="shared" si="10"/>
        <v>0</v>
      </c>
      <c r="AM89" s="122" t="str">
        <f t="shared" si="9"/>
        <v>OK</v>
      </c>
    </row>
    <row r="90" spans="1:39" ht="17.25" hidden="1" thickBot="1">
      <c r="A90" s="68"/>
      <c r="B90" s="78"/>
      <c r="C90" s="95"/>
      <c r="D90" s="83"/>
      <c r="E90" s="83"/>
      <c r="F90" s="83"/>
      <c r="G90" s="84"/>
      <c r="H90" s="102"/>
      <c r="I90" s="106">
        <f t="shared" si="7"/>
        <v>0</v>
      </c>
      <c r="J90" s="85"/>
      <c r="K90" s="16"/>
      <c r="L90" s="116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66">
        <f t="shared" si="10"/>
        <v>0</v>
      </c>
      <c r="AM90" s="28" t="str">
        <f t="shared" si="9"/>
        <v>OK</v>
      </c>
    </row>
    <row r="91" spans="1:39" ht="17.25" hidden="1" thickBot="1">
      <c r="A91" s="87"/>
      <c r="B91" s="93"/>
      <c r="C91" s="94"/>
      <c r="D91" s="88"/>
      <c r="E91" s="88"/>
      <c r="F91" s="88"/>
      <c r="G91" s="89"/>
      <c r="H91" s="104"/>
      <c r="I91" s="105">
        <f t="shared" si="7"/>
        <v>0</v>
      </c>
      <c r="J91" s="90"/>
      <c r="K91" s="91"/>
      <c r="L91" s="113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5"/>
      <c r="AL91" s="92">
        <f t="shared" si="10"/>
        <v>0</v>
      </c>
      <c r="AM91" s="122" t="str">
        <f t="shared" si="9"/>
        <v>OK</v>
      </c>
    </row>
    <row r="92" spans="1:39" ht="17.25" hidden="1" thickBot="1">
      <c r="A92" s="68"/>
      <c r="B92" s="78"/>
      <c r="C92" s="95"/>
      <c r="D92" s="83"/>
      <c r="E92" s="83"/>
      <c r="F92" s="83"/>
      <c r="G92" s="84"/>
      <c r="H92" s="102"/>
      <c r="I92" s="106">
        <f t="shared" si="7"/>
        <v>0</v>
      </c>
      <c r="J92" s="85"/>
      <c r="K92" s="16"/>
      <c r="L92" s="116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66">
        <f t="shared" si="10"/>
        <v>0</v>
      </c>
      <c r="AM92" s="28" t="str">
        <f t="shared" si="9"/>
        <v>OK</v>
      </c>
    </row>
    <row r="93" spans="1:39" ht="17.25" hidden="1" thickBot="1">
      <c r="A93" s="87"/>
      <c r="B93" s="93"/>
      <c r="C93" s="94"/>
      <c r="D93" s="88"/>
      <c r="E93" s="88"/>
      <c r="F93" s="88"/>
      <c r="G93" s="89"/>
      <c r="H93" s="104"/>
      <c r="I93" s="105">
        <f t="shared" si="7"/>
        <v>0</v>
      </c>
      <c r="J93" s="90"/>
      <c r="K93" s="91"/>
      <c r="L93" s="113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5"/>
      <c r="AL93" s="92">
        <f t="shared" si="10"/>
        <v>0</v>
      </c>
      <c r="AM93" s="122" t="str">
        <f t="shared" si="9"/>
        <v>OK</v>
      </c>
    </row>
    <row r="94" spans="1:39" ht="17.25" hidden="1" thickBot="1">
      <c r="A94" s="68"/>
      <c r="B94" s="78"/>
      <c r="C94" s="95"/>
      <c r="D94" s="83"/>
      <c r="E94" s="83"/>
      <c r="F94" s="83"/>
      <c r="G94" s="84"/>
      <c r="H94" s="102"/>
      <c r="I94" s="106">
        <f t="shared" si="7"/>
        <v>0</v>
      </c>
      <c r="J94" s="85"/>
      <c r="K94" s="16"/>
      <c r="L94" s="116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66">
        <f t="shared" si="10"/>
        <v>0</v>
      </c>
      <c r="AM94" s="28" t="str">
        <f t="shared" si="9"/>
        <v>OK</v>
      </c>
    </row>
    <row r="95" spans="1:39" ht="17.25" hidden="1" thickBot="1">
      <c r="A95" s="87"/>
      <c r="B95" s="93"/>
      <c r="C95" s="94"/>
      <c r="D95" s="88"/>
      <c r="E95" s="88"/>
      <c r="F95" s="88"/>
      <c r="G95" s="89"/>
      <c r="H95" s="104"/>
      <c r="I95" s="105">
        <f t="shared" si="7"/>
        <v>0</v>
      </c>
      <c r="J95" s="90"/>
      <c r="K95" s="91"/>
      <c r="L95" s="113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5"/>
      <c r="AL95" s="92">
        <f t="shared" si="10"/>
        <v>0</v>
      </c>
      <c r="AM95" s="122" t="str">
        <f t="shared" si="9"/>
        <v>OK</v>
      </c>
    </row>
    <row r="96" spans="1:39" ht="17.25" hidden="1" thickBot="1">
      <c r="A96" s="97"/>
      <c r="B96" s="98"/>
      <c r="C96" s="99"/>
      <c r="D96" s="83"/>
      <c r="E96" s="83"/>
      <c r="F96" s="83"/>
      <c r="G96" s="84"/>
      <c r="H96" s="107"/>
      <c r="I96" s="108">
        <f t="shared" si="7"/>
        <v>0</v>
      </c>
      <c r="J96" s="85"/>
      <c r="K96" s="16"/>
      <c r="L96" s="119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1"/>
      <c r="AL96" s="66">
        <f t="shared" si="10"/>
        <v>0</v>
      </c>
      <c r="AM96" s="28" t="str">
        <f t="shared" si="9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6102</v>
      </c>
      <c r="I97" s="46">
        <f>SUM(I6:I96)</f>
        <v>0</v>
      </c>
      <c r="J97" s="47">
        <f>SUM(J6:J74)</f>
        <v>0</v>
      </c>
      <c r="K97" s="9"/>
      <c r="L97" s="45">
        <f>SUM(L6:L96)</f>
        <v>0</v>
      </c>
      <c r="M97" s="45">
        <f t="shared" ref="M97:AI97" si="11">SUM(M6:M96)</f>
        <v>0</v>
      </c>
      <c r="N97" s="45">
        <f t="shared" si="11"/>
        <v>0</v>
      </c>
      <c r="O97" s="45">
        <f t="shared" si="11"/>
        <v>0</v>
      </c>
      <c r="P97" s="45">
        <f t="shared" si="11"/>
        <v>0</v>
      </c>
      <c r="Q97" s="45">
        <f t="shared" si="11"/>
        <v>0</v>
      </c>
      <c r="R97" s="45">
        <f t="shared" si="11"/>
        <v>0</v>
      </c>
      <c r="S97" s="45">
        <f t="shared" si="11"/>
        <v>0</v>
      </c>
      <c r="T97" s="45">
        <f t="shared" si="11"/>
        <v>0</v>
      </c>
      <c r="U97" s="45">
        <f t="shared" si="11"/>
        <v>0</v>
      </c>
      <c r="V97" s="45">
        <f t="shared" si="11"/>
        <v>0</v>
      </c>
      <c r="W97" s="45">
        <f t="shared" si="11"/>
        <v>0</v>
      </c>
      <c r="X97" s="45">
        <f t="shared" si="11"/>
        <v>0</v>
      </c>
      <c r="Y97" s="45">
        <f t="shared" si="11"/>
        <v>0</v>
      </c>
      <c r="Z97" s="45">
        <f t="shared" si="11"/>
        <v>0</v>
      </c>
      <c r="AA97" s="45">
        <f t="shared" si="11"/>
        <v>0</v>
      </c>
      <c r="AB97" s="45">
        <f t="shared" si="11"/>
        <v>0</v>
      </c>
      <c r="AC97" s="45">
        <f t="shared" si="11"/>
        <v>0</v>
      </c>
      <c r="AD97" s="45">
        <f t="shared" si="11"/>
        <v>0</v>
      </c>
      <c r="AE97" s="45">
        <f t="shared" si="11"/>
        <v>0</v>
      </c>
      <c r="AF97" s="45">
        <f t="shared" si="11"/>
        <v>0</v>
      </c>
      <c r="AG97" s="45">
        <f t="shared" si="11"/>
        <v>0</v>
      </c>
      <c r="AH97" s="45">
        <f t="shared" si="11"/>
        <v>0</v>
      </c>
      <c r="AI97" s="45">
        <f t="shared" si="11"/>
        <v>0</v>
      </c>
      <c r="AJ97" s="49">
        <f>SUM(AJ6:AJ96)</f>
        <v>0</v>
      </c>
      <c r="AK97" s="61">
        <f>SUM(AK6:AK96)</f>
        <v>0</v>
      </c>
      <c r="AL97" s="67">
        <f>SUM(AL6:AL96)</f>
        <v>0</v>
      </c>
      <c r="AM97" s="48" t="str">
        <f>IF(AL97=SUM(I97),"OK","NG")</f>
        <v>OK</v>
      </c>
    </row>
    <row r="99" spans="1:39">
      <c r="K99" s="86"/>
      <c r="M99" s="86"/>
    </row>
    <row r="100" spans="1:39">
      <c r="I100" s="86"/>
    </row>
    <row r="102" spans="1:39">
      <c r="O102" s="86"/>
    </row>
    <row r="104" spans="1:39">
      <c r="L104" s="86"/>
    </row>
  </sheetData>
  <autoFilter ref="A5:AM97" xr:uid="{00000000-0001-0000-1300-000000000000}">
    <filterColumn colId="7">
      <customFilters>
        <customFilter operator="notEqual" val=" "/>
      </customFilters>
    </filterColumn>
  </autoFilter>
  <mergeCells count="37">
    <mergeCell ref="AM4:AM5"/>
    <mergeCell ref="AG4:AG5"/>
    <mergeCell ref="AH4:AH5"/>
    <mergeCell ref="AI4:AI5"/>
    <mergeCell ref="AJ4:AJ5"/>
    <mergeCell ref="AK4:AK5"/>
    <mergeCell ref="AL4:AL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B1:C1"/>
    <mergeCell ref="F1:G1"/>
    <mergeCell ref="H1:J3"/>
    <mergeCell ref="B2:C2"/>
    <mergeCell ref="AM2:AM3"/>
    <mergeCell ref="B3:C3"/>
  </mergeCells>
  <phoneticPr fontId="3" type="noConversion"/>
  <conditionalFormatting sqref="A4">
    <cfRule type="containsText" dxfId="43" priority="9" operator="containsText" text="NG">
      <formula>NOT(ISERROR(SEARCH("NG",A4)))</formula>
    </cfRule>
    <cfRule type="containsText" dxfId="42" priority="10" operator="containsText" text="OK">
      <formula>NOT(ISERROR(SEARCH("OK",A4)))</formula>
    </cfRule>
    <cfRule type="containsText" dxfId="41" priority="11" operator="containsText" text="NG">
      <formula>NOT(ISERROR(SEARCH("NG",A4)))</formula>
    </cfRule>
    <cfRule type="containsText" dxfId="40" priority="12" operator="containsText" text="OK">
      <formula>NOT(ISERROR(SEARCH("OK",A4)))</formula>
    </cfRule>
  </conditionalFormatting>
  <conditionalFormatting sqref="AM6:AM97">
    <cfRule type="containsText" dxfId="39" priority="1" operator="containsText" text="NG">
      <formula>NOT(ISERROR(SEARCH("NG",AM6)))</formula>
    </cfRule>
    <cfRule type="containsText" dxfId="38" priority="2" operator="containsText" text="OK">
      <formula>NOT(ISERROR(SEARCH("OK",AM6)))</formula>
    </cfRule>
  </conditionalFormatting>
  <pageMargins left="0.70866141732283472" right="0.70866141732283472" top="0.74803149606299213" bottom="0.74803149606299213" header="0.31496062992125984" footer="0.31496062992125984"/>
  <pageSetup paperSize="8" scale="51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0">
    <pageSetUpPr fitToPage="1"/>
  </sheetPr>
  <dimension ref="A1:AM101"/>
  <sheetViews>
    <sheetView showGridLines="0" zoomScale="85" zoomScaleNormal="85" workbookViewId="0">
      <pane ySplit="5" topLeftCell="A9" activePane="bottomLeft" state="frozen"/>
      <selection activeCell="P19" sqref="P19"/>
      <selection pane="bottomLeft" activeCell="P19" sqref="P19"/>
    </sheetView>
  </sheetViews>
  <sheetFormatPr defaultColWidth="9" defaultRowHeight="16.5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8" width="13.25" customWidth="1"/>
    <col min="9" max="9" width="13.25" style="132" customWidth="1"/>
    <col min="10" max="10" width="13.25" hidden="1" customWidth="1"/>
    <col min="11" max="11" width="0.875" customWidth="1"/>
    <col min="12" max="16" width="8.75"/>
    <col min="17" max="20" width="9" customWidth="1"/>
    <col min="21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5" customHeight="1" thickBot="1">
      <c r="A1" s="37" t="s">
        <v>13</v>
      </c>
      <c r="B1" s="168">
        <f>H97</f>
        <v>0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4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5" customHeight="1" thickBot="1">
      <c r="A2" s="37" t="s">
        <v>14</v>
      </c>
      <c r="B2" s="173">
        <f>I97</f>
        <v>0</v>
      </c>
      <c r="C2" s="174"/>
      <c r="D2" s="75"/>
      <c r="E2" s="71"/>
      <c r="F2" s="2"/>
      <c r="G2" s="2"/>
      <c r="H2" s="171"/>
      <c r="I2" s="171"/>
      <c r="J2" s="171"/>
      <c r="K2" s="3"/>
      <c r="L2" s="4">
        <f t="shared" ref="L2:AK2" si="0">SUBTOTAL(9,L6:L96)</f>
        <v>0</v>
      </c>
      <c r="M2" s="4">
        <f t="shared" si="0"/>
        <v>0</v>
      </c>
      <c r="N2" s="4">
        <f t="shared" si="0"/>
        <v>0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39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0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0</v>
      </c>
      <c r="AH2" s="5">
        <f t="shared" si="0"/>
        <v>0</v>
      </c>
      <c r="AI2" s="5">
        <f t="shared" si="0"/>
        <v>0</v>
      </c>
      <c r="AJ2" s="5">
        <f t="shared" si="0"/>
        <v>0</v>
      </c>
      <c r="AK2" s="59">
        <f t="shared" si="0"/>
        <v>0</v>
      </c>
      <c r="AL2" s="62">
        <f>SUBTOTAL(9,AL6:AL96)</f>
        <v>0</v>
      </c>
      <c r="AM2" s="175"/>
    </row>
    <row r="3" spans="1:39" customFormat="1" ht="22.5" customHeight="1" thickBot="1">
      <c r="A3" s="38" t="s">
        <v>15</v>
      </c>
      <c r="B3" s="177" t="str">
        <f>IF(ISERROR(B2/(B2+B1)*1000000),"",(B2/(B2+B1)*1000000))</f>
        <v/>
      </c>
      <c r="C3" s="178"/>
      <c r="D3" s="73"/>
      <c r="E3" s="72"/>
      <c r="F3" s="32"/>
      <c r="G3" s="32"/>
      <c r="H3" s="172"/>
      <c r="I3" s="172"/>
      <c r="J3" s="172"/>
      <c r="K3" s="6"/>
      <c r="L3" s="7">
        <f t="shared" ref="L3:AK3" si="1">SUM(L6:L96)</f>
        <v>0</v>
      </c>
      <c r="M3" s="7">
        <f t="shared" si="1"/>
        <v>0</v>
      </c>
      <c r="N3" s="7">
        <f t="shared" si="1"/>
        <v>0</v>
      </c>
      <c r="O3" s="7">
        <f t="shared" si="1"/>
        <v>0</v>
      </c>
      <c r="P3" s="7">
        <f t="shared" si="1"/>
        <v>0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40">
        <f t="shared" si="1"/>
        <v>0</v>
      </c>
      <c r="U3" s="8">
        <f t="shared" si="1"/>
        <v>0</v>
      </c>
      <c r="V3" s="8">
        <f t="shared" si="1"/>
        <v>0</v>
      </c>
      <c r="W3" s="8">
        <f t="shared" si="1"/>
        <v>0</v>
      </c>
      <c r="X3" s="8">
        <f t="shared" si="1"/>
        <v>0</v>
      </c>
      <c r="Y3" s="8">
        <f t="shared" si="1"/>
        <v>0</v>
      </c>
      <c r="Z3" s="8">
        <f t="shared" si="1"/>
        <v>0</v>
      </c>
      <c r="AA3" s="8">
        <f t="shared" si="1"/>
        <v>0</v>
      </c>
      <c r="AB3" s="8">
        <f t="shared" si="1"/>
        <v>0</v>
      </c>
      <c r="AC3" s="8">
        <f t="shared" si="1"/>
        <v>0</v>
      </c>
      <c r="AD3" s="8">
        <f t="shared" si="1"/>
        <v>0</v>
      </c>
      <c r="AE3" s="8">
        <f t="shared" si="1"/>
        <v>0</v>
      </c>
      <c r="AF3" s="8">
        <f t="shared" si="1"/>
        <v>0</v>
      </c>
      <c r="AG3" s="8">
        <f t="shared" si="1"/>
        <v>0</v>
      </c>
      <c r="AH3" s="8">
        <f t="shared" si="1"/>
        <v>0</v>
      </c>
      <c r="AI3" s="8">
        <f t="shared" si="1"/>
        <v>0</v>
      </c>
      <c r="AJ3" s="8">
        <f t="shared" si="1"/>
        <v>0</v>
      </c>
      <c r="AK3" s="60">
        <f t="shared" si="1"/>
        <v>0</v>
      </c>
      <c r="AL3" s="63">
        <f>SUM(AL6:AL96)</f>
        <v>0</v>
      </c>
      <c r="AM3" s="176"/>
    </row>
    <row r="4" spans="1:39" customFormat="1" ht="43.5" customHeight="1">
      <c r="A4" s="163" t="str">
        <f>AM97</f>
        <v>OK</v>
      </c>
      <c r="B4" s="163"/>
      <c r="C4" s="163"/>
      <c r="D4" s="164"/>
      <c r="E4" s="165" t="s">
        <v>16</v>
      </c>
      <c r="F4" s="165"/>
      <c r="G4" s="165"/>
      <c r="H4" s="165" t="s">
        <v>17</v>
      </c>
      <c r="I4" s="165"/>
      <c r="J4" s="165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1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56" t="s">
        <v>12</v>
      </c>
      <c r="AL4" s="158" t="s">
        <v>36</v>
      </c>
      <c r="AM4" s="149" t="s">
        <v>37</v>
      </c>
    </row>
    <row r="5" spans="1:39" customFormat="1" ht="33.75" thickBot="1">
      <c r="A5" s="34" t="s">
        <v>3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137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6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3"/>
      <c r="AJ5" s="155"/>
      <c r="AK5" s="157"/>
      <c r="AL5" s="159"/>
      <c r="AM5" s="150"/>
    </row>
    <row r="6" spans="1:39" customFormat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34"/>
      <c r="I6" s="15">
        <f>SUM(L6:AK6)</f>
        <v>0</v>
      </c>
      <c r="J6" s="15"/>
      <c r="K6" s="16"/>
      <c r="L6" s="15"/>
      <c r="M6" s="15"/>
      <c r="N6" s="15"/>
      <c r="O6" s="15"/>
      <c r="P6" s="15"/>
      <c r="Q6" s="15"/>
      <c r="R6" s="15"/>
      <c r="S6" s="15"/>
      <c r="T6" s="41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3"/>
      <c r="AJ6" s="56"/>
      <c r="AK6" s="53"/>
      <c r="AL6" s="64">
        <f>SUM(L6:AK6)</f>
        <v>0</v>
      </c>
      <c r="AM6" s="31" t="str">
        <f t="shared" ref="AM6:AM74" si="2">IF(AL6=I6,"OK","NG")</f>
        <v>OK</v>
      </c>
    </row>
    <row r="7" spans="1:39" customFormat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135"/>
      <c r="I7" s="21">
        <f t="shared" ref="I7:I70" si="3">SUM(L7:AK7)</f>
        <v>0</v>
      </c>
      <c r="J7" s="21"/>
      <c r="K7" s="16"/>
      <c r="L7" s="21"/>
      <c r="M7" s="21"/>
      <c r="N7" s="21"/>
      <c r="O7" s="21"/>
      <c r="P7" s="21"/>
      <c r="Q7" s="21"/>
      <c r="R7" s="21"/>
      <c r="S7" s="21"/>
      <c r="T7" s="42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4"/>
      <c r="AJ7" s="57"/>
      <c r="AK7" s="54"/>
      <c r="AL7" s="65">
        <f t="shared" ref="AL7:AL74" si="4">SUM(L7:AK7)</f>
        <v>0</v>
      </c>
      <c r="AM7" s="22" t="str">
        <f t="shared" si="2"/>
        <v>OK</v>
      </c>
    </row>
    <row r="8" spans="1:39" customFormat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36"/>
      <c r="I8" s="27">
        <f t="shared" si="3"/>
        <v>0</v>
      </c>
      <c r="J8" s="27"/>
      <c r="K8" s="16"/>
      <c r="L8" s="27"/>
      <c r="M8" s="27"/>
      <c r="N8" s="27"/>
      <c r="O8" s="27"/>
      <c r="P8" s="27"/>
      <c r="Q8" s="27"/>
      <c r="R8" s="27"/>
      <c r="S8" s="27"/>
      <c r="T8" s="4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5"/>
      <c r="AJ8" s="58"/>
      <c r="AK8" s="55"/>
      <c r="AL8" s="66">
        <f t="shared" si="4"/>
        <v>0</v>
      </c>
      <c r="AM8" s="28" t="str">
        <f t="shared" si="2"/>
        <v>OK</v>
      </c>
    </row>
    <row r="9" spans="1:39" customFormat="1">
      <c r="A9" s="17" t="s">
        <v>68</v>
      </c>
      <c r="B9" s="77">
        <v>10897</v>
      </c>
      <c r="C9" s="17" t="s">
        <v>62</v>
      </c>
      <c r="D9" s="69"/>
      <c r="E9" s="18"/>
      <c r="F9" s="18"/>
      <c r="G9" s="19"/>
      <c r="H9" s="135"/>
      <c r="I9" s="21">
        <f t="shared" si="3"/>
        <v>0</v>
      </c>
      <c r="J9" s="21"/>
      <c r="K9" s="16"/>
      <c r="L9" s="21"/>
      <c r="M9" s="21"/>
      <c r="N9" s="21"/>
      <c r="O9" s="21"/>
      <c r="P9" s="21"/>
      <c r="Q9" s="21"/>
      <c r="R9" s="21"/>
      <c r="S9" s="21"/>
      <c r="T9" s="42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4"/>
      <c r="AJ9" s="57"/>
      <c r="AK9" s="54"/>
      <c r="AL9" s="65">
        <f t="shared" si="4"/>
        <v>0</v>
      </c>
      <c r="AM9" s="22" t="str">
        <f t="shared" si="2"/>
        <v>OK</v>
      </c>
    </row>
    <row r="10" spans="1:39" customFormat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36"/>
      <c r="I10" s="27">
        <f t="shared" si="3"/>
        <v>0</v>
      </c>
      <c r="J10" s="27"/>
      <c r="K10" s="16"/>
      <c r="L10" s="27"/>
      <c r="M10" s="27"/>
      <c r="N10" s="27"/>
      <c r="O10" s="27"/>
      <c r="P10" s="27"/>
      <c r="Q10" s="27"/>
      <c r="R10" s="27"/>
      <c r="S10" s="27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5"/>
      <c r="AJ10" s="58"/>
      <c r="AK10" s="55"/>
      <c r="AL10" s="66">
        <f t="shared" si="4"/>
        <v>0</v>
      </c>
      <c r="AM10" s="28" t="str">
        <f t="shared" si="2"/>
        <v>OK</v>
      </c>
    </row>
    <row r="11" spans="1:39" customFormat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135"/>
      <c r="I11" s="21">
        <f t="shared" si="3"/>
        <v>0</v>
      </c>
      <c r="J11" s="21"/>
      <c r="K11" s="16"/>
      <c r="L11" s="21"/>
      <c r="M11" s="21"/>
      <c r="N11" s="21"/>
      <c r="O11" s="21"/>
      <c r="P11" s="21"/>
      <c r="Q11" s="21"/>
      <c r="R11" s="21"/>
      <c r="S11" s="21"/>
      <c r="T11" s="42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4"/>
      <c r="AJ11" s="57"/>
      <c r="AK11" s="54"/>
      <c r="AL11" s="65">
        <f t="shared" si="4"/>
        <v>0</v>
      </c>
      <c r="AM11" s="22" t="str">
        <f t="shared" si="2"/>
        <v>OK</v>
      </c>
    </row>
    <row r="12" spans="1:39" customFormat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36"/>
      <c r="I12" s="27">
        <f t="shared" si="3"/>
        <v>0</v>
      </c>
      <c r="J12" s="27"/>
      <c r="K12" s="16"/>
      <c r="L12" s="27"/>
      <c r="M12" s="27"/>
      <c r="N12" s="27"/>
      <c r="O12" s="27"/>
      <c r="P12" s="27"/>
      <c r="Q12" s="27"/>
      <c r="R12" s="27"/>
      <c r="S12" s="27"/>
      <c r="T12" s="43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8"/>
      <c r="AK12" s="55"/>
      <c r="AL12" s="66">
        <f t="shared" si="4"/>
        <v>0</v>
      </c>
      <c r="AM12" s="28" t="str">
        <f t="shared" si="2"/>
        <v>OK</v>
      </c>
    </row>
    <row r="13" spans="1:39" customFormat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135"/>
      <c r="I13" s="21">
        <f t="shared" si="3"/>
        <v>0</v>
      </c>
      <c r="J13" s="21"/>
      <c r="K13" s="16"/>
      <c r="L13" s="21"/>
      <c r="M13" s="21"/>
      <c r="N13" s="21"/>
      <c r="O13" s="21"/>
      <c r="P13" s="21"/>
      <c r="Q13" s="21"/>
      <c r="R13" s="21"/>
      <c r="S13" s="21"/>
      <c r="T13" s="4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4"/>
      <c r="AJ13" s="57"/>
      <c r="AK13" s="54"/>
      <c r="AL13" s="65">
        <f t="shared" si="4"/>
        <v>0</v>
      </c>
      <c r="AM13" s="22" t="str">
        <f t="shared" si="2"/>
        <v>OK</v>
      </c>
    </row>
    <row r="14" spans="1:39" customFormat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36"/>
      <c r="I14" s="27">
        <f t="shared" si="3"/>
        <v>0</v>
      </c>
      <c r="J14" s="27"/>
      <c r="K14" s="16"/>
      <c r="L14" s="27"/>
      <c r="M14" s="27"/>
      <c r="N14" s="27"/>
      <c r="O14" s="27"/>
      <c r="P14" s="27"/>
      <c r="Q14" s="27"/>
      <c r="R14" s="27"/>
      <c r="S14" s="27"/>
      <c r="T14" s="43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5"/>
      <c r="AJ14" s="58"/>
      <c r="AK14" s="55"/>
      <c r="AL14" s="66">
        <f t="shared" si="4"/>
        <v>0</v>
      </c>
      <c r="AM14" s="28" t="str">
        <f t="shared" si="2"/>
        <v>OK</v>
      </c>
    </row>
    <row r="15" spans="1:39" customFormat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135"/>
      <c r="I15" s="21">
        <f t="shared" si="3"/>
        <v>0</v>
      </c>
      <c r="J15" s="21"/>
      <c r="K15" s="16"/>
      <c r="L15" s="21"/>
      <c r="M15" s="21"/>
      <c r="N15" s="21"/>
      <c r="O15" s="21"/>
      <c r="P15" s="21"/>
      <c r="Q15" s="21"/>
      <c r="R15" s="21"/>
      <c r="S15" s="21"/>
      <c r="T15" s="42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4"/>
      <c r="AJ15" s="57"/>
      <c r="AK15" s="54"/>
      <c r="AL15" s="65">
        <f t="shared" si="4"/>
        <v>0</v>
      </c>
      <c r="AM15" s="22" t="str">
        <f t="shared" si="2"/>
        <v>OK</v>
      </c>
    </row>
    <row r="16" spans="1:39" customFormat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36"/>
      <c r="I16" s="27">
        <f t="shared" si="3"/>
        <v>0</v>
      </c>
      <c r="J16" s="27"/>
      <c r="K16" s="16"/>
      <c r="L16" s="27"/>
      <c r="M16" s="27"/>
      <c r="N16" s="27"/>
      <c r="O16" s="27"/>
      <c r="P16" s="27"/>
      <c r="Q16" s="27"/>
      <c r="R16" s="27"/>
      <c r="S16" s="27"/>
      <c r="T16" s="43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8"/>
      <c r="AK16" s="55"/>
      <c r="AL16" s="66">
        <f t="shared" si="4"/>
        <v>0</v>
      </c>
      <c r="AM16" s="28" t="str">
        <f t="shared" si="2"/>
        <v>OK</v>
      </c>
    </row>
    <row r="17" spans="1:39" customFormat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135"/>
      <c r="I17" s="21">
        <f t="shared" si="3"/>
        <v>0</v>
      </c>
      <c r="J17" s="21"/>
      <c r="K17" s="16"/>
      <c r="L17" s="21"/>
      <c r="M17" s="21"/>
      <c r="N17" s="21"/>
      <c r="O17" s="21"/>
      <c r="P17" s="21"/>
      <c r="Q17" s="21"/>
      <c r="R17" s="21"/>
      <c r="S17" s="21"/>
      <c r="T17" s="42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4"/>
      <c r="AJ17" s="57"/>
      <c r="AK17" s="54"/>
      <c r="AL17" s="65">
        <f t="shared" si="4"/>
        <v>0</v>
      </c>
      <c r="AM17" s="22" t="str">
        <f t="shared" si="2"/>
        <v>OK</v>
      </c>
    </row>
    <row r="18" spans="1:39" customFormat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36"/>
      <c r="I18" s="27">
        <f t="shared" si="3"/>
        <v>0</v>
      </c>
      <c r="J18" s="27"/>
      <c r="K18" s="16"/>
      <c r="L18" s="27"/>
      <c r="M18" s="27"/>
      <c r="N18" s="27"/>
      <c r="O18" s="27"/>
      <c r="P18" s="27"/>
      <c r="Q18" s="27"/>
      <c r="R18" s="27"/>
      <c r="S18" s="27"/>
      <c r="T18" s="43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8"/>
      <c r="AK18" s="55"/>
      <c r="AL18" s="66">
        <f t="shared" si="4"/>
        <v>0</v>
      </c>
      <c r="AM18" s="28" t="str">
        <f t="shared" si="2"/>
        <v>OK</v>
      </c>
    </row>
    <row r="19" spans="1:39" customFormat="1">
      <c r="A19" s="17" t="s">
        <v>91</v>
      </c>
      <c r="B19" s="77">
        <v>14988</v>
      </c>
      <c r="C19" s="17" t="s">
        <v>64</v>
      </c>
      <c r="D19" s="69"/>
      <c r="E19" s="18"/>
      <c r="F19" s="18"/>
      <c r="G19" s="19"/>
      <c r="H19" s="135"/>
      <c r="I19" s="21">
        <f t="shared" si="3"/>
        <v>0</v>
      </c>
      <c r="J19" s="21"/>
      <c r="K19" s="16"/>
      <c r="L19" s="21"/>
      <c r="M19" s="21"/>
      <c r="N19" s="21"/>
      <c r="O19" s="21"/>
      <c r="P19" s="21"/>
      <c r="Q19" s="21"/>
      <c r="R19" s="21"/>
      <c r="S19" s="21"/>
      <c r="T19" s="42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4"/>
      <c r="AJ19" s="57"/>
      <c r="AK19" s="54"/>
      <c r="AL19" s="65">
        <f t="shared" si="4"/>
        <v>0</v>
      </c>
      <c r="AM19" s="22" t="str">
        <f t="shared" si="2"/>
        <v>OK</v>
      </c>
    </row>
    <row r="20" spans="1:39" customFormat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136"/>
      <c r="I20" s="27">
        <f t="shared" si="3"/>
        <v>0</v>
      </c>
      <c r="J20" s="27"/>
      <c r="K20" s="16"/>
      <c r="L20" s="27"/>
      <c r="M20" s="27"/>
      <c r="N20" s="27"/>
      <c r="O20" s="27"/>
      <c r="P20" s="27"/>
      <c r="Q20" s="27"/>
      <c r="R20" s="27"/>
      <c r="S20" s="27"/>
      <c r="T20" s="43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8"/>
      <c r="AK20" s="55"/>
      <c r="AL20" s="66">
        <f t="shared" si="4"/>
        <v>0</v>
      </c>
      <c r="AM20" s="28" t="str">
        <f t="shared" si="2"/>
        <v>OK</v>
      </c>
    </row>
    <row r="21" spans="1:39" customFormat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135"/>
      <c r="I21" s="21">
        <f t="shared" si="3"/>
        <v>0</v>
      </c>
      <c r="J21" s="21"/>
      <c r="K21" s="16"/>
      <c r="L21" s="21"/>
      <c r="M21" s="21"/>
      <c r="N21" s="21"/>
      <c r="O21" s="21"/>
      <c r="P21" s="21"/>
      <c r="Q21" s="21"/>
      <c r="R21" s="21"/>
      <c r="S21" s="21"/>
      <c r="T21" s="4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4"/>
      <c r="AJ21" s="57"/>
      <c r="AK21" s="54"/>
      <c r="AL21" s="65">
        <f t="shared" si="4"/>
        <v>0</v>
      </c>
      <c r="AM21" s="22" t="str">
        <f t="shared" si="2"/>
        <v>OK</v>
      </c>
    </row>
    <row r="22" spans="1:39" customFormat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36"/>
      <c r="I22" s="27">
        <f t="shared" si="3"/>
        <v>0</v>
      </c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43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5"/>
      <c r="AJ22" s="58"/>
      <c r="AK22" s="55"/>
      <c r="AL22" s="66">
        <f t="shared" si="4"/>
        <v>0</v>
      </c>
      <c r="AM22" s="28" t="str">
        <f t="shared" si="2"/>
        <v>OK</v>
      </c>
    </row>
    <row r="23" spans="1:39" customFormat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135"/>
      <c r="I23" s="21">
        <f t="shared" si="3"/>
        <v>0</v>
      </c>
      <c r="J23" s="21"/>
      <c r="K23" s="16"/>
      <c r="L23" s="21"/>
      <c r="M23" s="21"/>
      <c r="N23" s="21"/>
      <c r="O23" s="21"/>
      <c r="P23" s="21"/>
      <c r="Q23" s="21"/>
      <c r="R23" s="21"/>
      <c r="S23" s="21"/>
      <c r="T23" s="42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7"/>
      <c r="AK23" s="54"/>
      <c r="AL23" s="65">
        <f>SUM(L23:AK23)</f>
        <v>0</v>
      </c>
      <c r="AM23" s="22" t="str">
        <f t="shared" si="2"/>
        <v>OK</v>
      </c>
    </row>
    <row r="24" spans="1:39" customFormat="1">
      <c r="A24" s="68" t="s">
        <v>44</v>
      </c>
      <c r="B24" s="78">
        <v>10163</v>
      </c>
      <c r="C24" s="23" t="s">
        <v>45</v>
      </c>
      <c r="D24" s="24"/>
      <c r="E24" s="24"/>
      <c r="F24" s="24"/>
      <c r="G24" s="25"/>
      <c r="H24" s="136"/>
      <c r="I24" s="27">
        <f t="shared" si="3"/>
        <v>0</v>
      </c>
      <c r="J24" s="27"/>
      <c r="K24" s="16"/>
      <c r="L24" s="27"/>
      <c r="M24" s="27"/>
      <c r="N24" s="27"/>
      <c r="O24" s="27"/>
      <c r="P24" s="27"/>
      <c r="Q24" s="27"/>
      <c r="R24" s="27"/>
      <c r="S24" s="27"/>
      <c r="T24" s="43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5"/>
      <c r="AJ24" s="58"/>
      <c r="AK24" s="55"/>
      <c r="AL24" s="66">
        <f t="shared" si="4"/>
        <v>0</v>
      </c>
      <c r="AM24" s="28" t="str">
        <f t="shared" si="2"/>
        <v>OK</v>
      </c>
    </row>
    <row r="25" spans="1:39" customFormat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135"/>
      <c r="I25" s="21">
        <f t="shared" si="3"/>
        <v>0</v>
      </c>
      <c r="J25" s="21"/>
      <c r="K25" s="16"/>
      <c r="L25" s="21"/>
      <c r="M25" s="21"/>
      <c r="N25" s="21"/>
      <c r="O25" s="21"/>
      <c r="P25" s="21"/>
      <c r="Q25" s="21"/>
      <c r="R25" s="21"/>
      <c r="S25" s="21"/>
      <c r="T25" s="42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4"/>
      <c r="AJ25" s="57"/>
      <c r="AK25" s="54"/>
      <c r="AL25" s="65">
        <f t="shared" si="4"/>
        <v>0</v>
      </c>
      <c r="AM25" s="22" t="str">
        <f t="shared" si="2"/>
        <v>OK</v>
      </c>
    </row>
    <row r="26" spans="1:39" customFormat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36"/>
      <c r="I26" s="27">
        <f t="shared" si="3"/>
        <v>0</v>
      </c>
      <c r="J26" s="27"/>
      <c r="K26" s="16"/>
      <c r="L26" s="27"/>
      <c r="M26" s="27"/>
      <c r="N26" s="27"/>
      <c r="O26" s="27"/>
      <c r="P26" s="27"/>
      <c r="Q26" s="27"/>
      <c r="R26" s="27"/>
      <c r="S26" s="27"/>
      <c r="T26" s="43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8"/>
      <c r="AK26" s="55"/>
      <c r="AL26" s="66">
        <f t="shared" si="4"/>
        <v>0</v>
      </c>
      <c r="AM26" s="28" t="str">
        <f t="shared" si="2"/>
        <v>OK</v>
      </c>
    </row>
    <row r="27" spans="1:39" customFormat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135"/>
      <c r="I27" s="21">
        <f t="shared" si="3"/>
        <v>0</v>
      </c>
      <c r="J27" s="21"/>
      <c r="K27" s="16"/>
      <c r="L27" s="21"/>
      <c r="M27" s="21"/>
      <c r="N27" s="21"/>
      <c r="O27" s="21"/>
      <c r="P27" s="21"/>
      <c r="Q27" s="21"/>
      <c r="R27" s="21"/>
      <c r="S27" s="21"/>
      <c r="T27" s="4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7"/>
      <c r="AK27" s="54"/>
      <c r="AL27" s="65">
        <f t="shared" si="4"/>
        <v>0</v>
      </c>
      <c r="AM27" s="22" t="str">
        <f t="shared" si="2"/>
        <v>OK</v>
      </c>
    </row>
    <row r="28" spans="1:39" customFormat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136"/>
      <c r="I28" s="27">
        <f t="shared" si="3"/>
        <v>0</v>
      </c>
      <c r="J28" s="27"/>
      <c r="K28" s="16"/>
      <c r="L28" s="27"/>
      <c r="M28" s="27"/>
      <c r="N28" s="27"/>
      <c r="O28" s="27"/>
      <c r="P28" s="27"/>
      <c r="Q28" s="27"/>
      <c r="R28" s="27"/>
      <c r="S28" s="27"/>
      <c r="T28" s="43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5"/>
      <c r="AJ28" s="58"/>
      <c r="AK28" s="55"/>
      <c r="AL28" s="66">
        <f t="shared" si="4"/>
        <v>0</v>
      </c>
      <c r="AM28" s="28" t="str">
        <f t="shared" si="2"/>
        <v>OK</v>
      </c>
    </row>
    <row r="29" spans="1:39" customFormat="1">
      <c r="A29" s="80" t="s">
        <v>71</v>
      </c>
      <c r="B29" s="77">
        <v>10151</v>
      </c>
      <c r="C29" s="17" t="s">
        <v>51</v>
      </c>
      <c r="D29" s="69"/>
      <c r="E29" s="18"/>
      <c r="F29" s="18"/>
      <c r="G29" s="19"/>
      <c r="H29" s="135"/>
      <c r="I29" s="21">
        <f t="shared" si="3"/>
        <v>0</v>
      </c>
      <c r="J29" s="21"/>
      <c r="K29" s="16"/>
      <c r="L29" s="21"/>
      <c r="M29" s="21"/>
      <c r="N29" s="21"/>
      <c r="O29" s="21"/>
      <c r="P29" s="21"/>
      <c r="Q29" s="21"/>
      <c r="R29" s="21"/>
      <c r="S29" s="21"/>
      <c r="T29" s="42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4"/>
      <c r="AJ29" s="57"/>
      <c r="AK29" s="54"/>
      <c r="AL29" s="65">
        <f t="shared" si="4"/>
        <v>0</v>
      </c>
      <c r="AM29" s="22" t="str">
        <f t="shared" si="2"/>
        <v>OK</v>
      </c>
    </row>
    <row r="30" spans="1:39" customFormat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136"/>
      <c r="I30" s="27">
        <f t="shared" si="3"/>
        <v>0</v>
      </c>
      <c r="J30" s="27"/>
      <c r="K30" s="16"/>
      <c r="L30" s="27"/>
      <c r="M30" s="27"/>
      <c r="N30" s="27"/>
      <c r="O30" s="27"/>
      <c r="P30" s="27"/>
      <c r="Q30" s="27"/>
      <c r="R30" s="27"/>
      <c r="S30" s="27"/>
      <c r="T30" s="43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5"/>
      <c r="AJ30" s="58"/>
      <c r="AK30" s="55"/>
      <c r="AL30" s="66">
        <f t="shared" si="4"/>
        <v>0</v>
      </c>
      <c r="AM30" s="28" t="str">
        <f t="shared" si="2"/>
        <v>OK</v>
      </c>
    </row>
    <row r="31" spans="1:39" customFormat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135"/>
      <c r="I31" s="21">
        <f t="shared" si="3"/>
        <v>0</v>
      </c>
      <c r="J31" s="21"/>
      <c r="K31" s="16"/>
      <c r="L31" s="21"/>
      <c r="M31" s="21"/>
      <c r="N31" s="21"/>
      <c r="O31" s="21"/>
      <c r="P31" s="21"/>
      <c r="Q31" s="21"/>
      <c r="R31" s="21"/>
      <c r="S31" s="21"/>
      <c r="T31" s="4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7"/>
      <c r="AK31" s="54"/>
      <c r="AL31" s="65">
        <f t="shared" si="4"/>
        <v>0</v>
      </c>
      <c r="AM31" s="22" t="str">
        <f t="shared" si="2"/>
        <v>OK</v>
      </c>
    </row>
    <row r="32" spans="1:39" customFormat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136"/>
      <c r="I32" s="27">
        <f t="shared" si="3"/>
        <v>0</v>
      </c>
      <c r="J32" s="27"/>
      <c r="K32" s="16"/>
      <c r="L32" s="27"/>
      <c r="M32" s="27"/>
      <c r="N32" s="27"/>
      <c r="O32" s="27"/>
      <c r="P32" s="27"/>
      <c r="Q32" s="27"/>
      <c r="R32" s="27"/>
      <c r="S32" s="27"/>
      <c r="T32" s="43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5"/>
      <c r="AJ32" s="58"/>
      <c r="AK32" s="55"/>
      <c r="AL32" s="66">
        <f t="shared" si="4"/>
        <v>0</v>
      </c>
      <c r="AM32" s="28" t="str">
        <f t="shared" si="2"/>
        <v>OK</v>
      </c>
    </row>
    <row r="33" spans="1:39" customFormat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135"/>
      <c r="I33" s="21">
        <f t="shared" si="3"/>
        <v>0</v>
      </c>
      <c r="J33" s="21"/>
      <c r="K33" s="16"/>
      <c r="L33" s="21"/>
      <c r="M33" s="21"/>
      <c r="N33" s="21"/>
      <c r="O33" s="21"/>
      <c r="P33" s="21"/>
      <c r="Q33" s="21"/>
      <c r="R33" s="21"/>
      <c r="S33" s="21"/>
      <c r="T33" s="42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4"/>
      <c r="AJ33" s="57"/>
      <c r="AK33" s="54"/>
      <c r="AL33" s="65">
        <f t="shared" si="4"/>
        <v>0</v>
      </c>
      <c r="AM33" s="22" t="str">
        <f t="shared" si="2"/>
        <v>OK</v>
      </c>
    </row>
    <row r="34" spans="1:39" customFormat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136"/>
      <c r="I34" s="27">
        <f t="shared" si="3"/>
        <v>0</v>
      </c>
      <c r="J34" s="27"/>
      <c r="K34" s="16"/>
      <c r="L34" s="27"/>
      <c r="M34" s="27"/>
      <c r="N34" s="27"/>
      <c r="O34" s="27"/>
      <c r="P34" s="27"/>
      <c r="Q34" s="27"/>
      <c r="R34" s="27"/>
      <c r="S34" s="27"/>
      <c r="T34" s="43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5"/>
      <c r="AJ34" s="58"/>
      <c r="AK34" s="55"/>
      <c r="AL34" s="66">
        <f t="shared" si="4"/>
        <v>0</v>
      </c>
      <c r="AM34" s="28" t="str">
        <f t="shared" si="2"/>
        <v>OK</v>
      </c>
    </row>
    <row r="35" spans="1:39" customFormat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135"/>
      <c r="I35" s="21">
        <f t="shared" si="3"/>
        <v>0</v>
      </c>
      <c r="J35" s="21"/>
      <c r="K35" s="16"/>
      <c r="L35" s="21"/>
      <c r="M35" s="21"/>
      <c r="N35" s="21"/>
      <c r="O35" s="21"/>
      <c r="P35" s="21"/>
      <c r="Q35" s="21"/>
      <c r="R35" s="21"/>
      <c r="S35" s="21"/>
      <c r="T35" s="42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4"/>
      <c r="AJ35" s="57"/>
      <c r="AK35" s="54"/>
      <c r="AL35" s="65">
        <f t="shared" si="4"/>
        <v>0</v>
      </c>
      <c r="AM35" s="22" t="str">
        <f t="shared" si="2"/>
        <v>OK</v>
      </c>
    </row>
    <row r="36" spans="1:39" customFormat="1">
      <c r="A36" s="68" t="s">
        <v>76</v>
      </c>
      <c r="B36" s="78">
        <v>10135</v>
      </c>
      <c r="C36" s="23" t="s">
        <v>56</v>
      </c>
      <c r="D36" s="24"/>
      <c r="E36" s="24"/>
      <c r="F36" s="24"/>
      <c r="G36" s="25"/>
      <c r="H36" s="136"/>
      <c r="I36" s="27">
        <f t="shared" si="3"/>
        <v>0</v>
      </c>
      <c r="J36" s="27"/>
      <c r="K36" s="16"/>
      <c r="L36" s="27"/>
      <c r="M36" s="27"/>
      <c r="N36" s="27"/>
      <c r="O36" s="27"/>
      <c r="P36" s="27"/>
      <c r="Q36" s="27"/>
      <c r="R36" s="27"/>
      <c r="S36" s="27"/>
      <c r="T36" s="43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5"/>
      <c r="AJ36" s="58"/>
      <c r="AK36" s="55"/>
      <c r="AL36" s="66">
        <f t="shared" si="4"/>
        <v>0</v>
      </c>
      <c r="AM36" s="28" t="str">
        <f t="shared" si="2"/>
        <v>OK</v>
      </c>
    </row>
    <row r="37" spans="1:39" customFormat="1">
      <c r="A37" s="80" t="s">
        <v>77</v>
      </c>
      <c r="B37" s="77">
        <v>10133</v>
      </c>
      <c r="C37" s="17" t="s">
        <v>55</v>
      </c>
      <c r="D37" s="69"/>
      <c r="E37" s="18"/>
      <c r="F37" s="18"/>
      <c r="G37" s="19"/>
      <c r="H37" s="135"/>
      <c r="I37" s="21">
        <f t="shared" si="3"/>
        <v>0</v>
      </c>
      <c r="J37" s="21"/>
      <c r="K37" s="16"/>
      <c r="L37" s="21"/>
      <c r="M37" s="21"/>
      <c r="N37" s="21"/>
      <c r="O37" s="21"/>
      <c r="P37" s="21"/>
      <c r="Q37" s="21"/>
      <c r="R37" s="21"/>
      <c r="S37" s="21"/>
      <c r="T37" s="42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7"/>
      <c r="AK37" s="54"/>
      <c r="AL37" s="65">
        <f t="shared" si="4"/>
        <v>0</v>
      </c>
      <c r="AM37" s="22" t="str">
        <f t="shared" si="2"/>
        <v>OK</v>
      </c>
    </row>
    <row r="38" spans="1:39" customFormat="1">
      <c r="A38" s="68" t="s">
        <v>78</v>
      </c>
      <c r="B38" s="78">
        <v>10131</v>
      </c>
      <c r="C38" s="23" t="s">
        <v>56</v>
      </c>
      <c r="D38" s="24"/>
      <c r="E38" s="24"/>
      <c r="F38" s="24"/>
      <c r="G38" s="25"/>
      <c r="H38" s="136"/>
      <c r="I38" s="27">
        <f t="shared" si="3"/>
        <v>0</v>
      </c>
      <c r="J38" s="27"/>
      <c r="K38" s="16"/>
      <c r="L38" s="27"/>
      <c r="M38" s="27"/>
      <c r="N38" s="27"/>
      <c r="O38" s="27"/>
      <c r="P38" s="27"/>
      <c r="Q38" s="27"/>
      <c r="R38" s="27"/>
      <c r="S38" s="27"/>
      <c r="T38" s="43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5"/>
      <c r="AJ38" s="58"/>
      <c r="AK38" s="55"/>
      <c r="AL38" s="66">
        <f t="shared" ref="AL38:AL50" si="5">SUM(L38:AK38)</f>
        <v>0</v>
      </c>
      <c r="AM38" s="28" t="str">
        <f t="shared" si="2"/>
        <v>OK</v>
      </c>
    </row>
    <row r="39" spans="1:39" customFormat="1">
      <c r="A39" s="17" t="s">
        <v>79</v>
      </c>
      <c r="B39" s="77">
        <v>10129</v>
      </c>
      <c r="C39" s="17" t="s">
        <v>57</v>
      </c>
      <c r="D39" s="69"/>
      <c r="E39" s="18"/>
      <c r="F39" s="18"/>
      <c r="G39" s="19"/>
      <c r="H39" s="135"/>
      <c r="I39" s="21">
        <f t="shared" si="3"/>
        <v>0</v>
      </c>
      <c r="J39" s="21"/>
      <c r="K39" s="16"/>
      <c r="L39" s="21"/>
      <c r="M39" s="21"/>
      <c r="N39" s="21"/>
      <c r="O39" s="21"/>
      <c r="P39" s="21"/>
      <c r="Q39" s="21"/>
      <c r="R39" s="21"/>
      <c r="S39" s="21"/>
      <c r="T39" s="42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4"/>
      <c r="AJ39" s="57"/>
      <c r="AK39" s="54"/>
      <c r="AL39" s="65">
        <f t="shared" si="5"/>
        <v>0</v>
      </c>
      <c r="AM39" s="22" t="str">
        <f t="shared" si="2"/>
        <v>OK</v>
      </c>
    </row>
    <row r="40" spans="1:39" customFormat="1">
      <c r="A40" s="68" t="s">
        <v>80</v>
      </c>
      <c r="B40" s="78">
        <v>10127</v>
      </c>
      <c r="C40" s="23" t="s">
        <v>58</v>
      </c>
      <c r="D40" s="24"/>
      <c r="E40" s="24"/>
      <c r="F40" s="24"/>
      <c r="G40" s="25"/>
      <c r="H40" s="136"/>
      <c r="I40" s="27">
        <f t="shared" si="3"/>
        <v>0</v>
      </c>
      <c r="J40" s="27"/>
      <c r="K40" s="16"/>
      <c r="L40" s="27"/>
      <c r="M40" s="27"/>
      <c r="N40" s="27"/>
      <c r="O40" s="27"/>
      <c r="P40" s="27"/>
      <c r="Q40" s="27"/>
      <c r="R40" s="27"/>
      <c r="S40" s="27"/>
      <c r="T40" s="43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5"/>
      <c r="AJ40" s="58"/>
      <c r="AK40" s="55"/>
      <c r="AL40" s="66">
        <f t="shared" si="5"/>
        <v>0</v>
      </c>
      <c r="AM40" s="28" t="str">
        <f t="shared" si="2"/>
        <v>OK</v>
      </c>
    </row>
    <row r="41" spans="1:39" customFormat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135"/>
      <c r="I41" s="21">
        <f t="shared" si="3"/>
        <v>0</v>
      </c>
      <c r="J41" s="21"/>
      <c r="K41" s="16"/>
      <c r="L41" s="21"/>
      <c r="M41" s="21"/>
      <c r="N41" s="21"/>
      <c r="O41" s="21"/>
      <c r="P41" s="21"/>
      <c r="Q41" s="21"/>
      <c r="R41" s="21"/>
      <c r="S41" s="21"/>
      <c r="T41" s="4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4"/>
      <c r="AJ41" s="57"/>
      <c r="AK41" s="54"/>
      <c r="AL41" s="65">
        <f t="shared" si="5"/>
        <v>0</v>
      </c>
      <c r="AM41" s="22" t="str">
        <f t="shared" si="2"/>
        <v>OK</v>
      </c>
    </row>
    <row r="42" spans="1:39" customFormat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136"/>
      <c r="I42" s="27">
        <f t="shared" si="3"/>
        <v>0</v>
      </c>
      <c r="J42" s="27"/>
      <c r="K42" s="16"/>
      <c r="L42" s="27"/>
      <c r="M42" s="27"/>
      <c r="N42" s="27"/>
      <c r="O42" s="27"/>
      <c r="P42" s="27"/>
      <c r="Q42" s="27"/>
      <c r="R42" s="27"/>
      <c r="S42" s="27"/>
      <c r="T42" s="43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5"/>
      <c r="AJ42" s="58"/>
      <c r="AK42" s="55"/>
      <c r="AL42" s="66">
        <f t="shared" si="5"/>
        <v>0</v>
      </c>
      <c r="AM42" s="28" t="str">
        <f t="shared" si="2"/>
        <v>OK</v>
      </c>
    </row>
    <row r="43" spans="1:39" customFormat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135"/>
      <c r="I43" s="21">
        <f t="shared" si="3"/>
        <v>0</v>
      </c>
      <c r="J43" s="21"/>
      <c r="K43" s="16"/>
      <c r="L43" s="21"/>
      <c r="M43" s="21"/>
      <c r="N43" s="21"/>
      <c r="O43" s="21"/>
      <c r="P43" s="21"/>
      <c r="Q43" s="21"/>
      <c r="R43" s="21"/>
      <c r="S43" s="21"/>
      <c r="T43" s="42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4"/>
      <c r="AJ43" s="57"/>
      <c r="AK43" s="54"/>
      <c r="AL43" s="65">
        <f t="shared" si="5"/>
        <v>0</v>
      </c>
      <c r="AM43" s="22" t="str">
        <f t="shared" si="2"/>
        <v>OK</v>
      </c>
    </row>
    <row r="44" spans="1:39" customFormat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136"/>
      <c r="I44" s="27">
        <f t="shared" si="3"/>
        <v>0</v>
      </c>
      <c r="J44" s="27"/>
      <c r="K44" s="16"/>
      <c r="L44" s="27"/>
      <c r="M44" s="27"/>
      <c r="N44" s="27"/>
      <c r="O44" s="27"/>
      <c r="P44" s="27"/>
      <c r="Q44" s="27"/>
      <c r="R44" s="27"/>
      <c r="S44" s="27"/>
      <c r="T44" s="43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5"/>
      <c r="AJ44" s="58"/>
      <c r="AK44" s="55"/>
      <c r="AL44" s="66">
        <f t="shared" si="5"/>
        <v>0</v>
      </c>
      <c r="AM44" s="28" t="str">
        <f t="shared" si="2"/>
        <v>OK</v>
      </c>
    </row>
    <row r="45" spans="1:39" customFormat="1">
      <c r="A45" s="17" t="s">
        <v>107</v>
      </c>
      <c r="B45" s="77">
        <v>13467</v>
      </c>
      <c r="C45" s="17" t="s">
        <v>87</v>
      </c>
      <c r="D45" s="69"/>
      <c r="E45" s="18"/>
      <c r="F45" s="18"/>
      <c r="G45" s="19"/>
      <c r="H45" s="135"/>
      <c r="I45" s="21">
        <f t="shared" si="3"/>
        <v>0</v>
      </c>
      <c r="J45" s="21"/>
      <c r="K45" s="16"/>
      <c r="L45" s="21"/>
      <c r="M45" s="21"/>
      <c r="N45" s="21"/>
      <c r="O45" s="21"/>
      <c r="P45" s="21"/>
      <c r="Q45" s="21"/>
      <c r="R45" s="21"/>
      <c r="S45" s="21"/>
      <c r="T45" s="4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7"/>
      <c r="AJ45" s="57"/>
      <c r="AK45" s="54"/>
      <c r="AL45" s="65">
        <f t="shared" si="5"/>
        <v>0</v>
      </c>
      <c r="AM45" s="22" t="str">
        <f t="shared" si="2"/>
        <v>OK</v>
      </c>
    </row>
    <row r="46" spans="1:39" customFormat="1">
      <c r="A46" s="68" t="s">
        <v>111</v>
      </c>
      <c r="B46" s="78">
        <v>15948</v>
      </c>
      <c r="C46" s="23" t="s">
        <v>87</v>
      </c>
      <c r="D46" s="24"/>
      <c r="E46" s="24"/>
      <c r="F46" s="24"/>
      <c r="G46" s="25"/>
      <c r="H46" s="136"/>
      <c r="I46" s="27">
        <f t="shared" si="3"/>
        <v>0</v>
      </c>
      <c r="J46" s="27"/>
      <c r="K46" s="16"/>
      <c r="L46" s="27"/>
      <c r="M46" s="27"/>
      <c r="N46" s="27"/>
      <c r="O46" s="27"/>
      <c r="P46" s="27"/>
      <c r="Q46" s="27"/>
      <c r="R46" s="27"/>
      <c r="S46" s="27"/>
      <c r="T46" s="43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5"/>
      <c r="AJ46" s="58"/>
      <c r="AK46" s="55"/>
      <c r="AL46" s="66">
        <f t="shared" si="5"/>
        <v>0</v>
      </c>
      <c r="AM46" s="28" t="str">
        <f t="shared" si="2"/>
        <v>OK</v>
      </c>
    </row>
    <row r="47" spans="1:39" customFormat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135"/>
      <c r="I47" s="21">
        <f t="shared" si="3"/>
        <v>0</v>
      </c>
      <c r="J47" s="21"/>
      <c r="K47" s="16"/>
      <c r="L47" s="21"/>
      <c r="M47" s="21"/>
      <c r="N47" s="21"/>
      <c r="O47" s="21"/>
      <c r="P47" s="21"/>
      <c r="Q47" s="21"/>
      <c r="R47" s="21"/>
      <c r="S47" s="21"/>
      <c r="T47" s="42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7"/>
      <c r="AJ47" s="57"/>
      <c r="AK47" s="54"/>
      <c r="AL47" s="65">
        <f t="shared" si="5"/>
        <v>0</v>
      </c>
      <c r="AM47" s="22" t="str">
        <f t="shared" si="2"/>
        <v>OK</v>
      </c>
    </row>
    <row r="48" spans="1:39" customFormat="1">
      <c r="A48" s="68" t="s">
        <v>121</v>
      </c>
      <c r="B48" s="78">
        <v>16598</v>
      </c>
      <c r="C48" s="23" t="s">
        <v>87</v>
      </c>
      <c r="D48" s="24"/>
      <c r="E48" s="24"/>
      <c r="F48" s="24"/>
      <c r="G48" s="25"/>
      <c r="H48" s="136"/>
      <c r="I48" s="27">
        <f t="shared" si="3"/>
        <v>0</v>
      </c>
      <c r="J48" s="27"/>
      <c r="K48" s="16"/>
      <c r="L48" s="27"/>
      <c r="M48" s="27"/>
      <c r="N48" s="27"/>
      <c r="O48" s="27"/>
      <c r="P48" s="27"/>
      <c r="Q48" s="27"/>
      <c r="R48" s="27"/>
      <c r="S48" s="27"/>
      <c r="T48" s="43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5"/>
      <c r="AJ48" s="58"/>
      <c r="AK48" s="55"/>
      <c r="AL48" s="66">
        <f t="shared" si="5"/>
        <v>0</v>
      </c>
      <c r="AM48" s="28" t="str">
        <f t="shared" si="2"/>
        <v>OK</v>
      </c>
    </row>
    <row r="49" spans="1:39" customFormat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135"/>
      <c r="I49" s="21">
        <f t="shared" si="3"/>
        <v>0</v>
      </c>
      <c r="J49" s="21"/>
      <c r="K49" s="16"/>
      <c r="L49" s="21"/>
      <c r="M49" s="21"/>
      <c r="N49" s="21"/>
      <c r="O49" s="21"/>
      <c r="P49" s="21"/>
      <c r="Q49" s="21"/>
      <c r="R49" s="21"/>
      <c r="S49" s="21"/>
      <c r="T49" s="4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4"/>
      <c r="AJ49" s="57"/>
      <c r="AK49" s="54"/>
      <c r="AL49" s="65">
        <f t="shared" si="5"/>
        <v>0</v>
      </c>
      <c r="AM49" s="22" t="str">
        <f t="shared" si="2"/>
        <v>OK</v>
      </c>
    </row>
    <row r="50" spans="1:39" customFormat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136"/>
      <c r="I50" s="27">
        <f t="shared" si="3"/>
        <v>0</v>
      </c>
      <c r="J50" s="27"/>
      <c r="K50" s="16"/>
      <c r="L50" s="27"/>
      <c r="M50" s="27"/>
      <c r="N50" s="27"/>
      <c r="O50" s="27"/>
      <c r="P50" s="27"/>
      <c r="Q50" s="27"/>
      <c r="R50" s="27"/>
      <c r="S50" s="27"/>
      <c r="T50" s="43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8"/>
      <c r="AK50" s="55"/>
      <c r="AL50" s="66">
        <f t="shared" si="5"/>
        <v>0</v>
      </c>
      <c r="AM50" s="28" t="str">
        <f t="shared" si="2"/>
        <v>OK</v>
      </c>
    </row>
    <row r="51" spans="1:39" customFormat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135"/>
      <c r="I51" s="21">
        <f t="shared" si="3"/>
        <v>0</v>
      </c>
      <c r="J51" s="21"/>
      <c r="K51" s="16"/>
      <c r="L51" s="21"/>
      <c r="M51" s="21"/>
      <c r="N51" s="21"/>
      <c r="O51" s="21"/>
      <c r="P51" s="21"/>
      <c r="Q51" s="21"/>
      <c r="R51" s="21"/>
      <c r="S51" s="21"/>
      <c r="T51" s="4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4"/>
      <c r="AJ51" s="57"/>
      <c r="AK51" s="54"/>
      <c r="AL51" s="65">
        <f>SUM(L51:AK51)</f>
        <v>0</v>
      </c>
      <c r="AM51" s="22" t="str">
        <f t="shared" si="2"/>
        <v>OK</v>
      </c>
    </row>
    <row r="52" spans="1:39" customFormat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136"/>
      <c r="I52" s="27">
        <f t="shared" si="3"/>
        <v>0</v>
      </c>
      <c r="J52" s="27"/>
      <c r="K52" s="16"/>
      <c r="L52" s="27"/>
      <c r="M52" s="27"/>
      <c r="N52" s="27"/>
      <c r="O52" s="27"/>
      <c r="P52" s="27"/>
      <c r="Q52" s="27"/>
      <c r="R52" s="27"/>
      <c r="S52" s="27"/>
      <c r="T52" s="43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5"/>
      <c r="AJ52" s="58"/>
      <c r="AK52" s="55"/>
      <c r="AL52" s="66">
        <f t="shared" ref="AL52:AL64" si="6">SUM(L52:AK52)</f>
        <v>0</v>
      </c>
      <c r="AM52" s="28" t="str">
        <f t="shared" si="2"/>
        <v>OK</v>
      </c>
    </row>
    <row r="53" spans="1:39" customFormat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135"/>
      <c r="I53" s="21">
        <f t="shared" si="3"/>
        <v>0</v>
      </c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42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4"/>
      <c r="AJ53" s="57"/>
      <c r="AK53" s="54"/>
      <c r="AL53" s="65">
        <f t="shared" si="6"/>
        <v>0</v>
      </c>
      <c r="AM53" s="22" t="str">
        <f t="shared" si="2"/>
        <v>OK</v>
      </c>
    </row>
    <row r="54" spans="1:39" customFormat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136"/>
      <c r="I54" s="27">
        <f t="shared" si="3"/>
        <v>0</v>
      </c>
      <c r="J54" s="27"/>
      <c r="K54" s="16"/>
      <c r="L54" s="27"/>
      <c r="M54" s="27"/>
      <c r="N54" s="27"/>
      <c r="O54" s="27"/>
      <c r="P54" s="27"/>
      <c r="Q54" s="27"/>
      <c r="R54" s="27"/>
      <c r="S54" s="27"/>
      <c r="T54" s="43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5"/>
      <c r="AJ54" s="58"/>
      <c r="AK54" s="55"/>
      <c r="AL54" s="66">
        <f t="shared" si="6"/>
        <v>0</v>
      </c>
      <c r="AM54" s="28" t="str">
        <f t="shared" si="2"/>
        <v>OK</v>
      </c>
    </row>
    <row r="55" spans="1:39" customFormat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135"/>
      <c r="I55" s="21">
        <f t="shared" si="3"/>
        <v>0</v>
      </c>
      <c r="J55" s="21"/>
      <c r="K55" s="16"/>
      <c r="L55" s="21"/>
      <c r="M55" s="21"/>
      <c r="N55" s="21"/>
      <c r="O55" s="21"/>
      <c r="P55" s="21"/>
      <c r="Q55" s="21"/>
      <c r="R55" s="21"/>
      <c r="S55" s="21"/>
      <c r="T55" s="42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4"/>
      <c r="AJ55" s="57"/>
      <c r="AK55" s="54"/>
      <c r="AL55" s="65">
        <f t="shared" si="6"/>
        <v>0</v>
      </c>
      <c r="AM55" s="22" t="str">
        <f t="shared" si="2"/>
        <v>OK</v>
      </c>
    </row>
    <row r="56" spans="1:39" customFormat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136"/>
      <c r="I56" s="27">
        <f t="shared" si="3"/>
        <v>0</v>
      </c>
      <c r="J56" s="27"/>
      <c r="K56" s="16"/>
      <c r="L56" s="27"/>
      <c r="M56" s="27"/>
      <c r="N56" s="27"/>
      <c r="O56" s="27"/>
      <c r="P56" s="27"/>
      <c r="Q56" s="27"/>
      <c r="R56" s="27"/>
      <c r="S56" s="27"/>
      <c r="T56" s="43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5"/>
      <c r="AJ56" s="58"/>
      <c r="AK56" s="55"/>
      <c r="AL56" s="66">
        <f t="shared" si="6"/>
        <v>0</v>
      </c>
      <c r="AM56" s="28" t="str">
        <f t="shared" si="2"/>
        <v>OK</v>
      </c>
    </row>
    <row r="57" spans="1:39" customFormat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135"/>
      <c r="I57" s="21">
        <f t="shared" si="3"/>
        <v>0</v>
      </c>
      <c r="J57" s="21"/>
      <c r="K57" s="16"/>
      <c r="L57" s="21"/>
      <c r="M57" s="21"/>
      <c r="N57" s="21"/>
      <c r="O57" s="21"/>
      <c r="P57" s="21"/>
      <c r="Q57" s="21"/>
      <c r="R57" s="21"/>
      <c r="S57" s="21"/>
      <c r="T57" s="42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4"/>
      <c r="AJ57" s="57"/>
      <c r="AK57" s="54"/>
      <c r="AL57" s="65">
        <f t="shared" si="6"/>
        <v>0</v>
      </c>
      <c r="AM57" s="22" t="str">
        <f t="shared" si="2"/>
        <v>OK</v>
      </c>
    </row>
    <row r="58" spans="1:39" customFormat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136"/>
      <c r="I58" s="27">
        <f t="shared" si="3"/>
        <v>0</v>
      </c>
      <c r="J58" s="27"/>
      <c r="K58" s="16"/>
      <c r="L58" s="27"/>
      <c r="M58" s="27"/>
      <c r="N58" s="27"/>
      <c r="O58" s="27"/>
      <c r="P58" s="27"/>
      <c r="Q58" s="27"/>
      <c r="R58" s="27"/>
      <c r="S58" s="27"/>
      <c r="T58" s="43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5"/>
      <c r="AJ58" s="58"/>
      <c r="AK58" s="55"/>
      <c r="AL58" s="66">
        <f t="shared" si="6"/>
        <v>0</v>
      </c>
      <c r="AM58" s="28" t="str">
        <f t="shared" si="2"/>
        <v>OK</v>
      </c>
    </row>
    <row r="59" spans="1:39" customFormat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135"/>
      <c r="I59" s="21">
        <f t="shared" si="3"/>
        <v>0</v>
      </c>
      <c r="J59" s="21"/>
      <c r="K59" s="16"/>
      <c r="L59" s="21"/>
      <c r="M59" s="21"/>
      <c r="N59" s="21"/>
      <c r="O59" s="21"/>
      <c r="P59" s="21"/>
      <c r="Q59" s="21"/>
      <c r="R59" s="21"/>
      <c r="S59" s="21"/>
      <c r="T59" s="4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4"/>
      <c r="AJ59" s="57"/>
      <c r="AK59" s="54"/>
      <c r="AL59" s="65">
        <f t="shared" si="6"/>
        <v>0</v>
      </c>
      <c r="AM59" s="22" t="str">
        <f t="shared" si="2"/>
        <v>OK</v>
      </c>
    </row>
    <row r="60" spans="1:39" customFormat="1">
      <c r="A60" s="68" t="s">
        <v>84</v>
      </c>
      <c r="B60" s="78">
        <v>11380</v>
      </c>
      <c r="C60" s="23" t="s">
        <v>60</v>
      </c>
      <c r="D60" s="24"/>
      <c r="E60" s="24"/>
      <c r="F60" s="24"/>
      <c r="G60" s="25"/>
      <c r="H60" s="136"/>
      <c r="I60" s="27">
        <f t="shared" si="3"/>
        <v>0</v>
      </c>
      <c r="J60" s="27"/>
      <c r="K60" s="16"/>
      <c r="L60" s="27"/>
      <c r="M60" s="27"/>
      <c r="N60" s="27"/>
      <c r="O60" s="27"/>
      <c r="P60" s="27"/>
      <c r="Q60" s="27"/>
      <c r="R60" s="27"/>
      <c r="S60" s="27"/>
      <c r="T60" s="43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5"/>
      <c r="AJ60" s="58"/>
      <c r="AK60" s="55"/>
      <c r="AL60" s="66">
        <f t="shared" si="6"/>
        <v>0</v>
      </c>
      <c r="AM60" s="28" t="str">
        <f t="shared" si="2"/>
        <v>OK</v>
      </c>
    </row>
    <row r="61" spans="1:39" customFormat="1">
      <c r="A61" s="80" t="s">
        <v>112</v>
      </c>
      <c r="B61" s="77">
        <v>18518</v>
      </c>
      <c r="C61" s="17" t="s">
        <v>87</v>
      </c>
      <c r="D61" s="69"/>
      <c r="E61" s="18"/>
      <c r="F61" s="18"/>
      <c r="G61" s="19"/>
      <c r="H61" s="135"/>
      <c r="I61" s="21">
        <f t="shared" si="3"/>
        <v>0</v>
      </c>
      <c r="J61" s="21"/>
      <c r="K61" s="16"/>
      <c r="L61" s="21"/>
      <c r="M61" s="21"/>
      <c r="N61" s="21"/>
      <c r="O61" s="21"/>
      <c r="P61" s="21"/>
      <c r="Q61" s="21"/>
      <c r="R61" s="21"/>
      <c r="S61" s="21"/>
      <c r="T61" s="4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4"/>
      <c r="AJ61" s="57"/>
      <c r="AK61" s="54"/>
      <c r="AL61" s="65">
        <f t="shared" si="6"/>
        <v>0</v>
      </c>
      <c r="AM61" s="22" t="str">
        <f t="shared" si="2"/>
        <v>OK</v>
      </c>
    </row>
    <row r="62" spans="1:39" customFormat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136"/>
      <c r="I62" s="27">
        <f t="shared" si="3"/>
        <v>0</v>
      </c>
      <c r="J62" s="27"/>
      <c r="K62" s="16"/>
      <c r="L62" s="27"/>
      <c r="M62" s="27"/>
      <c r="N62" s="27"/>
      <c r="O62" s="27"/>
      <c r="P62" s="27"/>
      <c r="Q62" s="27"/>
      <c r="R62" s="27"/>
      <c r="S62" s="27"/>
      <c r="T62" s="43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5"/>
      <c r="AJ62" s="58"/>
      <c r="AK62" s="55"/>
      <c r="AL62" s="66">
        <f t="shared" si="6"/>
        <v>0</v>
      </c>
      <c r="AM62" s="28" t="str">
        <f t="shared" si="2"/>
        <v>OK</v>
      </c>
    </row>
    <row r="63" spans="1:39" customFormat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135"/>
      <c r="I63" s="21">
        <f t="shared" si="3"/>
        <v>0</v>
      </c>
      <c r="J63" s="21"/>
      <c r="K63" s="16"/>
      <c r="L63" s="21"/>
      <c r="M63" s="21"/>
      <c r="N63" s="21"/>
      <c r="O63" s="21"/>
      <c r="P63" s="21"/>
      <c r="Q63" s="21"/>
      <c r="R63" s="21"/>
      <c r="S63" s="21"/>
      <c r="T63" s="4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4"/>
      <c r="AJ63" s="57"/>
      <c r="AK63" s="54"/>
      <c r="AL63" s="65">
        <f t="shared" si="6"/>
        <v>0</v>
      </c>
      <c r="AM63" s="22" t="str">
        <f t="shared" si="2"/>
        <v>OK</v>
      </c>
    </row>
    <row r="64" spans="1:39" customFormat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136"/>
      <c r="I64" s="27">
        <f t="shared" si="3"/>
        <v>0</v>
      </c>
      <c r="J64" s="27"/>
      <c r="K64" s="16"/>
      <c r="L64" s="27"/>
      <c r="M64" s="27"/>
      <c r="N64" s="27"/>
      <c r="O64" s="27"/>
      <c r="P64" s="27"/>
      <c r="Q64" s="27"/>
      <c r="R64" s="27"/>
      <c r="S64" s="27"/>
      <c r="T64" s="43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5"/>
      <c r="AJ64" s="58"/>
      <c r="AK64" s="55"/>
      <c r="AL64" s="66">
        <f t="shared" si="6"/>
        <v>0</v>
      </c>
      <c r="AM64" s="28" t="str">
        <f t="shared" si="2"/>
        <v>OK</v>
      </c>
    </row>
    <row r="65" spans="1:39" customFormat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135"/>
      <c r="I65" s="21">
        <f t="shared" si="3"/>
        <v>0</v>
      </c>
      <c r="J65" s="21"/>
      <c r="K65" s="16"/>
      <c r="L65" s="21"/>
      <c r="M65" s="21"/>
      <c r="N65" s="21"/>
      <c r="O65" s="21"/>
      <c r="P65" s="21"/>
      <c r="Q65" s="21"/>
      <c r="R65" s="21"/>
      <c r="S65" s="21"/>
      <c r="T65" s="4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4"/>
      <c r="AJ65" s="57"/>
      <c r="AK65" s="54"/>
      <c r="AL65" s="65">
        <f t="shared" si="4"/>
        <v>0</v>
      </c>
      <c r="AM65" s="22" t="str">
        <f t="shared" si="2"/>
        <v>OK</v>
      </c>
    </row>
    <row r="66" spans="1:39" customFormat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136"/>
      <c r="I66" s="27">
        <f t="shared" si="3"/>
        <v>0</v>
      </c>
      <c r="J66" s="27"/>
      <c r="K66" s="16"/>
      <c r="L66" s="27"/>
      <c r="M66" s="27"/>
      <c r="N66" s="27"/>
      <c r="O66" s="27"/>
      <c r="P66" s="27"/>
      <c r="Q66" s="27"/>
      <c r="R66" s="27"/>
      <c r="S66" s="27"/>
      <c r="T66" s="43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5"/>
      <c r="AJ66" s="58"/>
      <c r="AK66" s="55"/>
      <c r="AL66" s="66">
        <f t="shared" si="4"/>
        <v>0</v>
      </c>
      <c r="AM66" s="28" t="str">
        <f t="shared" si="2"/>
        <v>OK</v>
      </c>
    </row>
    <row r="67" spans="1:39" customFormat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135"/>
      <c r="I67" s="21">
        <f t="shared" si="3"/>
        <v>0</v>
      </c>
      <c r="J67" s="21"/>
      <c r="K67" s="16"/>
      <c r="L67" s="21"/>
      <c r="M67" s="21"/>
      <c r="N67" s="21"/>
      <c r="O67" s="21"/>
      <c r="P67" s="21"/>
      <c r="Q67" s="21"/>
      <c r="R67" s="21"/>
      <c r="S67" s="21"/>
      <c r="T67" s="4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4"/>
      <c r="AJ67" s="57"/>
      <c r="AK67" s="54"/>
      <c r="AL67" s="65">
        <f t="shared" si="4"/>
        <v>0</v>
      </c>
      <c r="AM67" s="22" t="str">
        <f t="shared" si="2"/>
        <v>OK</v>
      </c>
    </row>
    <row r="68" spans="1:39" customFormat="1">
      <c r="A68" s="81" t="s">
        <v>132</v>
      </c>
      <c r="B68" s="78">
        <v>20269</v>
      </c>
      <c r="C68" s="23" t="s">
        <v>131</v>
      </c>
      <c r="D68" s="24"/>
      <c r="E68" s="24"/>
      <c r="F68" s="24"/>
      <c r="G68" s="25"/>
      <c r="H68" s="136"/>
      <c r="I68" s="27">
        <f t="shared" si="3"/>
        <v>0</v>
      </c>
      <c r="J68" s="27"/>
      <c r="K68" s="16"/>
      <c r="L68" s="27"/>
      <c r="M68" s="27"/>
      <c r="N68" s="27"/>
      <c r="O68" s="27"/>
      <c r="P68" s="27"/>
      <c r="Q68" s="27"/>
      <c r="R68" s="27"/>
      <c r="S68" s="27"/>
      <c r="T68" s="43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5"/>
      <c r="AJ68" s="58"/>
      <c r="AK68" s="55"/>
      <c r="AL68" s="66">
        <f t="shared" si="4"/>
        <v>0</v>
      </c>
      <c r="AM68" s="28" t="str">
        <f t="shared" si="2"/>
        <v>OK</v>
      </c>
    </row>
    <row r="69" spans="1:39" customFormat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135"/>
      <c r="I69" s="21">
        <f t="shared" si="3"/>
        <v>0</v>
      </c>
      <c r="J69" s="21"/>
      <c r="K69" s="16"/>
      <c r="L69" s="21"/>
      <c r="M69" s="21"/>
      <c r="N69" s="21"/>
      <c r="O69" s="21"/>
      <c r="P69" s="21"/>
      <c r="Q69" s="21"/>
      <c r="R69" s="21"/>
      <c r="S69" s="21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7"/>
      <c r="AK69" s="54"/>
      <c r="AL69" s="65">
        <f t="shared" si="4"/>
        <v>0</v>
      </c>
      <c r="AM69" s="22" t="str">
        <f t="shared" si="2"/>
        <v>OK</v>
      </c>
    </row>
    <row r="70" spans="1:39" customFormat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136"/>
      <c r="I70" s="27">
        <f t="shared" si="3"/>
        <v>0</v>
      </c>
      <c r="J70" s="27"/>
      <c r="K70" s="16"/>
      <c r="L70" s="27"/>
      <c r="M70" s="27"/>
      <c r="N70" s="27"/>
      <c r="O70" s="27"/>
      <c r="P70" s="27"/>
      <c r="Q70" s="27"/>
      <c r="R70" s="27"/>
      <c r="S70" s="27"/>
      <c r="T70" s="43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5"/>
      <c r="AJ70" s="58"/>
      <c r="AK70" s="55"/>
      <c r="AL70" s="66">
        <f t="shared" si="4"/>
        <v>0</v>
      </c>
      <c r="AM70" s="28" t="str">
        <f t="shared" si="2"/>
        <v>OK</v>
      </c>
    </row>
    <row r="71" spans="1:39" customFormat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135"/>
      <c r="I71" s="21">
        <f t="shared" ref="I71:I96" si="7">SUM(L71:AK71)</f>
        <v>0</v>
      </c>
      <c r="J71" s="21"/>
      <c r="K71" s="16"/>
      <c r="L71" s="21"/>
      <c r="M71" s="21"/>
      <c r="N71" s="21"/>
      <c r="O71" s="21"/>
      <c r="P71" s="21"/>
      <c r="Q71" s="21"/>
      <c r="R71" s="21"/>
      <c r="S71" s="21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4"/>
      <c r="AJ71" s="57"/>
      <c r="AK71" s="54"/>
      <c r="AL71" s="65">
        <f t="shared" si="4"/>
        <v>0</v>
      </c>
      <c r="AM71" s="22" t="str">
        <f t="shared" si="2"/>
        <v>OK</v>
      </c>
    </row>
    <row r="72" spans="1:39" customFormat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136"/>
      <c r="I72" s="27">
        <f t="shared" si="7"/>
        <v>0</v>
      </c>
      <c r="J72" s="27"/>
      <c r="K72" s="16"/>
      <c r="L72" s="27"/>
      <c r="M72" s="27"/>
      <c r="N72" s="27"/>
      <c r="O72" s="27"/>
      <c r="P72" s="27"/>
      <c r="Q72" s="27"/>
      <c r="R72" s="27"/>
      <c r="S72" s="27"/>
      <c r="T72" s="43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5"/>
      <c r="AJ72" s="58"/>
      <c r="AK72" s="55"/>
      <c r="AL72" s="66">
        <f t="shared" si="4"/>
        <v>0</v>
      </c>
      <c r="AM72" s="28" t="str">
        <f t="shared" si="2"/>
        <v>OK</v>
      </c>
    </row>
    <row r="73" spans="1:39" customFormat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138"/>
      <c r="I73" s="101">
        <f t="shared" si="7"/>
        <v>0</v>
      </c>
      <c r="J73" s="21"/>
      <c r="K73" s="16"/>
      <c r="L73" s="21"/>
      <c r="M73" s="21"/>
      <c r="N73" s="21"/>
      <c r="O73" s="21"/>
      <c r="P73" s="21"/>
      <c r="Q73" s="21"/>
      <c r="R73" s="21"/>
      <c r="S73" s="21"/>
      <c r="T73" s="42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4"/>
      <c r="AJ73" s="57"/>
      <c r="AK73" s="54"/>
      <c r="AL73" s="65">
        <f t="shared" si="4"/>
        <v>0</v>
      </c>
      <c r="AM73" s="22" t="str">
        <f t="shared" si="2"/>
        <v>OK</v>
      </c>
    </row>
    <row r="74" spans="1:39" customFormat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139"/>
      <c r="I74" s="103">
        <f t="shared" si="7"/>
        <v>0</v>
      </c>
      <c r="J74" s="27"/>
      <c r="K74" s="16"/>
      <c r="L74" s="100"/>
      <c r="M74" s="100"/>
      <c r="N74" s="100"/>
      <c r="O74" s="100"/>
      <c r="P74" s="100"/>
      <c r="Q74" s="100"/>
      <c r="R74" s="100"/>
      <c r="S74" s="100"/>
      <c r="T74" s="109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1"/>
      <c r="AJ74" s="112"/>
      <c r="AK74" s="111"/>
      <c r="AL74" s="66">
        <f t="shared" si="4"/>
        <v>0</v>
      </c>
      <c r="AM74" s="28" t="str">
        <f t="shared" si="2"/>
        <v>OK</v>
      </c>
    </row>
    <row r="75" spans="1:39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40"/>
      <c r="I75" s="105">
        <f t="shared" si="7"/>
        <v>0</v>
      </c>
      <c r="J75" s="90"/>
      <c r="K75" s="91"/>
      <c r="L75" s="113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5"/>
      <c r="AL75" s="92">
        <f t="shared" ref="AL75:AL80" si="8">SUM(L75:AK75)</f>
        <v>0</v>
      </c>
      <c r="AM75" s="122" t="str">
        <f t="shared" ref="AM75:AM96" si="9">IF(AL75=I75,"OK","NG")</f>
        <v>OK</v>
      </c>
    </row>
    <row r="76" spans="1:39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139"/>
      <c r="I76" s="106">
        <f t="shared" si="7"/>
        <v>0</v>
      </c>
      <c r="J76" s="85"/>
      <c r="K76" s="16"/>
      <c r="L76" s="1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8"/>
      <c r="AL76" s="66">
        <f t="shared" si="8"/>
        <v>0</v>
      </c>
      <c r="AM76" s="28" t="str">
        <f t="shared" si="9"/>
        <v>OK</v>
      </c>
    </row>
    <row r="77" spans="1:39">
      <c r="A77" s="87" t="s">
        <v>165</v>
      </c>
      <c r="B77" s="93">
        <v>13007</v>
      </c>
      <c r="C77" s="94" t="s">
        <v>164</v>
      </c>
      <c r="D77" s="88"/>
      <c r="E77" s="88"/>
      <c r="F77" s="88"/>
      <c r="G77" s="89"/>
      <c r="H77" s="104"/>
      <c r="I77" s="105">
        <f t="shared" si="7"/>
        <v>0</v>
      </c>
      <c r="J77" s="90"/>
      <c r="K77" s="91"/>
      <c r="L77" s="113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5"/>
      <c r="AL77" s="92">
        <f t="shared" si="8"/>
        <v>0</v>
      </c>
      <c r="AM77" s="122" t="str">
        <f t="shared" si="9"/>
        <v>OK</v>
      </c>
    </row>
    <row r="78" spans="1:39">
      <c r="A78" s="68"/>
      <c r="B78" s="78"/>
      <c r="C78" s="95"/>
      <c r="D78" s="83"/>
      <c r="E78" s="83"/>
      <c r="F78" s="83"/>
      <c r="G78" s="84"/>
      <c r="H78" s="102"/>
      <c r="I78" s="106">
        <f t="shared" si="7"/>
        <v>0</v>
      </c>
      <c r="J78" s="85"/>
      <c r="K78" s="16"/>
      <c r="L78" s="1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66">
        <f t="shared" si="8"/>
        <v>0</v>
      </c>
      <c r="AM78" s="28" t="str">
        <f t="shared" si="9"/>
        <v>OK</v>
      </c>
    </row>
    <row r="79" spans="1:39">
      <c r="A79" s="87"/>
      <c r="B79" s="93"/>
      <c r="C79" s="94"/>
      <c r="D79" s="88"/>
      <c r="E79" s="88"/>
      <c r="F79" s="88"/>
      <c r="G79" s="89"/>
      <c r="H79" s="104"/>
      <c r="I79" s="105">
        <f t="shared" si="7"/>
        <v>0</v>
      </c>
      <c r="J79" s="90"/>
      <c r="K79" s="91"/>
      <c r="L79" s="113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5"/>
      <c r="AL79" s="92">
        <f t="shared" si="8"/>
        <v>0</v>
      </c>
      <c r="AM79" s="122" t="str">
        <f t="shared" si="9"/>
        <v>OK</v>
      </c>
    </row>
    <row r="80" spans="1:39">
      <c r="A80" s="68"/>
      <c r="B80" s="78"/>
      <c r="C80" s="95"/>
      <c r="D80" s="83"/>
      <c r="E80" s="83"/>
      <c r="F80" s="83"/>
      <c r="G80" s="84"/>
      <c r="H80" s="102"/>
      <c r="I80" s="106">
        <f t="shared" si="7"/>
        <v>0</v>
      </c>
      <c r="J80" s="85"/>
      <c r="K80" s="16"/>
      <c r="L80" s="116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66">
        <f t="shared" si="8"/>
        <v>0</v>
      </c>
      <c r="AM80" s="28" t="str">
        <f t="shared" si="9"/>
        <v>OK</v>
      </c>
    </row>
    <row r="81" spans="1:39">
      <c r="A81" s="87"/>
      <c r="B81" s="93"/>
      <c r="C81" s="94"/>
      <c r="D81" s="88"/>
      <c r="E81" s="88"/>
      <c r="F81" s="88"/>
      <c r="G81" s="89"/>
      <c r="H81" s="104"/>
      <c r="I81" s="105">
        <f t="shared" si="7"/>
        <v>0</v>
      </c>
      <c r="J81" s="90"/>
      <c r="K81" s="91"/>
      <c r="L81" s="113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5"/>
      <c r="AL81" s="92">
        <f t="shared" ref="AL81:AL96" si="10">SUM(L81:AK81)</f>
        <v>0</v>
      </c>
      <c r="AM81" s="122" t="str">
        <f t="shared" si="9"/>
        <v>OK</v>
      </c>
    </row>
    <row r="82" spans="1:39">
      <c r="A82" s="68"/>
      <c r="B82" s="78"/>
      <c r="C82" s="95"/>
      <c r="D82" s="83"/>
      <c r="E82" s="83"/>
      <c r="F82" s="83"/>
      <c r="G82" s="84"/>
      <c r="H82" s="102"/>
      <c r="I82" s="106">
        <f t="shared" si="7"/>
        <v>0</v>
      </c>
      <c r="J82" s="85"/>
      <c r="K82" s="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66">
        <f t="shared" si="10"/>
        <v>0</v>
      </c>
      <c r="AM82" s="28" t="str">
        <f t="shared" si="9"/>
        <v>OK</v>
      </c>
    </row>
    <row r="83" spans="1:39">
      <c r="A83" s="96"/>
      <c r="B83" s="93"/>
      <c r="C83" s="94"/>
      <c r="D83" s="88"/>
      <c r="E83" s="88"/>
      <c r="F83" s="88"/>
      <c r="G83" s="89"/>
      <c r="H83" s="104"/>
      <c r="I83" s="105">
        <f t="shared" si="7"/>
        <v>0</v>
      </c>
      <c r="J83" s="90"/>
      <c r="K83" s="91"/>
      <c r="L83" s="113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5"/>
      <c r="AL83" s="92">
        <f t="shared" si="10"/>
        <v>0</v>
      </c>
      <c r="AM83" s="122" t="str">
        <f t="shared" si="9"/>
        <v>OK</v>
      </c>
    </row>
    <row r="84" spans="1:39">
      <c r="A84" s="68"/>
      <c r="B84" s="78"/>
      <c r="C84" s="95"/>
      <c r="D84" s="83"/>
      <c r="E84" s="83"/>
      <c r="F84" s="83"/>
      <c r="G84" s="84"/>
      <c r="H84" s="102"/>
      <c r="I84" s="106">
        <f t="shared" si="7"/>
        <v>0</v>
      </c>
      <c r="J84" s="85"/>
      <c r="K84" s="16"/>
      <c r="L84" s="116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66">
        <f t="shared" si="10"/>
        <v>0</v>
      </c>
      <c r="AM84" s="28" t="str">
        <f t="shared" si="9"/>
        <v>OK</v>
      </c>
    </row>
    <row r="85" spans="1:39">
      <c r="A85" s="87"/>
      <c r="B85" s="93"/>
      <c r="C85" s="94"/>
      <c r="D85" s="88"/>
      <c r="E85" s="88"/>
      <c r="F85" s="88"/>
      <c r="G85" s="89"/>
      <c r="H85" s="104"/>
      <c r="I85" s="105">
        <f t="shared" si="7"/>
        <v>0</v>
      </c>
      <c r="J85" s="90"/>
      <c r="K85" s="91"/>
      <c r="L85" s="113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5"/>
      <c r="AL85" s="92">
        <f t="shared" si="10"/>
        <v>0</v>
      </c>
      <c r="AM85" s="122" t="str">
        <f t="shared" si="9"/>
        <v>OK</v>
      </c>
    </row>
    <row r="86" spans="1:39">
      <c r="A86" s="68"/>
      <c r="B86" s="78"/>
      <c r="C86" s="95"/>
      <c r="D86" s="83"/>
      <c r="E86" s="83"/>
      <c r="F86" s="83"/>
      <c r="G86" s="84"/>
      <c r="H86" s="102"/>
      <c r="I86" s="106">
        <f t="shared" si="7"/>
        <v>0</v>
      </c>
      <c r="J86" s="85"/>
      <c r="K86" s="16"/>
      <c r="L86" s="116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66">
        <f t="shared" si="10"/>
        <v>0</v>
      </c>
      <c r="AM86" s="28" t="str">
        <f t="shared" si="9"/>
        <v>OK</v>
      </c>
    </row>
    <row r="87" spans="1:39">
      <c r="A87" s="87"/>
      <c r="B87" s="93"/>
      <c r="C87" s="94"/>
      <c r="D87" s="88"/>
      <c r="E87" s="88"/>
      <c r="F87" s="88"/>
      <c r="G87" s="89"/>
      <c r="H87" s="104"/>
      <c r="I87" s="105">
        <f t="shared" si="7"/>
        <v>0</v>
      </c>
      <c r="J87" s="90"/>
      <c r="K87" s="91"/>
      <c r="L87" s="113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5"/>
      <c r="AL87" s="92">
        <f t="shared" si="10"/>
        <v>0</v>
      </c>
      <c r="AM87" s="122" t="str">
        <f t="shared" si="9"/>
        <v>OK</v>
      </c>
    </row>
    <row r="88" spans="1:39">
      <c r="A88" s="68"/>
      <c r="B88" s="78"/>
      <c r="C88" s="95"/>
      <c r="D88" s="83"/>
      <c r="E88" s="83"/>
      <c r="F88" s="83"/>
      <c r="G88" s="84"/>
      <c r="H88" s="102"/>
      <c r="I88" s="106">
        <f t="shared" si="7"/>
        <v>0</v>
      </c>
      <c r="J88" s="85"/>
      <c r="K88" s="16"/>
      <c r="L88" s="116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66">
        <f t="shared" si="10"/>
        <v>0</v>
      </c>
      <c r="AM88" s="28" t="str">
        <f t="shared" si="9"/>
        <v>OK</v>
      </c>
    </row>
    <row r="89" spans="1:39">
      <c r="A89" s="87"/>
      <c r="B89" s="93"/>
      <c r="C89" s="94"/>
      <c r="D89" s="88"/>
      <c r="E89" s="88"/>
      <c r="F89" s="88"/>
      <c r="G89" s="89"/>
      <c r="H89" s="104"/>
      <c r="I89" s="105">
        <f t="shared" si="7"/>
        <v>0</v>
      </c>
      <c r="J89" s="90"/>
      <c r="K89" s="91"/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5"/>
      <c r="AL89" s="92">
        <f t="shared" si="10"/>
        <v>0</v>
      </c>
      <c r="AM89" s="122" t="str">
        <f t="shared" si="9"/>
        <v>OK</v>
      </c>
    </row>
    <row r="90" spans="1:39">
      <c r="A90" s="68"/>
      <c r="B90" s="78"/>
      <c r="C90" s="95"/>
      <c r="D90" s="83"/>
      <c r="E90" s="83"/>
      <c r="F90" s="83"/>
      <c r="G90" s="84"/>
      <c r="H90" s="102"/>
      <c r="I90" s="106">
        <f t="shared" si="7"/>
        <v>0</v>
      </c>
      <c r="J90" s="85"/>
      <c r="K90" s="16"/>
      <c r="L90" s="116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66">
        <f t="shared" si="10"/>
        <v>0</v>
      </c>
      <c r="AM90" s="28" t="str">
        <f t="shared" si="9"/>
        <v>OK</v>
      </c>
    </row>
    <row r="91" spans="1:39">
      <c r="A91" s="87"/>
      <c r="B91" s="93"/>
      <c r="C91" s="94"/>
      <c r="D91" s="88"/>
      <c r="E91" s="88"/>
      <c r="F91" s="88"/>
      <c r="G91" s="89"/>
      <c r="H91" s="104"/>
      <c r="I91" s="105">
        <f t="shared" si="7"/>
        <v>0</v>
      </c>
      <c r="J91" s="90"/>
      <c r="K91" s="91"/>
      <c r="L91" s="113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5"/>
      <c r="AL91" s="92">
        <f t="shared" si="10"/>
        <v>0</v>
      </c>
      <c r="AM91" s="122" t="str">
        <f t="shared" si="9"/>
        <v>OK</v>
      </c>
    </row>
    <row r="92" spans="1:39">
      <c r="A92" s="68"/>
      <c r="B92" s="78"/>
      <c r="C92" s="95"/>
      <c r="D92" s="83"/>
      <c r="E92" s="83"/>
      <c r="F92" s="83"/>
      <c r="G92" s="84"/>
      <c r="H92" s="102"/>
      <c r="I92" s="106">
        <f t="shared" si="7"/>
        <v>0</v>
      </c>
      <c r="J92" s="85"/>
      <c r="K92" s="16"/>
      <c r="L92" s="116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66">
        <f t="shared" si="10"/>
        <v>0</v>
      </c>
      <c r="AM92" s="28" t="str">
        <f t="shared" si="9"/>
        <v>OK</v>
      </c>
    </row>
    <row r="93" spans="1:39">
      <c r="A93" s="87"/>
      <c r="B93" s="93"/>
      <c r="C93" s="94"/>
      <c r="D93" s="88"/>
      <c r="E93" s="88"/>
      <c r="F93" s="88"/>
      <c r="G93" s="89"/>
      <c r="H93" s="104"/>
      <c r="I93" s="105">
        <f t="shared" si="7"/>
        <v>0</v>
      </c>
      <c r="J93" s="90"/>
      <c r="K93" s="91"/>
      <c r="L93" s="113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5"/>
      <c r="AL93" s="92">
        <f t="shared" si="10"/>
        <v>0</v>
      </c>
      <c r="AM93" s="122" t="str">
        <f t="shared" si="9"/>
        <v>OK</v>
      </c>
    </row>
    <row r="94" spans="1:39">
      <c r="A94" s="68"/>
      <c r="B94" s="78"/>
      <c r="C94" s="95"/>
      <c r="D94" s="83"/>
      <c r="E94" s="83"/>
      <c r="F94" s="83"/>
      <c r="G94" s="84"/>
      <c r="H94" s="102"/>
      <c r="I94" s="106">
        <f t="shared" si="7"/>
        <v>0</v>
      </c>
      <c r="J94" s="85"/>
      <c r="K94" s="16"/>
      <c r="L94" s="116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66">
        <f t="shared" si="10"/>
        <v>0</v>
      </c>
      <c r="AM94" s="28" t="str">
        <f t="shared" si="9"/>
        <v>OK</v>
      </c>
    </row>
    <row r="95" spans="1:39">
      <c r="A95" s="87"/>
      <c r="B95" s="93"/>
      <c r="C95" s="94"/>
      <c r="D95" s="88"/>
      <c r="E95" s="88"/>
      <c r="F95" s="88"/>
      <c r="G95" s="89"/>
      <c r="H95" s="104"/>
      <c r="I95" s="105">
        <f t="shared" si="7"/>
        <v>0</v>
      </c>
      <c r="J95" s="90"/>
      <c r="K95" s="91"/>
      <c r="L95" s="113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5"/>
      <c r="AL95" s="92">
        <f t="shared" si="10"/>
        <v>0</v>
      </c>
      <c r="AM95" s="122" t="str">
        <f t="shared" si="9"/>
        <v>OK</v>
      </c>
    </row>
    <row r="96" spans="1:39" ht="17.25" thickBot="1">
      <c r="A96" s="97"/>
      <c r="B96" s="98"/>
      <c r="C96" s="99"/>
      <c r="D96" s="83"/>
      <c r="E96" s="83"/>
      <c r="F96" s="83"/>
      <c r="G96" s="84"/>
      <c r="H96" s="107"/>
      <c r="I96" s="108">
        <f t="shared" si="7"/>
        <v>0</v>
      </c>
      <c r="J96" s="85"/>
      <c r="K96" s="16"/>
      <c r="L96" s="119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1"/>
      <c r="AL96" s="66">
        <f t="shared" si="10"/>
        <v>0</v>
      </c>
      <c r="AM96" s="28" t="str">
        <f t="shared" si="9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0</v>
      </c>
      <c r="I97" s="46">
        <f>SUM(I6:I96)</f>
        <v>0</v>
      </c>
      <c r="J97" s="47">
        <f>SUM(J6:J74)</f>
        <v>0</v>
      </c>
      <c r="K97" s="9"/>
      <c r="L97" s="45">
        <f>SUM(L6:L96)</f>
        <v>0</v>
      </c>
      <c r="M97" s="45">
        <f t="shared" ref="M97:AI97" si="11">SUM(M6:M96)</f>
        <v>0</v>
      </c>
      <c r="N97" s="45">
        <f t="shared" si="11"/>
        <v>0</v>
      </c>
      <c r="O97" s="45">
        <f t="shared" si="11"/>
        <v>0</v>
      </c>
      <c r="P97" s="45">
        <f t="shared" si="11"/>
        <v>0</v>
      </c>
      <c r="Q97" s="45">
        <f t="shared" si="11"/>
        <v>0</v>
      </c>
      <c r="R97" s="45">
        <f t="shared" si="11"/>
        <v>0</v>
      </c>
      <c r="S97" s="45">
        <f t="shared" si="11"/>
        <v>0</v>
      </c>
      <c r="T97" s="45">
        <f t="shared" si="11"/>
        <v>0</v>
      </c>
      <c r="U97" s="45">
        <f t="shared" si="11"/>
        <v>0</v>
      </c>
      <c r="V97" s="45">
        <f t="shared" si="11"/>
        <v>0</v>
      </c>
      <c r="W97" s="45">
        <f t="shared" si="11"/>
        <v>0</v>
      </c>
      <c r="X97" s="45">
        <f t="shared" si="11"/>
        <v>0</v>
      </c>
      <c r="Y97" s="45">
        <f t="shared" si="11"/>
        <v>0</v>
      </c>
      <c r="Z97" s="45">
        <f t="shared" si="11"/>
        <v>0</v>
      </c>
      <c r="AA97" s="45">
        <f t="shared" si="11"/>
        <v>0</v>
      </c>
      <c r="AB97" s="45">
        <f t="shared" si="11"/>
        <v>0</v>
      </c>
      <c r="AC97" s="45">
        <f t="shared" si="11"/>
        <v>0</v>
      </c>
      <c r="AD97" s="45">
        <f t="shared" si="11"/>
        <v>0</v>
      </c>
      <c r="AE97" s="45">
        <f t="shared" si="11"/>
        <v>0</v>
      </c>
      <c r="AF97" s="45">
        <f t="shared" si="11"/>
        <v>0</v>
      </c>
      <c r="AG97" s="45">
        <f t="shared" si="11"/>
        <v>0</v>
      </c>
      <c r="AH97" s="45">
        <f t="shared" si="11"/>
        <v>0</v>
      </c>
      <c r="AI97" s="45">
        <f t="shared" si="11"/>
        <v>0</v>
      </c>
      <c r="AJ97" s="49">
        <f>SUM(AJ6:AJ96)</f>
        <v>0</v>
      </c>
      <c r="AK97" s="61">
        <f>SUM(AK6:AK96)</f>
        <v>0</v>
      </c>
      <c r="AL97" s="67">
        <f>SUM(AL6:AL96)</f>
        <v>0</v>
      </c>
      <c r="AM97" s="48" t="str">
        <f>IF(AL97=SUM(I97),"OK","NG")</f>
        <v>OK</v>
      </c>
    </row>
    <row r="99" spans="1:39">
      <c r="M99" s="86"/>
    </row>
    <row r="101" spans="1:39">
      <c r="N101" s="86"/>
    </row>
  </sheetData>
  <mergeCells count="37">
    <mergeCell ref="AM4:AM5"/>
    <mergeCell ref="AG4:AG5"/>
    <mergeCell ref="AH4:AH5"/>
    <mergeCell ref="AI4:AI5"/>
    <mergeCell ref="AJ4:AJ5"/>
    <mergeCell ref="AK4:AK5"/>
    <mergeCell ref="AL4:AL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B1:C1"/>
    <mergeCell ref="F1:G1"/>
    <mergeCell ref="H1:J3"/>
    <mergeCell ref="B2:C2"/>
    <mergeCell ref="AM2:AM3"/>
    <mergeCell ref="B3:C3"/>
  </mergeCells>
  <phoneticPr fontId="3" type="noConversion"/>
  <conditionalFormatting sqref="A4 AM6:AM97">
    <cfRule type="containsText" dxfId="37" priority="7" operator="containsText" text="NG">
      <formula>NOT(ISERROR(SEARCH("NG",A4)))</formula>
    </cfRule>
    <cfRule type="containsText" dxfId="36" priority="8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51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1" filterMode="1">
    <pageSetUpPr fitToPage="1"/>
  </sheetPr>
  <dimension ref="A1:AM97"/>
  <sheetViews>
    <sheetView showGridLines="0" zoomScale="85" zoomScaleNormal="85" workbookViewId="0">
      <pane ySplit="5" topLeftCell="A19" activePane="bottomLeft" state="frozen"/>
      <selection activeCell="P19" sqref="P19"/>
      <selection pane="bottomLeft" activeCell="H98" sqref="H98"/>
    </sheetView>
  </sheetViews>
  <sheetFormatPr defaultColWidth="9" defaultRowHeight="16.5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16" width="8.75"/>
    <col min="17" max="20" width="9" customWidth="1"/>
    <col min="21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5" customHeight="1" thickBot="1">
      <c r="A1" s="37" t="s">
        <v>13</v>
      </c>
      <c r="B1" s="168">
        <f>H97</f>
        <v>33985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4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5" customHeight="1" thickBot="1">
      <c r="A2" s="37" t="s">
        <v>14</v>
      </c>
      <c r="B2" s="173">
        <f>I97</f>
        <v>17</v>
      </c>
      <c r="C2" s="174"/>
      <c r="D2" s="75"/>
      <c r="E2" s="71"/>
      <c r="F2" s="2"/>
      <c r="G2" s="2"/>
      <c r="H2" s="171"/>
      <c r="I2" s="171"/>
      <c r="J2" s="171"/>
      <c r="K2" s="3"/>
      <c r="L2" s="4">
        <f t="shared" ref="L2:AK2" si="0">SUBTOTAL(9,L6:L96)</f>
        <v>10</v>
      </c>
      <c r="M2" s="4">
        <f t="shared" si="0"/>
        <v>0</v>
      </c>
      <c r="N2" s="4">
        <f t="shared" si="0"/>
        <v>0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39">
        <f t="shared" si="0"/>
        <v>0</v>
      </c>
      <c r="U2" s="5">
        <f t="shared" si="0"/>
        <v>0</v>
      </c>
      <c r="V2" s="5">
        <f t="shared" si="0"/>
        <v>1</v>
      </c>
      <c r="W2" s="5">
        <f t="shared" si="0"/>
        <v>0</v>
      </c>
      <c r="X2" s="5">
        <f t="shared" si="0"/>
        <v>0</v>
      </c>
      <c r="Y2" s="5">
        <f t="shared" si="0"/>
        <v>0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4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0</v>
      </c>
      <c r="AH2" s="5">
        <f t="shared" si="0"/>
        <v>0</v>
      </c>
      <c r="AI2" s="5">
        <f t="shared" si="0"/>
        <v>2</v>
      </c>
      <c r="AJ2" s="5">
        <f t="shared" si="0"/>
        <v>0</v>
      </c>
      <c r="AK2" s="59">
        <f t="shared" si="0"/>
        <v>0</v>
      </c>
      <c r="AL2" s="62">
        <f>SUBTOTAL(9,AL6:AL96)</f>
        <v>17</v>
      </c>
      <c r="AM2" s="175"/>
    </row>
    <row r="3" spans="1:39" customFormat="1" ht="22.5" customHeight="1" thickBot="1">
      <c r="A3" s="38" t="s">
        <v>15</v>
      </c>
      <c r="B3" s="177">
        <f>IF(ISERROR(B2/(B2+B1)*1000000),"",(B2/(B2+B1)*1000000))</f>
        <v>499.9705899652962</v>
      </c>
      <c r="C3" s="178"/>
      <c r="D3" s="73"/>
      <c r="E3" s="72"/>
      <c r="F3" s="32"/>
      <c r="G3" s="32"/>
      <c r="H3" s="172"/>
      <c r="I3" s="172"/>
      <c r="J3" s="172"/>
      <c r="K3" s="6"/>
      <c r="L3" s="7">
        <f t="shared" ref="L3:AK3" si="1">SUM(L6:L96)</f>
        <v>10</v>
      </c>
      <c r="M3" s="7">
        <f t="shared" si="1"/>
        <v>0</v>
      </c>
      <c r="N3" s="7">
        <f t="shared" si="1"/>
        <v>0</v>
      </c>
      <c r="O3" s="7">
        <f t="shared" si="1"/>
        <v>0</v>
      </c>
      <c r="P3" s="7">
        <f t="shared" si="1"/>
        <v>0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40">
        <f t="shared" si="1"/>
        <v>0</v>
      </c>
      <c r="U3" s="8">
        <f t="shared" si="1"/>
        <v>0</v>
      </c>
      <c r="V3" s="8">
        <f t="shared" si="1"/>
        <v>1</v>
      </c>
      <c r="W3" s="8">
        <f t="shared" si="1"/>
        <v>0</v>
      </c>
      <c r="X3" s="8">
        <f t="shared" si="1"/>
        <v>0</v>
      </c>
      <c r="Y3" s="8">
        <f t="shared" si="1"/>
        <v>0</v>
      </c>
      <c r="Z3" s="8">
        <f t="shared" si="1"/>
        <v>0</v>
      </c>
      <c r="AA3" s="8">
        <f t="shared" si="1"/>
        <v>0</v>
      </c>
      <c r="AB3" s="8">
        <f t="shared" si="1"/>
        <v>0</v>
      </c>
      <c r="AC3" s="8">
        <f t="shared" si="1"/>
        <v>4</v>
      </c>
      <c r="AD3" s="8">
        <f t="shared" si="1"/>
        <v>0</v>
      </c>
      <c r="AE3" s="8">
        <f t="shared" si="1"/>
        <v>0</v>
      </c>
      <c r="AF3" s="8">
        <f t="shared" si="1"/>
        <v>0</v>
      </c>
      <c r="AG3" s="8">
        <f t="shared" si="1"/>
        <v>0</v>
      </c>
      <c r="AH3" s="8">
        <f t="shared" si="1"/>
        <v>0</v>
      </c>
      <c r="AI3" s="8">
        <f t="shared" si="1"/>
        <v>2</v>
      </c>
      <c r="AJ3" s="8">
        <f t="shared" si="1"/>
        <v>0</v>
      </c>
      <c r="AK3" s="60">
        <f t="shared" si="1"/>
        <v>0</v>
      </c>
      <c r="AL3" s="63">
        <f>SUM(AL6:AL96)</f>
        <v>17</v>
      </c>
      <c r="AM3" s="176"/>
    </row>
    <row r="4" spans="1:39" customFormat="1" ht="43.5" customHeight="1">
      <c r="A4" s="163" t="str">
        <f>AM97</f>
        <v>OK</v>
      </c>
      <c r="B4" s="163"/>
      <c r="C4" s="163"/>
      <c r="D4" s="164"/>
      <c r="E4" s="165" t="s">
        <v>16</v>
      </c>
      <c r="F4" s="165"/>
      <c r="G4" s="165"/>
      <c r="H4" s="165" t="s">
        <v>17</v>
      </c>
      <c r="I4" s="165"/>
      <c r="J4" s="165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1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56" t="s">
        <v>12</v>
      </c>
      <c r="AL4" s="158" t="s">
        <v>36</v>
      </c>
      <c r="AM4" s="149" t="s">
        <v>37</v>
      </c>
    </row>
    <row r="5" spans="1:39" customFormat="1" ht="33.75" thickBot="1">
      <c r="A5" s="34" t="s">
        <v>3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138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6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3"/>
      <c r="AJ5" s="155"/>
      <c r="AK5" s="157"/>
      <c r="AL5" s="159"/>
      <c r="AM5" s="150"/>
    </row>
    <row r="6" spans="1:39" customFormat="1" hidden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34"/>
      <c r="I6" s="15">
        <f>SUM(L6:AK6)</f>
        <v>0</v>
      </c>
      <c r="J6" s="15"/>
      <c r="K6" s="16"/>
      <c r="L6" s="15"/>
      <c r="M6" s="15"/>
      <c r="N6" s="15"/>
      <c r="O6" s="15"/>
      <c r="P6" s="15"/>
      <c r="Q6" s="15"/>
      <c r="R6" s="15"/>
      <c r="S6" s="15"/>
      <c r="T6" s="41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3"/>
      <c r="AJ6" s="56"/>
      <c r="AK6" s="53"/>
      <c r="AL6" s="64">
        <f>SUM(L6:AK6)</f>
        <v>0</v>
      </c>
      <c r="AM6" s="31" t="str">
        <f t="shared" ref="AM6:AM74" si="2">IF(AL6=I6,"OK","NG")</f>
        <v>OK</v>
      </c>
    </row>
    <row r="7" spans="1:39" customFormat="1" hidden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135"/>
      <c r="I7" s="21">
        <f t="shared" ref="I7:I70" si="3">SUM(L7:AK7)</f>
        <v>0</v>
      </c>
      <c r="J7" s="21"/>
      <c r="K7" s="16"/>
      <c r="L7" s="21"/>
      <c r="M7" s="21"/>
      <c r="N7" s="21"/>
      <c r="O7" s="21"/>
      <c r="P7" s="21"/>
      <c r="Q7" s="21"/>
      <c r="R7" s="21"/>
      <c r="S7" s="21"/>
      <c r="T7" s="42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4"/>
      <c r="AJ7" s="57"/>
      <c r="AK7" s="54"/>
      <c r="AL7" s="65">
        <f t="shared" ref="AL7:AL74" si="4">SUM(L7:AK7)</f>
        <v>0</v>
      </c>
      <c r="AM7" s="22" t="str">
        <f t="shared" si="2"/>
        <v>OK</v>
      </c>
    </row>
    <row r="8" spans="1:39" customFormat="1" hidden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36"/>
      <c r="I8" s="27">
        <f t="shared" si="3"/>
        <v>0</v>
      </c>
      <c r="J8" s="27"/>
      <c r="K8" s="16"/>
      <c r="L8" s="27"/>
      <c r="M8" s="27"/>
      <c r="N8" s="27"/>
      <c r="O8" s="27"/>
      <c r="P8" s="27"/>
      <c r="Q8" s="27"/>
      <c r="R8" s="27"/>
      <c r="S8" s="27"/>
      <c r="T8" s="4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5"/>
      <c r="AJ8" s="58"/>
      <c r="AK8" s="55"/>
      <c r="AL8" s="66">
        <f t="shared" si="4"/>
        <v>0</v>
      </c>
      <c r="AM8" s="28" t="str">
        <f t="shared" si="2"/>
        <v>OK</v>
      </c>
    </row>
    <row r="9" spans="1:39" customFormat="1" hidden="1">
      <c r="A9" s="17" t="s">
        <v>68</v>
      </c>
      <c r="B9" s="77">
        <v>10897</v>
      </c>
      <c r="C9" s="17" t="s">
        <v>62</v>
      </c>
      <c r="D9" s="69"/>
      <c r="E9" s="18"/>
      <c r="F9" s="18"/>
      <c r="G9" s="19"/>
      <c r="H9" s="135">
        <f>1080+874</f>
        <v>1954</v>
      </c>
      <c r="I9" s="21">
        <f t="shared" si="3"/>
        <v>0</v>
      </c>
      <c r="J9" s="21"/>
      <c r="K9" s="16"/>
      <c r="L9" s="21"/>
      <c r="M9" s="21"/>
      <c r="N9" s="21"/>
      <c r="O9" s="21"/>
      <c r="P9" s="21"/>
      <c r="Q9" s="21"/>
      <c r="R9" s="21"/>
      <c r="S9" s="21"/>
      <c r="T9" s="42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4"/>
      <c r="AJ9" s="57"/>
      <c r="AK9" s="54"/>
      <c r="AL9" s="65">
        <f t="shared" si="4"/>
        <v>0</v>
      </c>
      <c r="AM9" s="22" t="str">
        <f t="shared" si="2"/>
        <v>OK</v>
      </c>
    </row>
    <row r="10" spans="1:39" customFormat="1" hidden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36"/>
      <c r="I10" s="27">
        <f t="shared" si="3"/>
        <v>0</v>
      </c>
      <c r="J10" s="27"/>
      <c r="K10" s="16"/>
      <c r="L10" s="27"/>
      <c r="M10" s="27"/>
      <c r="N10" s="27"/>
      <c r="O10" s="27"/>
      <c r="P10" s="27"/>
      <c r="Q10" s="27"/>
      <c r="R10" s="27"/>
      <c r="S10" s="27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5"/>
      <c r="AJ10" s="58"/>
      <c r="AK10" s="55"/>
      <c r="AL10" s="66">
        <f t="shared" si="4"/>
        <v>0</v>
      </c>
      <c r="AM10" s="28" t="str">
        <f t="shared" si="2"/>
        <v>OK</v>
      </c>
    </row>
    <row r="11" spans="1:39" customFormat="1" hidden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135"/>
      <c r="I11" s="21">
        <f t="shared" si="3"/>
        <v>0</v>
      </c>
      <c r="J11" s="21"/>
      <c r="K11" s="16"/>
      <c r="L11" s="21"/>
      <c r="M11" s="21"/>
      <c r="N11" s="21"/>
      <c r="O11" s="21"/>
      <c r="P11" s="21"/>
      <c r="Q11" s="21"/>
      <c r="R11" s="21"/>
      <c r="S11" s="21"/>
      <c r="T11" s="42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4"/>
      <c r="AJ11" s="57"/>
      <c r="AK11" s="54"/>
      <c r="AL11" s="65">
        <f t="shared" si="4"/>
        <v>0</v>
      </c>
      <c r="AM11" s="22" t="str">
        <f t="shared" si="2"/>
        <v>OK</v>
      </c>
    </row>
    <row r="12" spans="1:39" customFormat="1" hidden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36"/>
      <c r="I12" s="27">
        <f t="shared" si="3"/>
        <v>0</v>
      </c>
      <c r="J12" s="27"/>
      <c r="K12" s="16"/>
      <c r="L12" s="27"/>
      <c r="M12" s="27"/>
      <c r="N12" s="27"/>
      <c r="O12" s="27"/>
      <c r="P12" s="27"/>
      <c r="Q12" s="27"/>
      <c r="R12" s="27"/>
      <c r="S12" s="27"/>
      <c r="T12" s="43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8"/>
      <c r="AK12" s="55"/>
      <c r="AL12" s="66">
        <f t="shared" si="4"/>
        <v>0</v>
      </c>
      <c r="AM12" s="28" t="str">
        <f t="shared" si="2"/>
        <v>OK</v>
      </c>
    </row>
    <row r="13" spans="1:39" customFormat="1" hidden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135"/>
      <c r="I13" s="21">
        <f t="shared" si="3"/>
        <v>0</v>
      </c>
      <c r="J13" s="21"/>
      <c r="K13" s="16"/>
      <c r="L13" s="21"/>
      <c r="M13" s="21"/>
      <c r="N13" s="21"/>
      <c r="O13" s="21"/>
      <c r="P13" s="21"/>
      <c r="Q13" s="21"/>
      <c r="R13" s="21"/>
      <c r="S13" s="21"/>
      <c r="T13" s="4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4"/>
      <c r="AJ13" s="57"/>
      <c r="AK13" s="54"/>
      <c r="AL13" s="65">
        <f t="shared" si="4"/>
        <v>0</v>
      </c>
      <c r="AM13" s="22" t="str">
        <f t="shared" si="2"/>
        <v>OK</v>
      </c>
    </row>
    <row r="14" spans="1:39" customFormat="1" hidden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36"/>
      <c r="I14" s="27">
        <f t="shared" si="3"/>
        <v>0</v>
      </c>
      <c r="J14" s="27"/>
      <c r="K14" s="16"/>
      <c r="L14" s="27"/>
      <c r="M14" s="27"/>
      <c r="N14" s="27"/>
      <c r="O14" s="27"/>
      <c r="P14" s="27"/>
      <c r="Q14" s="27"/>
      <c r="R14" s="27"/>
      <c r="S14" s="27"/>
      <c r="T14" s="43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5"/>
      <c r="AJ14" s="58"/>
      <c r="AK14" s="55"/>
      <c r="AL14" s="66">
        <f t="shared" si="4"/>
        <v>0</v>
      </c>
      <c r="AM14" s="28" t="str">
        <f t="shared" si="2"/>
        <v>OK</v>
      </c>
    </row>
    <row r="15" spans="1:39" customFormat="1" hidden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135"/>
      <c r="I15" s="21">
        <f t="shared" si="3"/>
        <v>0</v>
      </c>
      <c r="J15" s="21"/>
      <c r="K15" s="16"/>
      <c r="L15" s="21"/>
      <c r="M15" s="21"/>
      <c r="N15" s="21"/>
      <c r="O15" s="21"/>
      <c r="P15" s="21"/>
      <c r="Q15" s="21"/>
      <c r="R15" s="21"/>
      <c r="S15" s="21"/>
      <c r="T15" s="42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4"/>
      <c r="AJ15" s="57"/>
      <c r="AK15" s="54"/>
      <c r="AL15" s="65">
        <f t="shared" si="4"/>
        <v>0</v>
      </c>
      <c r="AM15" s="22" t="str">
        <f t="shared" si="2"/>
        <v>OK</v>
      </c>
    </row>
    <row r="16" spans="1:39" customFormat="1" hidden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36"/>
      <c r="I16" s="27">
        <f t="shared" si="3"/>
        <v>0</v>
      </c>
      <c r="J16" s="27"/>
      <c r="K16" s="16"/>
      <c r="L16" s="27"/>
      <c r="M16" s="27"/>
      <c r="N16" s="27"/>
      <c r="O16" s="27"/>
      <c r="P16" s="27"/>
      <c r="Q16" s="27"/>
      <c r="R16" s="27"/>
      <c r="S16" s="27"/>
      <c r="T16" s="43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8"/>
      <c r="AK16" s="55"/>
      <c r="AL16" s="66">
        <f t="shared" si="4"/>
        <v>0</v>
      </c>
      <c r="AM16" s="28" t="str">
        <f t="shared" si="2"/>
        <v>OK</v>
      </c>
    </row>
    <row r="17" spans="1:39" customFormat="1" hidden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135"/>
      <c r="I17" s="21">
        <f t="shared" si="3"/>
        <v>0</v>
      </c>
      <c r="J17" s="21"/>
      <c r="K17" s="16"/>
      <c r="L17" s="21"/>
      <c r="M17" s="21"/>
      <c r="N17" s="21"/>
      <c r="O17" s="21"/>
      <c r="P17" s="21"/>
      <c r="Q17" s="21"/>
      <c r="R17" s="21"/>
      <c r="S17" s="21"/>
      <c r="T17" s="42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4"/>
      <c r="AJ17" s="57"/>
      <c r="AK17" s="54"/>
      <c r="AL17" s="65">
        <f t="shared" si="4"/>
        <v>0</v>
      </c>
      <c r="AM17" s="22" t="str">
        <f t="shared" si="2"/>
        <v>OK</v>
      </c>
    </row>
    <row r="18" spans="1:39" customFormat="1" hidden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36"/>
      <c r="I18" s="27">
        <f t="shared" si="3"/>
        <v>0</v>
      </c>
      <c r="J18" s="27"/>
      <c r="K18" s="16"/>
      <c r="L18" s="27"/>
      <c r="M18" s="27"/>
      <c r="N18" s="27"/>
      <c r="O18" s="27"/>
      <c r="P18" s="27"/>
      <c r="Q18" s="27"/>
      <c r="R18" s="27"/>
      <c r="S18" s="27"/>
      <c r="T18" s="43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8"/>
      <c r="AK18" s="55"/>
      <c r="AL18" s="66">
        <f t="shared" si="4"/>
        <v>0</v>
      </c>
      <c r="AM18" s="28" t="str">
        <f t="shared" si="2"/>
        <v>OK</v>
      </c>
    </row>
    <row r="19" spans="1:39" customFormat="1">
      <c r="A19" s="17" t="s">
        <v>91</v>
      </c>
      <c r="B19" s="77">
        <v>14988</v>
      </c>
      <c r="C19" s="17" t="s">
        <v>64</v>
      </c>
      <c r="D19" s="69"/>
      <c r="E19" s="18"/>
      <c r="F19" s="18"/>
      <c r="G19" s="19"/>
      <c r="H19" s="135">
        <f>1500+2880+2880+2040+3480</f>
        <v>12780</v>
      </c>
      <c r="I19" s="21">
        <f t="shared" si="3"/>
        <v>1</v>
      </c>
      <c r="J19" s="21"/>
      <c r="K19" s="16"/>
      <c r="L19" s="21"/>
      <c r="M19" s="21"/>
      <c r="N19" s="21"/>
      <c r="O19" s="21"/>
      <c r="P19" s="21"/>
      <c r="Q19" s="21"/>
      <c r="R19" s="21"/>
      <c r="S19" s="21"/>
      <c r="T19" s="42"/>
      <c r="U19" s="51"/>
      <c r="V19" s="51"/>
      <c r="W19" s="51"/>
      <c r="X19" s="51"/>
      <c r="Y19" s="51"/>
      <c r="Z19" s="51"/>
      <c r="AA19" s="51"/>
      <c r="AB19" s="51"/>
      <c r="AC19" s="51">
        <v>1</v>
      </c>
      <c r="AD19" s="51"/>
      <c r="AE19" s="51"/>
      <c r="AF19" s="51"/>
      <c r="AG19" s="51"/>
      <c r="AH19" s="51"/>
      <c r="AI19" s="54"/>
      <c r="AJ19" s="57"/>
      <c r="AK19" s="54"/>
      <c r="AL19" s="65">
        <f t="shared" si="4"/>
        <v>1</v>
      </c>
      <c r="AM19" s="22" t="str">
        <f t="shared" si="2"/>
        <v>OK</v>
      </c>
    </row>
    <row r="20" spans="1:39" customFormat="1" hidden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136"/>
      <c r="I20" s="27">
        <f t="shared" si="3"/>
        <v>0</v>
      </c>
      <c r="J20" s="27"/>
      <c r="K20" s="16"/>
      <c r="L20" s="27"/>
      <c r="M20" s="27"/>
      <c r="N20" s="27"/>
      <c r="O20" s="27"/>
      <c r="P20" s="27"/>
      <c r="Q20" s="27"/>
      <c r="R20" s="27"/>
      <c r="S20" s="27"/>
      <c r="T20" s="43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8"/>
      <c r="AK20" s="55"/>
      <c r="AL20" s="66">
        <f t="shared" si="4"/>
        <v>0</v>
      </c>
      <c r="AM20" s="28" t="str">
        <f t="shared" si="2"/>
        <v>OK</v>
      </c>
    </row>
    <row r="21" spans="1:39" customFormat="1" hidden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135"/>
      <c r="I21" s="21">
        <f t="shared" si="3"/>
        <v>0</v>
      </c>
      <c r="J21" s="21"/>
      <c r="K21" s="16"/>
      <c r="L21" s="21"/>
      <c r="M21" s="21"/>
      <c r="N21" s="21"/>
      <c r="O21" s="21"/>
      <c r="P21" s="21"/>
      <c r="Q21" s="21"/>
      <c r="R21" s="21"/>
      <c r="S21" s="21"/>
      <c r="T21" s="4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4"/>
      <c r="AJ21" s="57"/>
      <c r="AK21" s="54"/>
      <c r="AL21" s="65">
        <f t="shared" si="4"/>
        <v>0</v>
      </c>
      <c r="AM21" s="22" t="str">
        <f t="shared" si="2"/>
        <v>OK</v>
      </c>
    </row>
    <row r="22" spans="1:39" customFormat="1" hidden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36"/>
      <c r="I22" s="27">
        <f t="shared" si="3"/>
        <v>0</v>
      </c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43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5"/>
      <c r="AJ22" s="58"/>
      <c r="AK22" s="55"/>
      <c r="AL22" s="66">
        <f t="shared" si="4"/>
        <v>0</v>
      </c>
      <c r="AM22" s="28" t="str">
        <f t="shared" si="2"/>
        <v>OK</v>
      </c>
    </row>
    <row r="23" spans="1:39" customFormat="1" hidden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135"/>
      <c r="I23" s="21">
        <f t="shared" si="3"/>
        <v>0</v>
      </c>
      <c r="J23" s="21"/>
      <c r="K23" s="16"/>
      <c r="L23" s="21"/>
      <c r="M23" s="21"/>
      <c r="N23" s="21"/>
      <c r="O23" s="21"/>
      <c r="P23" s="21"/>
      <c r="Q23" s="21"/>
      <c r="R23" s="21"/>
      <c r="S23" s="21"/>
      <c r="T23" s="42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7"/>
      <c r="AK23" s="54"/>
      <c r="AL23" s="65">
        <f>SUM(L23:AK23)</f>
        <v>0</v>
      </c>
      <c r="AM23" s="22" t="str">
        <f t="shared" si="2"/>
        <v>OK</v>
      </c>
    </row>
    <row r="24" spans="1:39" customFormat="1" hidden="1">
      <c r="A24" s="68" t="s">
        <v>44</v>
      </c>
      <c r="B24" s="78">
        <v>10163</v>
      </c>
      <c r="C24" s="23" t="s">
        <v>160</v>
      </c>
      <c r="D24" s="24"/>
      <c r="E24" s="24"/>
      <c r="F24" s="24"/>
      <c r="G24" s="25"/>
      <c r="H24" s="136">
        <f>336+800</f>
        <v>1136</v>
      </c>
      <c r="I24" s="27">
        <f t="shared" si="3"/>
        <v>0</v>
      </c>
      <c r="J24" s="27"/>
      <c r="K24" s="16"/>
      <c r="L24" s="27"/>
      <c r="M24" s="27"/>
      <c r="N24" s="27"/>
      <c r="O24" s="27"/>
      <c r="P24" s="27"/>
      <c r="Q24" s="27"/>
      <c r="R24" s="27"/>
      <c r="S24" s="27"/>
      <c r="T24" s="43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5"/>
      <c r="AJ24" s="58"/>
      <c r="AK24" s="55"/>
      <c r="AL24" s="66">
        <f t="shared" si="4"/>
        <v>0</v>
      </c>
      <c r="AM24" s="28" t="str">
        <f t="shared" si="2"/>
        <v>OK</v>
      </c>
    </row>
    <row r="25" spans="1:39" customFormat="1" hidden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135"/>
      <c r="I25" s="21">
        <f t="shared" si="3"/>
        <v>0</v>
      </c>
      <c r="J25" s="21"/>
      <c r="K25" s="16"/>
      <c r="L25" s="21"/>
      <c r="M25" s="21"/>
      <c r="N25" s="21"/>
      <c r="O25" s="21"/>
      <c r="P25" s="21"/>
      <c r="Q25" s="21"/>
      <c r="R25" s="21"/>
      <c r="S25" s="21"/>
      <c r="T25" s="42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4"/>
      <c r="AJ25" s="57"/>
      <c r="AK25" s="54"/>
      <c r="AL25" s="65">
        <f t="shared" si="4"/>
        <v>0</v>
      </c>
      <c r="AM25" s="22" t="str">
        <f t="shared" si="2"/>
        <v>OK</v>
      </c>
    </row>
    <row r="26" spans="1:39" customFormat="1" hidden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36"/>
      <c r="I26" s="27">
        <f t="shared" si="3"/>
        <v>0</v>
      </c>
      <c r="J26" s="27"/>
      <c r="K26" s="16"/>
      <c r="L26" s="27"/>
      <c r="M26" s="27"/>
      <c r="N26" s="27"/>
      <c r="O26" s="27"/>
      <c r="P26" s="27"/>
      <c r="Q26" s="27"/>
      <c r="R26" s="27"/>
      <c r="S26" s="27"/>
      <c r="T26" s="43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8"/>
      <c r="AK26" s="55"/>
      <c r="AL26" s="66">
        <f t="shared" si="4"/>
        <v>0</v>
      </c>
      <c r="AM26" s="28" t="str">
        <f t="shared" si="2"/>
        <v>OK</v>
      </c>
    </row>
    <row r="27" spans="1:39" customFormat="1" hidden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135"/>
      <c r="I27" s="21">
        <f t="shared" si="3"/>
        <v>0</v>
      </c>
      <c r="J27" s="21"/>
      <c r="K27" s="16"/>
      <c r="L27" s="21"/>
      <c r="M27" s="21"/>
      <c r="N27" s="21"/>
      <c r="O27" s="21"/>
      <c r="P27" s="21"/>
      <c r="Q27" s="21"/>
      <c r="R27" s="21"/>
      <c r="S27" s="21"/>
      <c r="T27" s="4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7"/>
      <c r="AK27" s="54"/>
      <c r="AL27" s="65">
        <f t="shared" si="4"/>
        <v>0</v>
      </c>
      <c r="AM27" s="22" t="str">
        <f t="shared" si="2"/>
        <v>OK</v>
      </c>
    </row>
    <row r="28" spans="1:39" customFormat="1" hidden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136"/>
      <c r="I28" s="27">
        <f t="shared" si="3"/>
        <v>0</v>
      </c>
      <c r="J28" s="27"/>
      <c r="K28" s="16"/>
      <c r="L28" s="27"/>
      <c r="M28" s="27"/>
      <c r="N28" s="27"/>
      <c r="O28" s="27"/>
      <c r="P28" s="27"/>
      <c r="Q28" s="27"/>
      <c r="R28" s="27"/>
      <c r="S28" s="27"/>
      <c r="T28" s="43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5"/>
      <c r="AJ28" s="58"/>
      <c r="AK28" s="55"/>
      <c r="AL28" s="66">
        <f t="shared" si="4"/>
        <v>0</v>
      </c>
      <c r="AM28" s="28" t="str">
        <f t="shared" si="2"/>
        <v>OK</v>
      </c>
    </row>
    <row r="29" spans="1:39" customFormat="1">
      <c r="A29" s="80" t="s">
        <v>71</v>
      </c>
      <c r="B29" s="77">
        <v>10151</v>
      </c>
      <c r="C29" s="17" t="s">
        <v>51</v>
      </c>
      <c r="D29" s="69"/>
      <c r="E29" s="18"/>
      <c r="F29" s="18"/>
      <c r="G29" s="19"/>
      <c r="H29" s="135">
        <f>660+440+880</f>
        <v>1980</v>
      </c>
      <c r="I29" s="21">
        <f t="shared" si="3"/>
        <v>1</v>
      </c>
      <c r="J29" s="21"/>
      <c r="K29" s="16"/>
      <c r="L29" s="21"/>
      <c r="M29" s="21"/>
      <c r="N29" s="21"/>
      <c r="O29" s="21"/>
      <c r="P29" s="21"/>
      <c r="Q29" s="21"/>
      <c r="R29" s="21"/>
      <c r="S29" s="21"/>
      <c r="T29" s="42"/>
      <c r="U29" s="51"/>
      <c r="V29" s="51"/>
      <c r="W29" s="51"/>
      <c r="X29" s="51"/>
      <c r="Y29" s="51"/>
      <c r="Z29" s="51"/>
      <c r="AA29" s="51"/>
      <c r="AB29" s="51"/>
      <c r="AC29" s="51">
        <v>1</v>
      </c>
      <c r="AD29" s="51"/>
      <c r="AE29" s="51"/>
      <c r="AF29" s="51"/>
      <c r="AG29" s="51"/>
      <c r="AH29" s="51"/>
      <c r="AI29" s="54"/>
      <c r="AJ29" s="57"/>
      <c r="AK29" s="54"/>
      <c r="AL29" s="65">
        <f t="shared" si="4"/>
        <v>1</v>
      </c>
      <c r="AM29" s="22" t="str">
        <f t="shared" si="2"/>
        <v>OK</v>
      </c>
    </row>
    <row r="30" spans="1:39" customFormat="1" hidden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137">
        <f>342+1050</f>
        <v>1392</v>
      </c>
      <c r="I30" s="27">
        <f t="shared" si="3"/>
        <v>0</v>
      </c>
      <c r="J30" s="27"/>
      <c r="K30" s="16"/>
      <c r="L30" s="27"/>
      <c r="M30" s="27"/>
      <c r="N30" s="27"/>
      <c r="O30" s="27"/>
      <c r="P30" s="27"/>
      <c r="Q30" s="27"/>
      <c r="R30" s="27"/>
      <c r="S30" s="27"/>
      <c r="T30" s="43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5"/>
      <c r="AJ30" s="58"/>
      <c r="AK30" s="55"/>
      <c r="AL30" s="66">
        <f t="shared" si="4"/>
        <v>0</v>
      </c>
      <c r="AM30" s="28" t="str">
        <f t="shared" si="2"/>
        <v>OK</v>
      </c>
    </row>
    <row r="31" spans="1:39" customFormat="1" hidden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135"/>
      <c r="I31" s="21">
        <f t="shared" si="3"/>
        <v>0</v>
      </c>
      <c r="J31" s="21"/>
      <c r="K31" s="16"/>
      <c r="L31" s="21"/>
      <c r="M31" s="21"/>
      <c r="N31" s="21"/>
      <c r="O31" s="21"/>
      <c r="P31" s="21"/>
      <c r="Q31" s="21"/>
      <c r="R31" s="21"/>
      <c r="S31" s="21"/>
      <c r="T31" s="4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7"/>
      <c r="AK31" s="54"/>
      <c r="AL31" s="65">
        <f t="shared" si="4"/>
        <v>0</v>
      </c>
      <c r="AM31" s="22" t="str">
        <f t="shared" si="2"/>
        <v>OK</v>
      </c>
    </row>
    <row r="32" spans="1:39" customFormat="1" hidden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136"/>
      <c r="I32" s="27">
        <f t="shared" si="3"/>
        <v>0</v>
      </c>
      <c r="J32" s="27"/>
      <c r="K32" s="16"/>
      <c r="L32" s="27"/>
      <c r="M32" s="27"/>
      <c r="N32" s="27"/>
      <c r="O32" s="27"/>
      <c r="P32" s="27"/>
      <c r="Q32" s="27"/>
      <c r="R32" s="27"/>
      <c r="S32" s="27"/>
      <c r="T32" s="43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5"/>
      <c r="AJ32" s="58"/>
      <c r="AK32" s="55"/>
      <c r="AL32" s="66">
        <f t="shared" si="4"/>
        <v>0</v>
      </c>
      <c r="AM32" s="28" t="str">
        <f t="shared" si="2"/>
        <v>OK</v>
      </c>
    </row>
    <row r="33" spans="1:39" customFormat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135">
        <v>2478</v>
      </c>
      <c r="I33" s="21">
        <f t="shared" si="3"/>
        <v>10</v>
      </c>
      <c r="J33" s="21"/>
      <c r="K33" s="16"/>
      <c r="L33" s="21">
        <v>10</v>
      </c>
      <c r="M33" s="21"/>
      <c r="N33" s="21"/>
      <c r="O33" s="21"/>
      <c r="P33" s="21"/>
      <c r="Q33" s="21"/>
      <c r="R33" s="21"/>
      <c r="S33" s="21"/>
      <c r="T33" s="42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4"/>
      <c r="AJ33" s="57"/>
      <c r="AK33" s="54"/>
      <c r="AL33" s="65">
        <f t="shared" si="4"/>
        <v>10</v>
      </c>
      <c r="AM33" s="22" t="str">
        <f t="shared" si="2"/>
        <v>OK</v>
      </c>
    </row>
    <row r="34" spans="1:39" customFormat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136">
        <f>616+660+750</f>
        <v>2026</v>
      </c>
      <c r="I34" s="27">
        <f t="shared" si="3"/>
        <v>1</v>
      </c>
      <c r="J34" s="27"/>
      <c r="K34" s="16"/>
      <c r="L34" s="27"/>
      <c r="M34" s="27"/>
      <c r="N34" s="27"/>
      <c r="O34" s="27"/>
      <c r="P34" s="27"/>
      <c r="Q34" s="27"/>
      <c r="R34" s="27"/>
      <c r="S34" s="27"/>
      <c r="T34" s="43"/>
      <c r="U34" s="52"/>
      <c r="V34" s="52"/>
      <c r="W34" s="52"/>
      <c r="X34" s="52"/>
      <c r="Y34" s="52"/>
      <c r="Z34" s="52"/>
      <c r="AA34" s="52"/>
      <c r="AB34" s="52"/>
      <c r="AC34" s="52">
        <v>1</v>
      </c>
      <c r="AD34" s="52"/>
      <c r="AE34" s="52"/>
      <c r="AF34" s="52"/>
      <c r="AG34" s="52"/>
      <c r="AH34" s="52"/>
      <c r="AI34" s="55"/>
      <c r="AJ34" s="58"/>
      <c r="AK34" s="55"/>
      <c r="AL34" s="66">
        <f t="shared" si="4"/>
        <v>1</v>
      </c>
      <c r="AM34" s="28" t="str">
        <f t="shared" si="2"/>
        <v>OK</v>
      </c>
    </row>
    <row r="35" spans="1:39" customFormat="1" hidden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135"/>
      <c r="I35" s="21">
        <f t="shared" si="3"/>
        <v>0</v>
      </c>
      <c r="J35" s="21"/>
      <c r="K35" s="16"/>
      <c r="L35" s="21"/>
      <c r="M35" s="21"/>
      <c r="N35" s="21"/>
      <c r="O35" s="21"/>
      <c r="P35" s="21"/>
      <c r="Q35" s="21"/>
      <c r="R35" s="21"/>
      <c r="S35" s="21"/>
      <c r="T35" s="42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4"/>
      <c r="AJ35" s="57"/>
      <c r="AK35" s="54"/>
      <c r="AL35" s="65">
        <f t="shared" si="4"/>
        <v>0</v>
      </c>
      <c r="AM35" s="22" t="str">
        <f t="shared" si="2"/>
        <v>OK</v>
      </c>
    </row>
    <row r="36" spans="1:39" customFormat="1" hidden="1">
      <c r="A36" s="68" t="s">
        <v>76</v>
      </c>
      <c r="B36" s="78">
        <v>10135</v>
      </c>
      <c r="C36" s="23" t="s">
        <v>56</v>
      </c>
      <c r="D36" s="24"/>
      <c r="E36" s="24"/>
      <c r="F36" s="24"/>
      <c r="G36" s="25"/>
      <c r="H36" s="136"/>
      <c r="I36" s="27">
        <f t="shared" si="3"/>
        <v>0</v>
      </c>
      <c r="J36" s="27"/>
      <c r="K36" s="16"/>
      <c r="L36" s="27"/>
      <c r="M36" s="27"/>
      <c r="N36" s="27"/>
      <c r="O36" s="27"/>
      <c r="P36" s="27"/>
      <c r="Q36" s="27"/>
      <c r="R36" s="27"/>
      <c r="S36" s="27"/>
      <c r="T36" s="43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5"/>
      <c r="AJ36" s="58"/>
      <c r="AK36" s="55"/>
      <c r="AL36" s="66">
        <f t="shared" si="4"/>
        <v>0</v>
      </c>
      <c r="AM36" s="28" t="str">
        <f t="shared" si="2"/>
        <v>OK</v>
      </c>
    </row>
    <row r="37" spans="1:39" customFormat="1" hidden="1">
      <c r="A37" s="80" t="s">
        <v>77</v>
      </c>
      <c r="B37" s="77">
        <v>10133</v>
      </c>
      <c r="C37" s="17" t="s">
        <v>55</v>
      </c>
      <c r="D37" s="69"/>
      <c r="E37" s="18"/>
      <c r="F37" s="18"/>
      <c r="G37" s="19"/>
      <c r="H37" s="135">
        <f>820+1210</f>
        <v>2030</v>
      </c>
      <c r="I37" s="21">
        <f t="shared" si="3"/>
        <v>0</v>
      </c>
      <c r="J37" s="21"/>
      <c r="K37" s="16"/>
      <c r="L37" s="21"/>
      <c r="M37" s="21"/>
      <c r="N37" s="21"/>
      <c r="O37" s="21"/>
      <c r="P37" s="21"/>
      <c r="Q37" s="21"/>
      <c r="R37" s="21"/>
      <c r="S37" s="21"/>
      <c r="T37" s="42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4"/>
      <c r="AJ37" s="57"/>
      <c r="AK37" s="54"/>
      <c r="AL37" s="65">
        <f t="shared" si="4"/>
        <v>0</v>
      </c>
      <c r="AM37" s="22" t="str">
        <f t="shared" si="2"/>
        <v>OK</v>
      </c>
    </row>
    <row r="38" spans="1:39" customFormat="1" hidden="1">
      <c r="A38" s="68" t="s">
        <v>78</v>
      </c>
      <c r="B38" s="78">
        <v>10131</v>
      </c>
      <c r="C38" s="23" t="s">
        <v>56</v>
      </c>
      <c r="D38" s="24"/>
      <c r="E38" s="24"/>
      <c r="F38" s="24"/>
      <c r="G38" s="25"/>
      <c r="H38" s="136"/>
      <c r="I38" s="27">
        <f t="shared" si="3"/>
        <v>0</v>
      </c>
      <c r="J38" s="27"/>
      <c r="K38" s="16"/>
      <c r="L38" s="27"/>
      <c r="M38" s="27"/>
      <c r="N38" s="27"/>
      <c r="O38" s="27"/>
      <c r="P38" s="27"/>
      <c r="Q38" s="27"/>
      <c r="R38" s="27"/>
      <c r="S38" s="27"/>
      <c r="T38" s="43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5"/>
      <c r="AJ38" s="58"/>
      <c r="AK38" s="55"/>
      <c r="AL38" s="66">
        <f t="shared" ref="AL38:AL50" si="5">SUM(L38:AK38)</f>
        <v>0</v>
      </c>
      <c r="AM38" s="28" t="str">
        <f t="shared" si="2"/>
        <v>OK</v>
      </c>
    </row>
    <row r="39" spans="1:39" customFormat="1">
      <c r="A39" s="17" t="s">
        <v>79</v>
      </c>
      <c r="B39" s="77">
        <v>10129</v>
      </c>
      <c r="C39" s="17" t="s">
        <v>57</v>
      </c>
      <c r="D39" s="69"/>
      <c r="E39" s="18"/>
      <c r="F39" s="18"/>
      <c r="G39" s="19"/>
      <c r="H39" s="135">
        <f>486+80</f>
        <v>566</v>
      </c>
      <c r="I39" s="21">
        <f t="shared" si="3"/>
        <v>1</v>
      </c>
      <c r="J39" s="21"/>
      <c r="K39" s="16"/>
      <c r="L39" s="21"/>
      <c r="M39" s="21"/>
      <c r="N39" s="21"/>
      <c r="O39" s="21"/>
      <c r="P39" s="21"/>
      <c r="Q39" s="21"/>
      <c r="R39" s="21"/>
      <c r="S39" s="21"/>
      <c r="T39" s="42"/>
      <c r="U39" s="51"/>
      <c r="V39" s="51"/>
      <c r="W39" s="51"/>
      <c r="X39" s="51"/>
      <c r="Y39" s="51"/>
      <c r="Z39" s="51"/>
      <c r="AA39" s="51"/>
      <c r="AB39" s="51"/>
      <c r="AC39" s="51">
        <v>1</v>
      </c>
      <c r="AD39" s="51"/>
      <c r="AE39" s="51"/>
      <c r="AF39" s="51"/>
      <c r="AG39" s="51"/>
      <c r="AH39" s="51"/>
      <c r="AI39" s="54"/>
      <c r="AJ39" s="57"/>
      <c r="AK39" s="54"/>
      <c r="AL39" s="65">
        <f t="shared" si="5"/>
        <v>1</v>
      </c>
      <c r="AM39" s="22" t="str">
        <f t="shared" si="2"/>
        <v>OK</v>
      </c>
    </row>
    <row r="40" spans="1:39" customFormat="1" hidden="1">
      <c r="A40" s="68" t="s">
        <v>80</v>
      </c>
      <c r="B40" s="78">
        <v>10127</v>
      </c>
      <c r="C40" s="23" t="s">
        <v>58</v>
      </c>
      <c r="D40" s="24"/>
      <c r="E40" s="24"/>
      <c r="F40" s="24"/>
      <c r="G40" s="25"/>
      <c r="H40" s="136"/>
      <c r="I40" s="27">
        <f t="shared" si="3"/>
        <v>0</v>
      </c>
      <c r="J40" s="27"/>
      <c r="K40" s="16"/>
      <c r="L40" s="27"/>
      <c r="M40" s="27"/>
      <c r="N40" s="27"/>
      <c r="O40" s="27"/>
      <c r="P40" s="27"/>
      <c r="Q40" s="27"/>
      <c r="R40" s="27"/>
      <c r="S40" s="27"/>
      <c r="T40" s="43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5"/>
      <c r="AJ40" s="58"/>
      <c r="AK40" s="55"/>
      <c r="AL40" s="66">
        <f t="shared" si="5"/>
        <v>0</v>
      </c>
      <c r="AM40" s="28" t="str">
        <f t="shared" si="2"/>
        <v>OK</v>
      </c>
    </row>
    <row r="41" spans="1:39" customFormat="1" hidden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135"/>
      <c r="I41" s="21">
        <f t="shared" si="3"/>
        <v>0</v>
      </c>
      <c r="J41" s="21"/>
      <c r="K41" s="16"/>
      <c r="L41" s="21"/>
      <c r="M41" s="21"/>
      <c r="N41" s="21"/>
      <c r="O41" s="21"/>
      <c r="P41" s="21"/>
      <c r="Q41" s="21"/>
      <c r="R41" s="21"/>
      <c r="S41" s="21"/>
      <c r="T41" s="4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4"/>
      <c r="AJ41" s="57"/>
      <c r="AK41" s="54"/>
      <c r="AL41" s="65">
        <f t="shared" si="5"/>
        <v>0</v>
      </c>
      <c r="AM41" s="22" t="str">
        <f t="shared" si="2"/>
        <v>OK</v>
      </c>
    </row>
    <row r="42" spans="1:39" customFormat="1" hidden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136"/>
      <c r="I42" s="27">
        <f t="shared" si="3"/>
        <v>0</v>
      </c>
      <c r="J42" s="27"/>
      <c r="K42" s="16"/>
      <c r="L42" s="27"/>
      <c r="M42" s="27"/>
      <c r="N42" s="27"/>
      <c r="O42" s="27"/>
      <c r="P42" s="27"/>
      <c r="Q42" s="27"/>
      <c r="R42" s="27"/>
      <c r="S42" s="27"/>
      <c r="T42" s="43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5"/>
      <c r="AJ42" s="58"/>
      <c r="AK42" s="55"/>
      <c r="AL42" s="66">
        <f t="shared" si="5"/>
        <v>0</v>
      </c>
      <c r="AM42" s="28" t="str">
        <f t="shared" si="2"/>
        <v>OK</v>
      </c>
    </row>
    <row r="43" spans="1:39" customFormat="1" hidden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135"/>
      <c r="I43" s="21">
        <f t="shared" si="3"/>
        <v>0</v>
      </c>
      <c r="J43" s="21"/>
      <c r="K43" s="16"/>
      <c r="L43" s="21"/>
      <c r="M43" s="21"/>
      <c r="N43" s="21"/>
      <c r="O43" s="21"/>
      <c r="P43" s="21"/>
      <c r="Q43" s="21"/>
      <c r="R43" s="21"/>
      <c r="S43" s="21"/>
      <c r="T43" s="42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4"/>
      <c r="AJ43" s="57"/>
      <c r="AK43" s="54"/>
      <c r="AL43" s="65">
        <f t="shared" si="5"/>
        <v>0</v>
      </c>
      <c r="AM43" s="22" t="str">
        <f t="shared" si="2"/>
        <v>OK</v>
      </c>
    </row>
    <row r="44" spans="1:39" customFormat="1" hidden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136"/>
      <c r="I44" s="27">
        <f t="shared" si="3"/>
        <v>0</v>
      </c>
      <c r="J44" s="27"/>
      <c r="K44" s="16"/>
      <c r="L44" s="27"/>
      <c r="M44" s="27"/>
      <c r="N44" s="27"/>
      <c r="O44" s="27"/>
      <c r="P44" s="27"/>
      <c r="Q44" s="27"/>
      <c r="R44" s="27"/>
      <c r="S44" s="27"/>
      <c r="T44" s="43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5"/>
      <c r="AJ44" s="58"/>
      <c r="AK44" s="55"/>
      <c r="AL44" s="66">
        <f t="shared" si="5"/>
        <v>0</v>
      </c>
      <c r="AM44" s="28" t="str">
        <f t="shared" si="2"/>
        <v>OK</v>
      </c>
    </row>
    <row r="45" spans="1:39" customFormat="1">
      <c r="A45" s="17" t="s">
        <v>153</v>
      </c>
      <c r="B45" s="77">
        <v>13467</v>
      </c>
      <c r="C45" s="17" t="s">
        <v>87</v>
      </c>
      <c r="D45" s="69"/>
      <c r="E45" s="18"/>
      <c r="F45" s="18"/>
      <c r="G45" s="19"/>
      <c r="H45" s="135">
        <f>680+800+342</f>
        <v>1822</v>
      </c>
      <c r="I45" s="21">
        <f t="shared" si="3"/>
        <v>2</v>
      </c>
      <c r="J45" s="21"/>
      <c r="K45" s="16"/>
      <c r="L45" s="21"/>
      <c r="M45" s="21"/>
      <c r="N45" s="21"/>
      <c r="O45" s="21"/>
      <c r="P45" s="21"/>
      <c r="Q45" s="21"/>
      <c r="R45" s="21"/>
      <c r="S45" s="21"/>
      <c r="T45" s="4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4">
        <v>2</v>
      </c>
      <c r="AJ45" s="57"/>
      <c r="AK45" s="54"/>
      <c r="AL45" s="65">
        <f t="shared" si="5"/>
        <v>2</v>
      </c>
      <c r="AM45" s="22" t="str">
        <f t="shared" si="2"/>
        <v>OK</v>
      </c>
    </row>
    <row r="46" spans="1:39" customFormat="1" hidden="1">
      <c r="A46" s="68" t="s">
        <v>111</v>
      </c>
      <c r="B46" s="78">
        <v>15948</v>
      </c>
      <c r="C46" s="23" t="s">
        <v>87</v>
      </c>
      <c r="D46" s="24"/>
      <c r="E46" s="24"/>
      <c r="F46" s="24"/>
      <c r="G46" s="25"/>
      <c r="H46" s="136"/>
      <c r="I46" s="27">
        <f t="shared" si="3"/>
        <v>0</v>
      </c>
      <c r="J46" s="27"/>
      <c r="K46" s="16"/>
      <c r="L46" s="27"/>
      <c r="M46" s="27"/>
      <c r="N46" s="27"/>
      <c r="O46" s="27"/>
      <c r="P46" s="27"/>
      <c r="Q46" s="27"/>
      <c r="R46" s="27"/>
      <c r="S46" s="27"/>
      <c r="T46" s="43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5"/>
      <c r="AJ46" s="58"/>
      <c r="AK46" s="55"/>
      <c r="AL46" s="66">
        <f t="shared" si="5"/>
        <v>0</v>
      </c>
      <c r="AM46" s="28" t="str">
        <f t="shared" si="2"/>
        <v>OK</v>
      </c>
    </row>
    <row r="47" spans="1:39" customFormat="1" hidden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135"/>
      <c r="I47" s="21">
        <f t="shared" si="3"/>
        <v>0</v>
      </c>
      <c r="J47" s="21"/>
      <c r="K47" s="16"/>
      <c r="L47" s="21"/>
      <c r="M47" s="21"/>
      <c r="N47" s="21"/>
      <c r="O47" s="21"/>
      <c r="P47" s="21"/>
      <c r="Q47" s="21"/>
      <c r="R47" s="21"/>
      <c r="S47" s="21"/>
      <c r="T47" s="42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4"/>
      <c r="AJ47" s="57"/>
      <c r="AK47" s="54"/>
      <c r="AL47" s="65">
        <f t="shared" si="5"/>
        <v>0</v>
      </c>
      <c r="AM47" s="22" t="str">
        <f t="shared" si="2"/>
        <v>OK</v>
      </c>
    </row>
    <row r="48" spans="1:39" customFormat="1" hidden="1">
      <c r="A48" s="68" t="s">
        <v>121</v>
      </c>
      <c r="B48" s="78">
        <v>16598</v>
      </c>
      <c r="C48" s="23" t="s">
        <v>87</v>
      </c>
      <c r="D48" s="24"/>
      <c r="E48" s="24"/>
      <c r="F48" s="24"/>
      <c r="G48" s="25"/>
      <c r="H48" s="136"/>
      <c r="I48" s="27">
        <f t="shared" si="3"/>
        <v>0</v>
      </c>
      <c r="J48" s="27"/>
      <c r="K48" s="16"/>
      <c r="L48" s="27"/>
      <c r="M48" s="27"/>
      <c r="N48" s="27"/>
      <c r="O48" s="27"/>
      <c r="P48" s="27"/>
      <c r="Q48" s="27"/>
      <c r="R48" s="27"/>
      <c r="S48" s="27"/>
      <c r="T48" s="43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5"/>
      <c r="AJ48" s="58"/>
      <c r="AK48" s="55"/>
      <c r="AL48" s="66">
        <f t="shared" si="5"/>
        <v>0</v>
      </c>
      <c r="AM48" s="28" t="str">
        <f t="shared" si="2"/>
        <v>OK</v>
      </c>
    </row>
    <row r="49" spans="1:39" customFormat="1" hidden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135"/>
      <c r="I49" s="21">
        <f t="shared" si="3"/>
        <v>0</v>
      </c>
      <c r="J49" s="21"/>
      <c r="K49" s="16"/>
      <c r="L49" s="21"/>
      <c r="M49" s="21"/>
      <c r="N49" s="21"/>
      <c r="O49" s="21"/>
      <c r="P49" s="21"/>
      <c r="Q49" s="21"/>
      <c r="R49" s="21"/>
      <c r="S49" s="21"/>
      <c r="T49" s="4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4"/>
      <c r="AJ49" s="57"/>
      <c r="AK49" s="54"/>
      <c r="AL49" s="65">
        <f t="shared" si="5"/>
        <v>0</v>
      </c>
      <c r="AM49" s="22" t="str">
        <f t="shared" si="2"/>
        <v>OK</v>
      </c>
    </row>
    <row r="50" spans="1:39" customFormat="1" hidden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136"/>
      <c r="I50" s="27">
        <f t="shared" si="3"/>
        <v>0</v>
      </c>
      <c r="J50" s="27"/>
      <c r="K50" s="16"/>
      <c r="L50" s="27"/>
      <c r="M50" s="27"/>
      <c r="N50" s="27"/>
      <c r="O50" s="27"/>
      <c r="P50" s="27"/>
      <c r="Q50" s="27"/>
      <c r="R50" s="27"/>
      <c r="S50" s="27"/>
      <c r="T50" s="43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8"/>
      <c r="AK50" s="55"/>
      <c r="AL50" s="66">
        <f t="shared" si="5"/>
        <v>0</v>
      </c>
      <c r="AM50" s="28" t="str">
        <f t="shared" si="2"/>
        <v>OK</v>
      </c>
    </row>
    <row r="51" spans="1:39" customFormat="1" hidden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135"/>
      <c r="I51" s="21">
        <f t="shared" si="3"/>
        <v>0</v>
      </c>
      <c r="J51" s="21"/>
      <c r="K51" s="16"/>
      <c r="L51" s="21"/>
      <c r="M51" s="21"/>
      <c r="N51" s="21"/>
      <c r="O51" s="21"/>
      <c r="P51" s="21"/>
      <c r="Q51" s="21"/>
      <c r="R51" s="21"/>
      <c r="S51" s="21"/>
      <c r="T51" s="4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4"/>
      <c r="AJ51" s="57"/>
      <c r="AK51" s="54"/>
      <c r="AL51" s="65">
        <f>SUM(L51:AK51)</f>
        <v>0</v>
      </c>
      <c r="AM51" s="22" t="str">
        <f t="shared" si="2"/>
        <v>OK</v>
      </c>
    </row>
    <row r="52" spans="1:39" customFormat="1" hidden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136"/>
      <c r="I52" s="27">
        <f t="shared" si="3"/>
        <v>0</v>
      </c>
      <c r="J52" s="27"/>
      <c r="K52" s="16"/>
      <c r="L52" s="27"/>
      <c r="M52" s="27"/>
      <c r="N52" s="27"/>
      <c r="O52" s="27"/>
      <c r="P52" s="27"/>
      <c r="Q52" s="27"/>
      <c r="R52" s="27"/>
      <c r="S52" s="27"/>
      <c r="T52" s="43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5"/>
      <c r="AJ52" s="58"/>
      <c r="AK52" s="55"/>
      <c r="AL52" s="66">
        <f t="shared" ref="AL52:AL64" si="6">SUM(L52:AK52)</f>
        <v>0</v>
      </c>
      <c r="AM52" s="28" t="str">
        <f t="shared" si="2"/>
        <v>OK</v>
      </c>
    </row>
    <row r="53" spans="1:39" customFormat="1" hidden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135"/>
      <c r="I53" s="21">
        <f t="shared" si="3"/>
        <v>0</v>
      </c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42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4"/>
      <c r="AJ53" s="57"/>
      <c r="AK53" s="54"/>
      <c r="AL53" s="65">
        <f t="shared" si="6"/>
        <v>0</v>
      </c>
      <c r="AM53" s="22" t="str">
        <f t="shared" si="2"/>
        <v>OK</v>
      </c>
    </row>
    <row r="54" spans="1:39" customFormat="1" hidden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136"/>
      <c r="I54" s="27">
        <f t="shared" si="3"/>
        <v>0</v>
      </c>
      <c r="J54" s="27"/>
      <c r="K54" s="16"/>
      <c r="L54" s="27"/>
      <c r="M54" s="27"/>
      <c r="N54" s="27"/>
      <c r="O54" s="27"/>
      <c r="P54" s="27"/>
      <c r="Q54" s="27"/>
      <c r="R54" s="27"/>
      <c r="S54" s="27"/>
      <c r="T54" s="43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5"/>
      <c r="AJ54" s="58"/>
      <c r="AK54" s="55"/>
      <c r="AL54" s="66">
        <f t="shared" si="6"/>
        <v>0</v>
      </c>
      <c r="AM54" s="28" t="str">
        <f t="shared" si="2"/>
        <v>OK</v>
      </c>
    </row>
    <row r="55" spans="1:39" customFormat="1" hidden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135"/>
      <c r="I55" s="21">
        <f t="shared" si="3"/>
        <v>0</v>
      </c>
      <c r="J55" s="21"/>
      <c r="K55" s="16"/>
      <c r="L55" s="21"/>
      <c r="M55" s="21"/>
      <c r="N55" s="21"/>
      <c r="O55" s="21"/>
      <c r="P55" s="21"/>
      <c r="Q55" s="21"/>
      <c r="R55" s="21"/>
      <c r="S55" s="21"/>
      <c r="T55" s="42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4"/>
      <c r="AJ55" s="57"/>
      <c r="AK55" s="54"/>
      <c r="AL55" s="65">
        <f t="shared" si="6"/>
        <v>0</v>
      </c>
      <c r="AM55" s="22" t="str">
        <f t="shared" si="2"/>
        <v>OK</v>
      </c>
    </row>
    <row r="56" spans="1:39" customFormat="1" hidden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136"/>
      <c r="I56" s="27">
        <f t="shared" si="3"/>
        <v>0</v>
      </c>
      <c r="J56" s="27"/>
      <c r="K56" s="16"/>
      <c r="L56" s="27"/>
      <c r="M56" s="27"/>
      <c r="N56" s="27"/>
      <c r="O56" s="27"/>
      <c r="P56" s="27"/>
      <c r="Q56" s="27"/>
      <c r="R56" s="27"/>
      <c r="S56" s="27"/>
      <c r="T56" s="43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5"/>
      <c r="AJ56" s="58"/>
      <c r="AK56" s="55"/>
      <c r="AL56" s="66">
        <f t="shared" si="6"/>
        <v>0</v>
      </c>
      <c r="AM56" s="28" t="str">
        <f t="shared" si="2"/>
        <v>OK</v>
      </c>
    </row>
    <row r="57" spans="1:39" customFormat="1" hidden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135"/>
      <c r="I57" s="21">
        <f t="shared" si="3"/>
        <v>0</v>
      </c>
      <c r="J57" s="21"/>
      <c r="K57" s="16"/>
      <c r="L57" s="21"/>
      <c r="M57" s="21"/>
      <c r="N57" s="21"/>
      <c r="O57" s="21"/>
      <c r="P57" s="21"/>
      <c r="Q57" s="21"/>
      <c r="R57" s="21"/>
      <c r="S57" s="21"/>
      <c r="T57" s="42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4"/>
      <c r="AJ57" s="57"/>
      <c r="AK57" s="54"/>
      <c r="AL57" s="65">
        <f t="shared" si="6"/>
        <v>0</v>
      </c>
      <c r="AM57" s="22" t="str">
        <f t="shared" si="2"/>
        <v>OK</v>
      </c>
    </row>
    <row r="58" spans="1:39" customFormat="1" hidden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136"/>
      <c r="I58" s="27">
        <f t="shared" si="3"/>
        <v>0</v>
      </c>
      <c r="J58" s="27"/>
      <c r="K58" s="16"/>
      <c r="L58" s="27"/>
      <c r="M58" s="27"/>
      <c r="N58" s="27"/>
      <c r="O58" s="27"/>
      <c r="P58" s="27"/>
      <c r="Q58" s="27"/>
      <c r="R58" s="27"/>
      <c r="S58" s="27"/>
      <c r="T58" s="43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5"/>
      <c r="AJ58" s="58"/>
      <c r="AK58" s="55"/>
      <c r="AL58" s="66">
        <f t="shared" si="6"/>
        <v>0</v>
      </c>
      <c r="AM58" s="28" t="str">
        <f t="shared" si="2"/>
        <v>OK</v>
      </c>
    </row>
    <row r="59" spans="1:39" customFormat="1" hidden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135"/>
      <c r="I59" s="21">
        <f t="shared" si="3"/>
        <v>0</v>
      </c>
      <c r="J59" s="21"/>
      <c r="K59" s="16"/>
      <c r="L59" s="21"/>
      <c r="M59" s="21"/>
      <c r="N59" s="21"/>
      <c r="O59" s="21"/>
      <c r="P59" s="21"/>
      <c r="Q59" s="21"/>
      <c r="R59" s="21"/>
      <c r="S59" s="21"/>
      <c r="T59" s="4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4"/>
      <c r="AJ59" s="57"/>
      <c r="AK59" s="54"/>
      <c r="AL59" s="65">
        <f t="shared" si="6"/>
        <v>0</v>
      </c>
      <c r="AM59" s="22" t="str">
        <f t="shared" si="2"/>
        <v>OK</v>
      </c>
    </row>
    <row r="60" spans="1:39" customFormat="1" hidden="1">
      <c r="A60" s="68" t="s">
        <v>84</v>
      </c>
      <c r="B60" s="78">
        <v>11380</v>
      </c>
      <c r="C60" s="23" t="s">
        <v>60</v>
      </c>
      <c r="D60" s="24"/>
      <c r="E60" s="24"/>
      <c r="F60" s="24"/>
      <c r="G60" s="25"/>
      <c r="H60" s="136"/>
      <c r="I60" s="27">
        <f t="shared" si="3"/>
        <v>0</v>
      </c>
      <c r="J60" s="27"/>
      <c r="K60" s="16"/>
      <c r="L60" s="27"/>
      <c r="M60" s="27"/>
      <c r="N60" s="27"/>
      <c r="O60" s="27"/>
      <c r="P60" s="27"/>
      <c r="Q60" s="27"/>
      <c r="R60" s="27"/>
      <c r="S60" s="27"/>
      <c r="T60" s="43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5"/>
      <c r="AJ60" s="58"/>
      <c r="AK60" s="55"/>
      <c r="AL60" s="66">
        <f t="shared" si="6"/>
        <v>0</v>
      </c>
      <c r="AM60" s="28" t="str">
        <f t="shared" si="2"/>
        <v>OK</v>
      </c>
    </row>
    <row r="61" spans="1:39" customFormat="1" hidden="1">
      <c r="A61" s="80" t="s">
        <v>112</v>
      </c>
      <c r="B61" s="77">
        <v>18518</v>
      </c>
      <c r="C61" s="17" t="s">
        <v>87</v>
      </c>
      <c r="D61" s="69"/>
      <c r="E61" s="18"/>
      <c r="F61" s="18"/>
      <c r="G61" s="19"/>
      <c r="H61" s="135">
        <v>660</v>
      </c>
      <c r="I61" s="21">
        <f t="shared" si="3"/>
        <v>0</v>
      </c>
      <c r="J61" s="21"/>
      <c r="K61" s="16"/>
      <c r="L61" s="21"/>
      <c r="M61" s="21"/>
      <c r="N61" s="21"/>
      <c r="O61" s="21"/>
      <c r="P61" s="21"/>
      <c r="Q61" s="21"/>
      <c r="R61" s="21"/>
      <c r="S61" s="21"/>
      <c r="T61" s="4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4"/>
      <c r="AJ61" s="57"/>
      <c r="AK61" s="54"/>
      <c r="AL61" s="65">
        <f t="shared" si="6"/>
        <v>0</v>
      </c>
      <c r="AM61" s="22" t="str">
        <f t="shared" si="2"/>
        <v>OK</v>
      </c>
    </row>
    <row r="62" spans="1:39" customFormat="1" hidden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136">
        <f>1006+503</f>
        <v>1509</v>
      </c>
      <c r="I62" s="27">
        <f t="shared" si="3"/>
        <v>0</v>
      </c>
      <c r="J62" s="27"/>
      <c r="K62" s="16"/>
      <c r="L62" s="27"/>
      <c r="M62" s="27"/>
      <c r="N62" s="27"/>
      <c r="O62" s="27"/>
      <c r="P62" s="27"/>
      <c r="Q62" s="27"/>
      <c r="R62" s="27"/>
      <c r="S62" s="27"/>
      <c r="T62" s="43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5"/>
      <c r="AJ62" s="58"/>
      <c r="AK62" s="55"/>
      <c r="AL62" s="66">
        <f t="shared" si="6"/>
        <v>0</v>
      </c>
      <c r="AM62" s="28" t="str">
        <f t="shared" si="2"/>
        <v>OK</v>
      </c>
    </row>
    <row r="63" spans="1:39" customFormat="1" hidden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135"/>
      <c r="I63" s="21">
        <f t="shared" si="3"/>
        <v>0</v>
      </c>
      <c r="J63" s="21"/>
      <c r="K63" s="16"/>
      <c r="L63" s="21"/>
      <c r="M63" s="21"/>
      <c r="N63" s="21"/>
      <c r="O63" s="21"/>
      <c r="P63" s="21"/>
      <c r="Q63" s="21"/>
      <c r="R63" s="21"/>
      <c r="S63" s="21"/>
      <c r="T63" s="4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4"/>
      <c r="AJ63" s="57"/>
      <c r="AK63" s="54"/>
      <c r="AL63" s="65">
        <f t="shared" si="6"/>
        <v>0</v>
      </c>
      <c r="AM63" s="22" t="str">
        <f t="shared" si="2"/>
        <v>OK</v>
      </c>
    </row>
    <row r="64" spans="1:39" customFormat="1" ht="17.25" thickBot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136">
        <v>2060</v>
      </c>
      <c r="I64" s="27">
        <f t="shared" si="3"/>
        <v>1</v>
      </c>
      <c r="J64" s="27"/>
      <c r="K64" s="16"/>
      <c r="L64" s="27"/>
      <c r="M64" s="27"/>
      <c r="N64" s="27"/>
      <c r="O64" s="27"/>
      <c r="P64" s="27"/>
      <c r="Q64" s="27"/>
      <c r="R64" s="27"/>
      <c r="S64" s="27"/>
      <c r="T64" s="43"/>
      <c r="U64" s="52"/>
      <c r="V64" s="52">
        <v>1</v>
      </c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5"/>
      <c r="AJ64" s="58"/>
      <c r="AK64" s="55"/>
      <c r="AL64" s="66">
        <f t="shared" si="6"/>
        <v>1</v>
      </c>
      <c r="AM64" s="28" t="str">
        <f t="shared" si="2"/>
        <v>OK</v>
      </c>
    </row>
    <row r="65" spans="1:39" customFormat="1" ht="17.25" hidden="1" thickBot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135"/>
      <c r="I65" s="21">
        <f t="shared" si="3"/>
        <v>0</v>
      </c>
      <c r="J65" s="21"/>
      <c r="K65" s="16"/>
      <c r="L65" s="21"/>
      <c r="M65" s="21"/>
      <c r="N65" s="21"/>
      <c r="O65" s="21"/>
      <c r="P65" s="21"/>
      <c r="Q65" s="21"/>
      <c r="R65" s="21"/>
      <c r="S65" s="21"/>
      <c r="T65" s="4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4"/>
      <c r="AJ65" s="57"/>
      <c r="AK65" s="54"/>
      <c r="AL65" s="65">
        <f t="shared" si="4"/>
        <v>0</v>
      </c>
      <c r="AM65" s="22" t="str">
        <f t="shared" si="2"/>
        <v>OK</v>
      </c>
    </row>
    <row r="66" spans="1:39" customFormat="1" ht="17.25" hidden="1" thickBot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136"/>
      <c r="I66" s="27">
        <f t="shared" si="3"/>
        <v>0</v>
      </c>
      <c r="J66" s="27"/>
      <c r="K66" s="16"/>
      <c r="L66" s="27"/>
      <c r="M66" s="27"/>
      <c r="N66" s="27"/>
      <c r="O66" s="27"/>
      <c r="P66" s="27"/>
      <c r="Q66" s="27"/>
      <c r="R66" s="27"/>
      <c r="S66" s="27"/>
      <c r="T66" s="43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5"/>
      <c r="AJ66" s="58"/>
      <c r="AK66" s="55"/>
      <c r="AL66" s="66">
        <f t="shared" si="4"/>
        <v>0</v>
      </c>
      <c r="AM66" s="28" t="str">
        <f t="shared" si="2"/>
        <v>OK</v>
      </c>
    </row>
    <row r="67" spans="1:39" customFormat="1" ht="17.25" hidden="1" thickBot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135">
        <v>1430</v>
      </c>
      <c r="I67" s="21">
        <f t="shared" si="3"/>
        <v>0</v>
      </c>
      <c r="J67" s="21"/>
      <c r="K67" s="16"/>
      <c r="L67" s="21"/>
      <c r="M67" s="21"/>
      <c r="N67" s="21"/>
      <c r="O67" s="21"/>
      <c r="P67" s="21"/>
      <c r="Q67" s="21"/>
      <c r="R67" s="21"/>
      <c r="S67" s="21"/>
      <c r="T67" s="4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4"/>
      <c r="AJ67" s="57"/>
      <c r="AK67" s="54"/>
      <c r="AL67" s="65">
        <f t="shared" si="4"/>
        <v>0</v>
      </c>
      <c r="AM67" s="22" t="str">
        <f t="shared" si="2"/>
        <v>OK</v>
      </c>
    </row>
    <row r="68" spans="1:39" customFormat="1" ht="17.25" hidden="1" thickBot="1">
      <c r="A68" s="81" t="s">
        <v>132</v>
      </c>
      <c r="B68" s="78">
        <v>20269</v>
      </c>
      <c r="C68" s="23" t="s">
        <v>131</v>
      </c>
      <c r="D68" s="24"/>
      <c r="E68" s="24"/>
      <c r="F68" s="24"/>
      <c r="G68" s="25"/>
      <c r="H68" s="136"/>
      <c r="I68" s="27">
        <f t="shared" si="3"/>
        <v>0</v>
      </c>
      <c r="J68" s="27"/>
      <c r="K68" s="16"/>
      <c r="L68" s="27"/>
      <c r="M68" s="27"/>
      <c r="N68" s="27"/>
      <c r="O68" s="27"/>
      <c r="P68" s="27"/>
      <c r="Q68" s="27"/>
      <c r="R68" s="27"/>
      <c r="S68" s="27"/>
      <c r="T68" s="43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5"/>
      <c r="AJ68" s="58"/>
      <c r="AK68" s="55"/>
      <c r="AL68" s="66">
        <f t="shared" si="4"/>
        <v>0</v>
      </c>
      <c r="AM68" s="28" t="str">
        <f t="shared" si="2"/>
        <v>OK</v>
      </c>
    </row>
    <row r="69" spans="1:39" customFormat="1" ht="17.25" hidden="1" thickBot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135"/>
      <c r="I69" s="21">
        <f t="shared" si="3"/>
        <v>0</v>
      </c>
      <c r="J69" s="21"/>
      <c r="K69" s="16"/>
      <c r="L69" s="21"/>
      <c r="M69" s="21"/>
      <c r="N69" s="21"/>
      <c r="O69" s="21"/>
      <c r="P69" s="21"/>
      <c r="Q69" s="21"/>
      <c r="R69" s="21"/>
      <c r="S69" s="21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7"/>
      <c r="AK69" s="54"/>
      <c r="AL69" s="65">
        <f t="shared" si="4"/>
        <v>0</v>
      </c>
      <c r="AM69" s="22" t="str">
        <f t="shared" si="2"/>
        <v>OK</v>
      </c>
    </row>
    <row r="70" spans="1:39" customFormat="1" ht="17.25" hidden="1" thickBot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136">
        <v>162</v>
      </c>
      <c r="I70" s="27">
        <f t="shared" si="3"/>
        <v>0</v>
      </c>
      <c r="J70" s="27"/>
      <c r="K70" s="16"/>
      <c r="L70" s="27"/>
      <c r="M70" s="27"/>
      <c r="N70" s="27"/>
      <c r="O70" s="27"/>
      <c r="P70" s="27"/>
      <c r="Q70" s="27"/>
      <c r="R70" s="27"/>
      <c r="S70" s="27"/>
      <c r="T70" s="43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5"/>
      <c r="AJ70" s="58"/>
      <c r="AK70" s="55"/>
      <c r="AL70" s="66">
        <f t="shared" si="4"/>
        <v>0</v>
      </c>
      <c r="AM70" s="28" t="str">
        <f t="shared" si="2"/>
        <v>OK</v>
      </c>
    </row>
    <row r="71" spans="1:39" customFormat="1" ht="17.25" hidden="1" thickBot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135"/>
      <c r="I71" s="21">
        <f t="shared" ref="I71:I96" si="7">SUM(L71:AK71)</f>
        <v>0</v>
      </c>
      <c r="J71" s="21"/>
      <c r="K71" s="16"/>
      <c r="L71" s="21"/>
      <c r="M71" s="21"/>
      <c r="N71" s="21"/>
      <c r="O71" s="21"/>
      <c r="P71" s="21"/>
      <c r="Q71" s="21"/>
      <c r="R71" s="21"/>
      <c r="S71" s="21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4"/>
      <c r="AJ71" s="57"/>
      <c r="AK71" s="54"/>
      <c r="AL71" s="65">
        <f t="shared" si="4"/>
        <v>0</v>
      </c>
      <c r="AM71" s="22" t="str">
        <f t="shared" si="2"/>
        <v>OK</v>
      </c>
    </row>
    <row r="72" spans="1:39" customFormat="1" ht="17.25" hidden="1" thickBot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136"/>
      <c r="I72" s="27">
        <f t="shared" si="7"/>
        <v>0</v>
      </c>
      <c r="J72" s="27"/>
      <c r="K72" s="16"/>
      <c r="L72" s="27"/>
      <c r="M72" s="27"/>
      <c r="N72" s="27"/>
      <c r="O72" s="27"/>
      <c r="P72" s="27"/>
      <c r="Q72" s="27"/>
      <c r="R72" s="27"/>
      <c r="S72" s="27"/>
      <c r="T72" s="43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5"/>
      <c r="AJ72" s="58"/>
      <c r="AK72" s="55"/>
      <c r="AL72" s="66">
        <f t="shared" si="4"/>
        <v>0</v>
      </c>
      <c r="AM72" s="28" t="str">
        <f t="shared" si="2"/>
        <v>OK</v>
      </c>
    </row>
    <row r="73" spans="1:39" customFormat="1" ht="17.25" hidden="1" thickBot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138"/>
      <c r="I73" s="101">
        <f t="shared" si="7"/>
        <v>0</v>
      </c>
      <c r="J73" s="21"/>
      <c r="K73" s="16"/>
      <c r="L73" s="21"/>
      <c r="M73" s="21"/>
      <c r="N73" s="21"/>
      <c r="O73" s="21"/>
      <c r="P73" s="21"/>
      <c r="Q73" s="21"/>
      <c r="R73" s="21"/>
      <c r="S73" s="21"/>
      <c r="T73" s="42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4"/>
      <c r="AJ73" s="57"/>
      <c r="AK73" s="54"/>
      <c r="AL73" s="65">
        <f t="shared" si="4"/>
        <v>0</v>
      </c>
      <c r="AM73" s="22" t="str">
        <f t="shared" si="2"/>
        <v>OK</v>
      </c>
    </row>
    <row r="74" spans="1:39" customFormat="1" ht="17.25" hidden="1" thickBot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139"/>
      <c r="I74" s="103">
        <f t="shared" si="7"/>
        <v>0</v>
      </c>
      <c r="J74" s="27"/>
      <c r="K74" s="16"/>
      <c r="L74" s="100"/>
      <c r="M74" s="100"/>
      <c r="N74" s="100"/>
      <c r="O74" s="100"/>
      <c r="P74" s="100"/>
      <c r="Q74" s="100"/>
      <c r="R74" s="100"/>
      <c r="S74" s="100"/>
      <c r="T74" s="109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1"/>
      <c r="AJ74" s="112"/>
      <c r="AK74" s="111"/>
      <c r="AL74" s="66">
        <f t="shared" si="4"/>
        <v>0</v>
      </c>
      <c r="AM74" s="28" t="str">
        <f t="shared" si="2"/>
        <v>OK</v>
      </c>
    </row>
    <row r="75" spans="1:39" ht="17.25" hidden="1" thickBot="1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40"/>
      <c r="I75" s="105">
        <f t="shared" si="7"/>
        <v>0</v>
      </c>
      <c r="J75" s="90"/>
      <c r="K75" s="91"/>
      <c r="L75" s="113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5"/>
      <c r="AL75" s="92">
        <f t="shared" ref="AL75:AL80" si="8">SUM(L75:AK75)</f>
        <v>0</v>
      </c>
      <c r="AM75" s="122" t="str">
        <f t="shared" ref="AM75:AM96" si="9">IF(AL75=I75,"OK","NG")</f>
        <v>OK</v>
      </c>
    </row>
    <row r="76" spans="1:39" ht="17.25" hidden="1" thickBot="1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139"/>
      <c r="I76" s="106">
        <f t="shared" si="7"/>
        <v>0</v>
      </c>
      <c r="J76" s="85"/>
      <c r="K76" s="16"/>
      <c r="L76" s="1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8"/>
      <c r="AL76" s="66">
        <f t="shared" si="8"/>
        <v>0</v>
      </c>
      <c r="AM76" s="28" t="str">
        <f t="shared" si="9"/>
        <v>OK</v>
      </c>
    </row>
    <row r="77" spans="1:39" ht="17.25" hidden="1" thickBot="1">
      <c r="A77" s="87" t="s">
        <v>165</v>
      </c>
      <c r="B77" s="93">
        <v>13007</v>
      </c>
      <c r="C77" s="94" t="s">
        <v>164</v>
      </c>
      <c r="D77" s="88"/>
      <c r="E77" s="88"/>
      <c r="F77" s="88"/>
      <c r="G77" s="89"/>
      <c r="H77" s="104"/>
      <c r="I77" s="105">
        <f t="shared" si="7"/>
        <v>0</v>
      </c>
      <c r="J77" s="90"/>
      <c r="K77" s="91"/>
      <c r="L77" s="113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5"/>
      <c r="AL77" s="92">
        <f t="shared" si="8"/>
        <v>0</v>
      </c>
      <c r="AM77" s="122" t="str">
        <f t="shared" si="9"/>
        <v>OK</v>
      </c>
    </row>
    <row r="78" spans="1:39" ht="17.25" hidden="1" thickBot="1">
      <c r="A78" s="68"/>
      <c r="B78" s="78"/>
      <c r="C78" s="95"/>
      <c r="D78" s="83"/>
      <c r="E78" s="83"/>
      <c r="F78" s="83"/>
      <c r="G78" s="84"/>
      <c r="H78" s="102"/>
      <c r="I78" s="106">
        <f t="shared" si="7"/>
        <v>0</v>
      </c>
      <c r="J78" s="85"/>
      <c r="K78" s="16"/>
      <c r="L78" s="1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66">
        <f t="shared" si="8"/>
        <v>0</v>
      </c>
      <c r="AM78" s="28" t="str">
        <f t="shared" si="9"/>
        <v>OK</v>
      </c>
    </row>
    <row r="79" spans="1:39" ht="17.25" hidden="1" thickBot="1">
      <c r="A79" s="87"/>
      <c r="B79" s="93"/>
      <c r="C79" s="94"/>
      <c r="D79" s="88"/>
      <c r="E79" s="88"/>
      <c r="F79" s="88"/>
      <c r="G79" s="89"/>
      <c r="H79" s="104"/>
      <c r="I79" s="105">
        <f t="shared" si="7"/>
        <v>0</v>
      </c>
      <c r="J79" s="90"/>
      <c r="K79" s="91"/>
      <c r="L79" s="113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5"/>
      <c r="AL79" s="92">
        <f t="shared" si="8"/>
        <v>0</v>
      </c>
      <c r="AM79" s="122" t="str">
        <f t="shared" si="9"/>
        <v>OK</v>
      </c>
    </row>
    <row r="80" spans="1:39" ht="17.25" hidden="1" thickBot="1">
      <c r="A80" s="68"/>
      <c r="B80" s="78"/>
      <c r="C80" s="95"/>
      <c r="D80" s="83"/>
      <c r="E80" s="83"/>
      <c r="F80" s="83"/>
      <c r="G80" s="84"/>
      <c r="H80" s="102"/>
      <c r="I80" s="106">
        <f t="shared" si="7"/>
        <v>0</v>
      </c>
      <c r="J80" s="85"/>
      <c r="K80" s="16"/>
      <c r="L80" s="116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66">
        <f t="shared" si="8"/>
        <v>0</v>
      </c>
      <c r="AM80" s="28" t="str">
        <f t="shared" si="9"/>
        <v>OK</v>
      </c>
    </row>
    <row r="81" spans="1:39" ht="17.25" hidden="1" thickBot="1">
      <c r="A81" s="87"/>
      <c r="B81" s="93"/>
      <c r="C81" s="94"/>
      <c r="D81" s="88"/>
      <c r="E81" s="88"/>
      <c r="F81" s="88"/>
      <c r="G81" s="89"/>
      <c r="H81" s="104"/>
      <c r="I81" s="105">
        <f t="shared" si="7"/>
        <v>0</v>
      </c>
      <c r="J81" s="90"/>
      <c r="K81" s="91"/>
      <c r="L81" s="113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5"/>
      <c r="AL81" s="92">
        <f t="shared" ref="AL81:AL96" si="10">SUM(L81:AK81)</f>
        <v>0</v>
      </c>
      <c r="AM81" s="122" t="str">
        <f t="shared" si="9"/>
        <v>OK</v>
      </c>
    </row>
    <row r="82" spans="1:39" ht="17.25" hidden="1" thickBot="1">
      <c r="A82" s="68"/>
      <c r="B82" s="78"/>
      <c r="C82" s="95"/>
      <c r="D82" s="83"/>
      <c r="E82" s="83"/>
      <c r="F82" s="83"/>
      <c r="G82" s="84"/>
      <c r="H82" s="102"/>
      <c r="I82" s="106">
        <f t="shared" si="7"/>
        <v>0</v>
      </c>
      <c r="J82" s="85"/>
      <c r="K82" s="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66">
        <f t="shared" si="10"/>
        <v>0</v>
      </c>
      <c r="AM82" s="28" t="str">
        <f t="shared" si="9"/>
        <v>OK</v>
      </c>
    </row>
    <row r="83" spans="1:39" ht="17.25" hidden="1" thickBot="1">
      <c r="A83" s="96"/>
      <c r="B83" s="93"/>
      <c r="C83" s="94"/>
      <c r="D83" s="88"/>
      <c r="E83" s="88"/>
      <c r="F83" s="88"/>
      <c r="G83" s="89"/>
      <c r="H83" s="104"/>
      <c r="I83" s="105">
        <f t="shared" si="7"/>
        <v>0</v>
      </c>
      <c r="J83" s="90"/>
      <c r="K83" s="91"/>
      <c r="L83" s="113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5"/>
      <c r="AL83" s="92">
        <f t="shared" si="10"/>
        <v>0</v>
      </c>
      <c r="AM83" s="122" t="str">
        <f t="shared" si="9"/>
        <v>OK</v>
      </c>
    </row>
    <row r="84" spans="1:39" ht="17.25" hidden="1" thickBot="1">
      <c r="A84" s="68"/>
      <c r="B84" s="78"/>
      <c r="C84" s="95"/>
      <c r="D84" s="83"/>
      <c r="E84" s="83"/>
      <c r="F84" s="83"/>
      <c r="G84" s="84"/>
      <c r="H84" s="102"/>
      <c r="I84" s="106">
        <f t="shared" si="7"/>
        <v>0</v>
      </c>
      <c r="J84" s="85"/>
      <c r="K84" s="16"/>
      <c r="L84" s="116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66">
        <f t="shared" si="10"/>
        <v>0</v>
      </c>
      <c r="AM84" s="28" t="str">
        <f t="shared" si="9"/>
        <v>OK</v>
      </c>
    </row>
    <row r="85" spans="1:39" ht="17.25" hidden="1" thickBot="1">
      <c r="A85" s="87"/>
      <c r="B85" s="93"/>
      <c r="C85" s="94"/>
      <c r="D85" s="88"/>
      <c r="E85" s="88"/>
      <c r="F85" s="88"/>
      <c r="G85" s="89"/>
      <c r="H85" s="104"/>
      <c r="I85" s="105">
        <f t="shared" si="7"/>
        <v>0</v>
      </c>
      <c r="J85" s="90"/>
      <c r="K85" s="91"/>
      <c r="L85" s="113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5"/>
      <c r="AL85" s="92">
        <f t="shared" si="10"/>
        <v>0</v>
      </c>
      <c r="AM85" s="122" t="str">
        <f t="shared" si="9"/>
        <v>OK</v>
      </c>
    </row>
    <row r="86" spans="1:39" ht="17.25" hidden="1" thickBot="1">
      <c r="A86" s="68"/>
      <c r="B86" s="78"/>
      <c r="C86" s="95"/>
      <c r="D86" s="83"/>
      <c r="E86" s="83"/>
      <c r="F86" s="83"/>
      <c r="G86" s="84"/>
      <c r="H86" s="102"/>
      <c r="I86" s="106">
        <f t="shared" si="7"/>
        <v>0</v>
      </c>
      <c r="J86" s="85"/>
      <c r="K86" s="16"/>
      <c r="L86" s="116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66">
        <f t="shared" si="10"/>
        <v>0</v>
      </c>
      <c r="AM86" s="28" t="str">
        <f t="shared" si="9"/>
        <v>OK</v>
      </c>
    </row>
    <row r="87" spans="1:39" ht="17.25" hidden="1" thickBot="1">
      <c r="A87" s="87"/>
      <c r="B87" s="93"/>
      <c r="C87" s="94"/>
      <c r="D87" s="88"/>
      <c r="E87" s="88"/>
      <c r="F87" s="88"/>
      <c r="G87" s="89"/>
      <c r="H87" s="104"/>
      <c r="I87" s="105">
        <f t="shared" si="7"/>
        <v>0</v>
      </c>
      <c r="J87" s="90"/>
      <c r="K87" s="91"/>
      <c r="L87" s="113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5"/>
      <c r="AL87" s="92">
        <f t="shared" si="10"/>
        <v>0</v>
      </c>
      <c r="AM87" s="122" t="str">
        <f t="shared" si="9"/>
        <v>OK</v>
      </c>
    </row>
    <row r="88" spans="1:39" ht="17.25" hidden="1" thickBot="1">
      <c r="A88" s="68"/>
      <c r="B88" s="78"/>
      <c r="C88" s="95"/>
      <c r="D88" s="83"/>
      <c r="E88" s="83"/>
      <c r="F88" s="83"/>
      <c r="G88" s="84"/>
      <c r="H88" s="102"/>
      <c r="I88" s="106">
        <f t="shared" si="7"/>
        <v>0</v>
      </c>
      <c r="J88" s="85"/>
      <c r="K88" s="16"/>
      <c r="L88" s="116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66">
        <f t="shared" si="10"/>
        <v>0</v>
      </c>
      <c r="AM88" s="28" t="str">
        <f t="shared" si="9"/>
        <v>OK</v>
      </c>
    </row>
    <row r="89" spans="1:39" ht="17.25" hidden="1" thickBot="1">
      <c r="A89" s="87"/>
      <c r="B89" s="93"/>
      <c r="C89" s="94"/>
      <c r="D89" s="88"/>
      <c r="E89" s="88"/>
      <c r="F89" s="88"/>
      <c r="G89" s="89"/>
      <c r="H89" s="104"/>
      <c r="I89" s="105">
        <f t="shared" si="7"/>
        <v>0</v>
      </c>
      <c r="J89" s="90"/>
      <c r="K89" s="91"/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5"/>
      <c r="AL89" s="92">
        <f t="shared" si="10"/>
        <v>0</v>
      </c>
      <c r="AM89" s="122" t="str">
        <f t="shared" si="9"/>
        <v>OK</v>
      </c>
    </row>
    <row r="90" spans="1:39" ht="17.25" hidden="1" thickBot="1">
      <c r="A90" s="68"/>
      <c r="B90" s="78"/>
      <c r="C90" s="95"/>
      <c r="D90" s="83"/>
      <c r="E90" s="83"/>
      <c r="F90" s="83"/>
      <c r="G90" s="84"/>
      <c r="H90" s="102"/>
      <c r="I90" s="106">
        <f t="shared" si="7"/>
        <v>0</v>
      </c>
      <c r="J90" s="85"/>
      <c r="K90" s="16"/>
      <c r="L90" s="116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66">
        <f t="shared" si="10"/>
        <v>0</v>
      </c>
      <c r="AM90" s="28" t="str">
        <f t="shared" si="9"/>
        <v>OK</v>
      </c>
    </row>
    <row r="91" spans="1:39" ht="17.25" hidden="1" thickBot="1">
      <c r="A91" s="87"/>
      <c r="B91" s="93"/>
      <c r="C91" s="94"/>
      <c r="D91" s="88"/>
      <c r="E91" s="88"/>
      <c r="F91" s="88"/>
      <c r="G91" s="89"/>
      <c r="H91" s="104"/>
      <c r="I91" s="105">
        <f t="shared" si="7"/>
        <v>0</v>
      </c>
      <c r="J91" s="90"/>
      <c r="K91" s="91"/>
      <c r="L91" s="113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5"/>
      <c r="AL91" s="92">
        <f t="shared" si="10"/>
        <v>0</v>
      </c>
      <c r="AM91" s="122" t="str">
        <f t="shared" si="9"/>
        <v>OK</v>
      </c>
    </row>
    <row r="92" spans="1:39" ht="17.25" hidden="1" thickBot="1">
      <c r="A92" s="68"/>
      <c r="B92" s="78"/>
      <c r="C92" s="95"/>
      <c r="D92" s="83"/>
      <c r="E92" s="83"/>
      <c r="F92" s="83"/>
      <c r="G92" s="84"/>
      <c r="H92" s="102"/>
      <c r="I92" s="106">
        <f t="shared" si="7"/>
        <v>0</v>
      </c>
      <c r="J92" s="85"/>
      <c r="K92" s="16"/>
      <c r="L92" s="116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66">
        <f t="shared" si="10"/>
        <v>0</v>
      </c>
      <c r="AM92" s="28" t="str">
        <f t="shared" si="9"/>
        <v>OK</v>
      </c>
    </row>
    <row r="93" spans="1:39" ht="17.25" hidden="1" thickBot="1">
      <c r="A93" s="87"/>
      <c r="B93" s="93"/>
      <c r="C93" s="94"/>
      <c r="D93" s="88"/>
      <c r="E93" s="88"/>
      <c r="F93" s="88"/>
      <c r="G93" s="89"/>
      <c r="H93" s="104"/>
      <c r="I93" s="105">
        <f t="shared" si="7"/>
        <v>0</v>
      </c>
      <c r="J93" s="90"/>
      <c r="K93" s="91"/>
      <c r="L93" s="113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5"/>
      <c r="AL93" s="92">
        <f t="shared" si="10"/>
        <v>0</v>
      </c>
      <c r="AM93" s="122" t="str">
        <f t="shared" si="9"/>
        <v>OK</v>
      </c>
    </row>
    <row r="94" spans="1:39" ht="17.25" hidden="1" thickBot="1">
      <c r="A94" s="68"/>
      <c r="B94" s="78"/>
      <c r="C94" s="95"/>
      <c r="D94" s="83"/>
      <c r="E94" s="83"/>
      <c r="F94" s="83"/>
      <c r="G94" s="84"/>
      <c r="H94" s="102"/>
      <c r="I94" s="106">
        <f t="shared" si="7"/>
        <v>0</v>
      </c>
      <c r="J94" s="85"/>
      <c r="K94" s="16"/>
      <c r="L94" s="116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66">
        <f t="shared" si="10"/>
        <v>0</v>
      </c>
      <c r="AM94" s="28" t="str">
        <f t="shared" si="9"/>
        <v>OK</v>
      </c>
    </row>
    <row r="95" spans="1:39" ht="17.25" hidden="1" thickBot="1">
      <c r="A95" s="87"/>
      <c r="B95" s="93"/>
      <c r="C95" s="94"/>
      <c r="D95" s="88"/>
      <c r="E95" s="88"/>
      <c r="F95" s="88"/>
      <c r="G95" s="89"/>
      <c r="H95" s="104"/>
      <c r="I95" s="105">
        <f t="shared" si="7"/>
        <v>0</v>
      </c>
      <c r="J95" s="90"/>
      <c r="K95" s="91"/>
      <c r="L95" s="113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5"/>
      <c r="AL95" s="92">
        <f t="shared" si="10"/>
        <v>0</v>
      </c>
      <c r="AM95" s="122" t="str">
        <f t="shared" si="9"/>
        <v>OK</v>
      </c>
    </row>
    <row r="96" spans="1:39" ht="17.25" hidden="1" thickBot="1">
      <c r="A96" s="97"/>
      <c r="B96" s="98"/>
      <c r="C96" s="99"/>
      <c r="D96" s="83"/>
      <c r="E96" s="83"/>
      <c r="F96" s="83"/>
      <c r="G96" s="84"/>
      <c r="H96" s="107"/>
      <c r="I96" s="108">
        <f t="shared" si="7"/>
        <v>0</v>
      </c>
      <c r="J96" s="85"/>
      <c r="K96" s="16"/>
      <c r="L96" s="119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1"/>
      <c r="AL96" s="66">
        <f t="shared" si="10"/>
        <v>0</v>
      </c>
      <c r="AM96" s="28" t="str">
        <f t="shared" si="9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33985</v>
      </c>
      <c r="I97" s="46">
        <f>SUM(I6:I96)</f>
        <v>17</v>
      </c>
      <c r="J97" s="47">
        <f>SUM(J6:J74)</f>
        <v>0</v>
      </c>
      <c r="K97" s="9"/>
      <c r="L97" s="45">
        <f>SUM(L6:L96)</f>
        <v>10</v>
      </c>
      <c r="M97" s="45">
        <f t="shared" ref="M97:AI97" si="11">SUM(M6:M96)</f>
        <v>0</v>
      </c>
      <c r="N97" s="45">
        <f t="shared" si="11"/>
        <v>0</v>
      </c>
      <c r="O97" s="45">
        <f t="shared" si="11"/>
        <v>0</v>
      </c>
      <c r="P97" s="45">
        <f t="shared" si="11"/>
        <v>0</v>
      </c>
      <c r="Q97" s="45">
        <f t="shared" si="11"/>
        <v>0</v>
      </c>
      <c r="R97" s="45">
        <f t="shared" si="11"/>
        <v>0</v>
      </c>
      <c r="S97" s="45">
        <f t="shared" si="11"/>
        <v>0</v>
      </c>
      <c r="T97" s="45">
        <f t="shared" si="11"/>
        <v>0</v>
      </c>
      <c r="U97" s="45">
        <f t="shared" si="11"/>
        <v>0</v>
      </c>
      <c r="V97" s="45">
        <f t="shared" si="11"/>
        <v>1</v>
      </c>
      <c r="W97" s="45">
        <f t="shared" si="11"/>
        <v>0</v>
      </c>
      <c r="X97" s="45">
        <f t="shared" si="11"/>
        <v>0</v>
      </c>
      <c r="Y97" s="45">
        <f t="shared" si="11"/>
        <v>0</v>
      </c>
      <c r="Z97" s="45">
        <f t="shared" si="11"/>
        <v>0</v>
      </c>
      <c r="AA97" s="45">
        <f t="shared" si="11"/>
        <v>0</v>
      </c>
      <c r="AB97" s="45">
        <f t="shared" si="11"/>
        <v>0</v>
      </c>
      <c r="AC97" s="45">
        <f t="shared" si="11"/>
        <v>4</v>
      </c>
      <c r="AD97" s="45">
        <f t="shared" si="11"/>
        <v>0</v>
      </c>
      <c r="AE97" s="45">
        <f t="shared" si="11"/>
        <v>0</v>
      </c>
      <c r="AF97" s="45">
        <f t="shared" si="11"/>
        <v>0</v>
      </c>
      <c r="AG97" s="45">
        <f t="shared" si="11"/>
        <v>0</v>
      </c>
      <c r="AH97" s="45">
        <f t="shared" si="11"/>
        <v>0</v>
      </c>
      <c r="AI97" s="45">
        <f t="shared" si="11"/>
        <v>2</v>
      </c>
      <c r="AJ97" s="49">
        <f>SUM(AJ6:AJ96)</f>
        <v>0</v>
      </c>
      <c r="AK97" s="61">
        <f>SUM(AK6:AK96)</f>
        <v>0</v>
      </c>
      <c r="AL97" s="67">
        <f>SUM(AL6:AL96)</f>
        <v>17</v>
      </c>
      <c r="AM97" s="48" t="str">
        <f>IF(AL97=SUM(I97),"OK","NG")</f>
        <v>OK</v>
      </c>
    </row>
  </sheetData>
  <autoFilter ref="A5:AM97" xr:uid="{00000000-0001-0000-1200-000000000000}">
    <filterColumn colId="8">
      <filters>
        <filter val="1"/>
        <filter val="10"/>
        <filter val="17"/>
        <filter val="2"/>
      </filters>
    </filterColumn>
  </autoFilter>
  <mergeCells count="37">
    <mergeCell ref="AM4:AM5"/>
    <mergeCell ref="AG4:AG5"/>
    <mergeCell ref="AH4:AH5"/>
    <mergeCell ref="AI4:AI5"/>
    <mergeCell ref="AJ4:AJ5"/>
    <mergeCell ref="AK4:AK5"/>
    <mergeCell ref="AL4:AL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B1:C1"/>
    <mergeCell ref="F1:G1"/>
    <mergeCell ref="H1:J3"/>
    <mergeCell ref="B2:C2"/>
    <mergeCell ref="AM2:AM3"/>
    <mergeCell ref="B3:C3"/>
  </mergeCells>
  <phoneticPr fontId="3" type="noConversion"/>
  <conditionalFormatting sqref="A4 AM6:AM97">
    <cfRule type="containsText" dxfId="35" priority="7" operator="containsText" text="NG">
      <formula>NOT(ISERROR(SEARCH("NG",A4)))</formula>
    </cfRule>
    <cfRule type="containsText" dxfId="34" priority="8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51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 filterMode="1">
    <pageSetUpPr fitToPage="1"/>
  </sheetPr>
  <dimension ref="A1:AM103"/>
  <sheetViews>
    <sheetView showGridLines="0" zoomScale="85" zoomScaleNormal="85" workbookViewId="0">
      <pane ySplit="5" topLeftCell="A19" activePane="bottomLeft" state="frozen"/>
      <selection activeCell="P19" sqref="P19"/>
      <selection pane="bottomLeft"/>
    </sheetView>
  </sheetViews>
  <sheetFormatPr defaultColWidth="9" defaultRowHeight="16.5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16" width="8.75"/>
    <col min="17" max="20" width="9" customWidth="1"/>
    <col min="21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5" customHeight="1" thickBot="1">
      <c r="A1" s="37" t="s">
        <v>13</v>
      </c>
      <c r="B1" s="168">
        <f>H97</f>
        <v>33469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4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5" customHeight="1" thickBot="1">
      <c r="A2" s="37" t="s">
        <v>14</v>
      </c>
      <c r="B2" s="173">
        <f>I97</f>
        <v>17</v>
      </c>
      <c r="C2" s="174"/>
      <c r="D2" s="75"/>
      <c r="E2" s="71"/>
      <c r="F2" s="2"/>
      <c r="G2" s="2"/>
      <c r="H2" s="171"/>
      <c r="I2" s="171"/>
      <c r="J2" s="171"/>
      <c r="K2" s="3"/>
      <c r="L2" s="4">
        <f t="shared" ref="L2:AK2" si="0">SUBTOTAL(9,L6:L96)</f>
        <v>2</v>
      </c>
      <c r="M2" s="4">
        <f t="shared" si="0"/>
        <v>2</v>
      </c>
      <c r="N2" s="4">
        <f t="shared" si="0"/>
        <v>0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39">
        <f t="shared" si="0"/>
        <v>0</v>
      </c>
      <c r="U2" s="5">
        <f t="shared" si="0"/>
        <v>0</v>
      </c>
      <c r="V2" s="5">
        <f t="shared" si="0"/>
        <v>1</v>
      </c>
      <c r="W2" s="5">
        <f t="shared" si="0"/>
        <v>0</v>
      </c>
      <c r="X2" s="5">
        <f t="shared" si="0"/>
        <v>0</v>
      </c>
      <c r="Y2" s="5">
        <f t="shared" si="0"/>
        <v>0</v>
      </c>
      <c r="Z2" s="5">
        <f t="shared" si="0"/>
        <v>0</v>
      </c>
      <c r="AA2" s="5">
        <f t="shared" si="0"/>
        <v>0</v>
      </c>
      <c r="AB2" s="5">
        <f t="shared" si="0"/>
        <v>1</v>
      </c>
      <c r="AC2" s="5">
        <f t="shared" si="0"/>
        <v>2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2</v>
      </c>
      <c r="AH2" s="5">
        <f t="shared" si="0"/>
        <v>0</v>
      </c>
      <c r="AI2" s="5">
        <f t="shared" si="0"/>
        <v>7</v>
      </c>
      <c r="AJ2" s="5">
        <f t="shared" si="0"/>
        <v>0</v>
      </c>
      <c r="AK2" s="59">
        <f t="shared" si="0"/>
        <v>0</v>
      </c>
      <c r="AL2" s="62">
        <f>SUBTOTAL(9,AL6:AL96)</f>
        <v>17</v>
      </c>
      <c r="AM2" s="175"/>
    </row>
    <row r="3" spans="1:39" customFormat="1" ht="22.5" customHeight="1" thickBot="1">
      <c r="A3" s="38" t="s">
        <v>15</v>
      </c>
      <c r="B3" s="177">
        <f>IF(ISERROR(B2/(B2+B1)*1000000),"",(B2/(B2+B1)*1000000))</f>
        <v>507.67484919070654</v>
      </c>
      <c r="C3" s="178"/>
      <c r="D3" s="73"/>
      <c r="E3" s="72"/>
      <c r="F3" s="32"/>
      <c r="G3" s="32"/>
      <c r="H3" s="172"/>
      <c r="I3" s="172"/>
      <c r="J3" s="172"/>
      <c r="K3" s="6"/>
      <c r="L3" s="7">
        <f t="shared" ref="L3:AK3" si="1">SUM(L6:L96)</f>
        <v>2</v>
      </c>
      <c r="M3" s="7">
        <f t="shared" si="1"/>
        <v>2</v>
      </c>
      <c r="N3" s="7">
        <f t="shared" si="1"/>
        <v>0</v>
      </c>
      <c r="O3" s="7">
        <f t="shared" si="1"/>
        <v>0</v>
      </c>
      <c r="P3" s="7">
        <f t="shared" si="1"/>
        <v>0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40">
        <f t="shared" si="1"/>
        <v>0</v>
      </c>
      <c r="U3" s="8">
        <f t="shared" si="1"/>
        <v>0</v>
      </c>
      <c r="V3" s="8">
        <f t="shared" si="1"/>
        <v>1</v>
      </c>
      <c r="W3" s="8">
        <f t="shared" si="1"/>
        <v>0</v>
      </c>
      <c r="X3" s="8">
        <f t="shared" si="1"/>
        <v>0</v>
      </c>
      <c r="Y3" s="8">
        <f t="shared" si="1"/>
        <v>0</v>
      </c>
      <c r="Z3" s="8">
        <f t="shared" si="1"/>
        <v>0</v>
      </c>
      <c r="AA3" s="8">
        <f t="shared" si="1"/>
        <v>0</v>
      </c>
      <c r="AB3" s="8">
        <f t="shared" si="1"/>
        <v>1</v>
      </c>
      <c r="AC3" s="8">
        <f t="shared" si="1"/>
        <v>2</v>
      </c>
      <c r="AD3" s="8">
        <f t="shared" si="1"/>
        <v>0</v>
      </c>
      <c r="AE3" s="8">
        <f t="shared" si="1"/>
        <v>0</v>
      </c>
      <c r="AF3" s="8">
        <f t="shared" si="1"/>
        <v>0</v>
      </c>
      <c r="AG3" s="8">
        <f t="shared" si="1"/>
        <v>2</v>
      </c>
      <c r="AH3" s="8">
        <f t="shared" si="1"/>
        <v>0</v>
      </c>
      <c r="AI3" s="8">
        <f t="shared" si="1"/>
        <v>7</v>
      </c>
      <c r="AJ3" s="8">
        <f t="shared" si="1"/>
        <v>0</v>
      </c>
      <c r="AK3" s="60">
        <f t="shared" si="1"/>
        <v>0</v>
      </c>
      <c r="AL3" s="63">
        <f>SUM(AL6:AL96)</f>
        <v>17</v>
      </c>
      <c r="AM3" s="176"/>
    </row>
    <row r="4" spans="1:39" customFormat="1" ht="43.5" customHeight="1">
      <c r="A4" s="163" t="str">
        <f>AM97</f>
        <v>OK</v>
      </c>
      <c r="B4" s="163"/>
      <c r="C4" s="163"/>
      <c r="D4" s="164"/>
      <c r="E4" s="165" t="s">
        <v>16</v>
      </c>
      <c r="F4" s="165"/>
      <c r="G4" s="165"/>
      <c r="H4" s="165" t="s">
        <v>17</v>
      </c>
      <c r="I4" s="165"/>
      <c r="J4" s="165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1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56" t="s">
        <v>12</v>
      </c>
      <c r="AL4" s="158" t="s">
        <v>36</v>
      </c>
      <c r="AM4" s="149" t="s">
        <v>37</v>
      </c>
    </row>
    <row r="5" spans="1:39" customFormat="1" ht="33.75" thickBot="1">
      <c r="A5" s="34" t="s">
        <v>3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139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6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3"/>
      <c r="AJ5" s="155"/>
      <c r="AK5" s="157"/>
      <c r="AL5" s="159"/>
      <c r="AM5" s="150"/>
    </row>
    <row r="6" spans="1:39" customFormat="1" hidden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34"/>
      <c r="I6" s="15">
        <f>SUM(L6:AK6)</f>
        <v>0</v>
      </c>
      <c r="J6" s="15"/>
      <c r="K6" s="16"/>
      <c r="L6" s="15"/>
      <c r="M6" s="15"/>
      <c r="N6" s="15"/>
      <c r="O6" s="15"/>
      <c r="P6" s="15"/>
      <c r="Q6" s="15"/>
      <c r="R6" s="15"/>
      <c r="S6" s="15"/>
      <c r="T6" s="41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3"/>
      <c r="AJ6" s="56"/>
      <c r="AK6" s="53"/>
      <c r="AL6" s="64">
        <f>SUM(L6:AK6)</f>
        <v>0</v>
      </c>
      <c r="AM6" s="31" t="str">
        <f t="shared" ref="AM6:AM74" si="2">IF(AL6=I6,"OK","NG")</f>
        <v>OK</v>
      </c>
    </row>
    <row r="7" spans="1:39" customFormat="1" hidden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135"/>
      <c r="I7" s="21">
        <f t="shared" ref="I7:I70" si="3">SUM(L7:AK7)</f>
        <v>0</v>
      </c>
      <c r="J7" s="21"/>
      <c r="K7" s="16"/>
      <c r="L7" s="21"/>
      <c r="M7" s="21"/>
      <c r="N7" s="21"/>
      <c r="O7" s="21"/>
      <c r="P7" s="21"/>
      <c r="Q7" s="21"/>
      <c r="R7" s="21"/>
      <c r="S7" s="21"/>
      <c r="T7" s="42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4"/>
      <c r="AJ7" s="57"/>
      <c r="AK7" s="54"/>
      <c r="AL7" s="65">
        <f t="shared" ref="AL7:AL74" si="4">SUM(L7:AK7)</f>
        <v>0</v>
      </c>
      <c r="AM7" s="22" t="str">
        <f t="shared" si="2"/>
        <v>OK</v>
      </c>
    </row>
    <row r="8" spans="1:39" customFormat="1" hidden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36"/>
      <c r="I8" s="27">
        <f t="shared" si="3"/>
        <v>0</v>
      </c>
      <c r="J8" s="27"/>
      <c r="K8" s="16"/>
      <c r="L8" s="27"/>
      <c r="M8" s="27"/>
      <c r="N8" s="27"/>
      <c r="O8" s="27"/>
      <c r="P8" s="27"/>
      <c r="Q8" s="27"/>
      <c r="R8" s="27"/>
      <c r="S8" s="27"/>
      <c r="T8" s="4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5"/>
      <c r="AJ8" s="58"/>
      <c r="AK8" s="55"/>
      <c r="AL8" s="66">
        <f t="shared" si="4"/>
        <v>0</v>
      </c>
      <c r="AM8" s="28" t="str">
        <f t="shared" si="2"/>
        <v>OK</v>
      </c>
    </row>
    <row r="9" spans="1:39" customFormat="1" hidden="1">
      <c r="A9" s="17" t="s">
        <v>68</v>
      </c>
      <c r="B9" s="77">
        <v>10897</v>
      </c>
      <c r="C9" s="17" t="s">
        <v>62</v>
      </c>
      <c r="D9" s="69"/>
      <c r="E9" s="18"/>
      <c r="F9" s="18"/>
      <c r="G9" s="19"/>
      <c r="H9" s="135"/>
      <c r="I9" s="21">
        <f t="shared" si="3"/>
        <v>0</v>
      </c>
      <c r="J9" s="21"/>
      <c r="K9" s="16"/>
      <c r="L9" s="21"/>
      <c r="M9" s="21"/>
      <c r="N9" s="21"/>
      <c r="O9" s="21"/>
      <c r="P9" s="21"/>
      <c r="Q9" s="21"/>
      <c r="R9" s="21"/>
      <c r="S9" s="21"/>
      <c r="T9" s="42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4"/>
      <c r="AJ9" s="57"/>
      <c r="AK9" s="54"/>
      <c r="AL9" s="65">
        <f t="shared" si="4"/>
        <v>0</v>
      </c>
      <c r="AM9" s="22" t="str">
        <f t="shared" si="2"/>
        <v>OK</v>
      </c>
    </row>
    <row r="10" spans="1:39" customFormat="1" hidden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36"/>
      <c r="I10" s="27">
        <f t="shared" si="3"/>
        <v>0</v>
      </c>
      <c r="J10" s="27"/>
      <c r="K10" s="16"/>
      <c r="L10" s="27"/>
      <c r="M10" s="27"/>
      <c r="N10" s="27"/>
      <c r="O10" s="27"/>
      <c r="P10" s="27"/>
      <c r="Q10" s="27"/>
      <c r="R10" s="27"/>
      <c r="S10" s="27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5"/>
      <c r="AJ10" s="58"/>
      <c r="AK10" s="55"/>
      <c r="AL10" s="66">
        <f t="shared" si="4"/>
        <v>0</v>
      </c>
      <c r="AM10" s="28" t="str">
        <f t="shared" si="2"/>
        <v>OK</v>
      </c>
    </row>
    <row r="11" spans="1:39" customFormat="1" hidden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135"/>
      <c r="I11" s="21">
        <f t="shared" si="3"/>
        <v>0</v>
      </c>
      <c r="J11" s="21"/>
      <c r="K11" s="16"/>
      <c r="L11" s="21"/>
      <c r="M11" s="21"/>
      <c r="N11" s="21"/>
      <c r="O11" s="21"/>
      <c r="P11" s="21"/>
      <c r="Q11" s="21"/>
      <c r="R11" s="21"/>
      <c r="S11" s="21"/>
      <c r="T11" s="42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4"/>
      <c r="AJ11" s="57"/>
      <c r="AK11" s="54"/>
      <c r="AL11" s="65">
        <f t="shared" si="4"/>
        <v>0</v>
      </c>
      <c r="AM11" s="22" t="str">
        <f t="shared" si="2"/>
        <v>OK</v>
      </c>
    </row>
    <row r="12" spans="1:39" customFormat="1" hidden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36"/>
      <c r="I12" s="27">
        <f t="shared" si="3"/>
        <v>0</v>
      </c>
      <c r="J12" s="27"/>
      <c r="K12" s="16"/>
      <c r="L12" s="27"/>
      <c r="M12" s="27"/>
      <c r="N12" s="27"/>
      <c r="O12" s="27"/>
      <c r="P12" s="27"/>
      <c r="Q12" s="27"/>
      <c r="R12" s="27"/>
      <c r="S12" s="27"/>
      <c r="T12" s="43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8"/>
      <c r="AK12" s="55"/>
      <c r="AL12" s="66">
        <f t="shared" si="4"/>
        <v>0</v>
      </c>
      <c r="AM12" s="28" t="str">
        <f t="shared" si="2"/>
        <v>OK</v>
      </c>
    </row>
    <row r="13" spans="1:39" customFormat="1" hidden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135"/>
      <c r="I13" s="21">
        <f t="shared" si="3"/>
        <v>0</v>
      </c>
      <c r="J13" s="21"/>
      <c r="K13" s="16"/>
      <c r="L13" s="21"/>
      <c r="M13" s="21"/>
      <c r="N13" s="21"/>
      <c r="O13" s="21"/>
      <c r="P13" s="21"/>
      <c r="Q13" s="21"/>
      <c r="R13" s="21"/>
      <c r="S13" s="21"/>
      <c r="T13" s="4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4"/>
      <c r="AJ13" s="57"/>
      <c r="AK13" s="54"/>
      <c r="AL13" s="65">
        <f t="shared" si="4"/>
        <v>0</v>
      </c>
      <c r="AM13" s="22" t="str">
        <f t="shared" si="2"/>
        <v>OK</v>
      </c>
    </row>
    <row r="14" spans="1:39" customFormat="1" hidden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36"/>
      <c r="I14" s="27">
        <f t="shared" si="3"/>
        <v>0</v>
      </c>
      <c r="J14" s="27"/>
      <c r="K14" s="16"/>
      <c r="L14" s="27"/>
      <c r="M14" s="27"/>
      <c r="N14" s="27"/>
      <c r="O14" s="27"/>
      <c r="P14" s="27"/>
      <c r="Q14" s="27"/>
      <c r="R14" s="27"/>
      <c r="S14" s="27"/>
      <c r="T14" s="43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5"/>
      <c r="AJ14" s="58"/>
      <c r="AK14" s="55"/>
      <c r="AL14" s="66">
        <f t="shared" si="4"/>
        <v>0</v>
      </c>
      <c r="AM14" s="28" t="str">
        <f t="shared" si="2"/>
        <v>OK</v>
      </c>
    </row>
    <row r="15" spans="1:39" customFormat="1" hidden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135"/>
      <c r="I15" s="21">
        <f t="shared" si="3"/>
        <v>0</v>
      </c>
      <c r="J15" s="21"/>
      <c r="K15" s="16"/>
      <c r="L15" s="21"/>
      <c r="M15" s="21"/>
      <c r="N15" s="21"/>
      <c r="O15" s="21"/>
      <c r="P15" s="21"/>
      <c r="Q15" s="21"/>
      <c r="R15" s="21"/>
      <c r="S15" s="21"/>
      <c r="T15" s="42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4"/>
      <c r="AJ15" s="57"/>
      <c r="AK15" s="54"/>
      <c r="AL15" s="65">
        <f t="shared" si="4"/>
        <v>0</v>
      </c>
      <c r="AM15" s="22" t="str">
        <f t="shared" si="2"/>
        <v>OK</v>
      </c>
    </row>
    <row r="16" spans="1:39" customFormat="1" hidden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36"/>
      <c r="I16" s="27">
        <f t="shared" si="3"/>
        <v>0</v>
      </c>
      <c r="J16" s="27"/>
      <c r="K16" s="16"/>
      <c r="L16" s="27"/>
      <c r="M16" s="27"/>
      <c r="N16" s="27"/>
      <c r="O16" s="27"/>
      <c r="P16" s="27"/>
      <c r="Q16" s="27"/>
      <c r="R16" s="27"/>
      <c r="S16" s="27"/>
      <c r="T16" s="43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8"/>
      <c r="AK16" s="55"/>
      <c r="AL16" s="66">
        <f t="shared" si="4"/>
        <v>0</v>
      </c>
      <c r="AM16" s="28" t="str">
        <f t="shared" si="2"/>
        <v>OK</v>
      </c>
    </row>
    <row r="17" spans="1:39" customFormat="1" hidden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135"/>
      <c r="I17" s="21">
        <f t="shared" si="3"/>
        <v>0</v>
      </c>
      <c r="J17" s="21"/>
      <c r="K17" s="16"/>
      <c r="L17" s="21"/>
      <c r="M17" s="21"/>
      <c r="N17" s="21"/>
      <c r="O17" s="21"/>
      <c r="P17" s="21"/>
      <c r="Q17" s="21"/>
      <c r="R17" s="21"/>
      <c r="S17" s="21"/>
      <c r="T17" s="42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4"/>
      <c r="AJ17" s="57"/>
      <c r="AK17" s="54"/>
      <c r="AL17" s="65">
        <f t="shared" si="4"/>
        <v>0</v>
      </c>
      <c r="AM17" s="22" t="str">
        <f t="shared" si="2"/>
        <v>OK</v>
      </c>
    </row>
    <row r="18" spans="1:39" customFormat="1" hidden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36"/>
      <c r="I18" s="27">
        <f t="shared" si="3"/>
        <v>0</v>
      </c>
      <c r="J18" s="27"/>
      <c r="K18" s="16"/>
      <c r="L18" s="27"/>
      <c r="M18" s="27"/>
      <c r="N18" s="27"/>
      <c r="O18" s="27"/>
      <c r="P18" s="27"/>
      <c r="Q18" s="27"/>
      <c r="R18" s="27"/>
      <c r="S18" s="27"/>
      <c r="T18" s="43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8"/>
      <c r="AK18" s="55"/>
      <c r="AL18" s="66">
        <f t="shared" si="4"/>
        <v>0</v>
      </c>
      <c r="AM18" s="28" t="str">
        <f t="shared" si="2"/>
        <v>OK</v>
      </c>
    </row>
    <row r="19" spans="1:39" customFormat="1">
      <c r="A19" s="17" t="s">
        <v>91</v>
      </c>
      <c r="B19" s="77">
        <v>14988</v>
      </c>
      <c r="C19" s="17" t="s">
        <v>64</v>
      </c>
      <c r="D19" s="69"/>
      <c r="E19" s="18"/>
      <c r="F19" s="18"/>
      <c r="G19" s="19"/>
      <c r="H19" s="135">
        <f>1200+2160+1599+3840</f>
        <v>8799</v>
      </c>
      <c r="I19" s="21">
        <f t="shared" si="3"/>
        <v>4</v>
      </c>
      <c r="J19" s="21"/>
      <c r="K19" s="16"/>
      <c r="L19" s="21"/>
      <c r="M19" s="21">
        <v>2</v>
      </c>
      <c r="N19" s="21"/>
      <c r="O19" s="21"/>
      <c r="P19" s="21"/>
      <c r="Q19" s="21"/>
      <c r="R19" s="21"/>
      <c r="S19" s="21"/>
      <c r="T19" s="42"/>
      <c r="U19" s="51"/>
      <c r="V19" s="51"/>
      <c r="W19" s="51"/>
      <c r="X19" s="51"/>
      <c r="Y19" s="51"/>
      <c r="Z19" s="51"/>
      <c r="AA19" s="51"/>
      <c r="AB19" s="51">
        <v>1</v>
      </c>
      <c r="AC19" s="51">
        <v>1</v>
      </c>
      <c r="AD19" s="51"/>
      <c r="AE19" s="51"/>
      <c r="AF19" s="51"/>
      <c r="AG19" s="51"/>
      <c r="AH19" s="51"/>
      <c r="AI19" s="54"/>
      <c r="AJ19" s="57"/>
      <c r="AK19" s="54"/>
      <c r="AL19" s="65">
        <f t="shared" si="4"/>
        <v>4</v>
      </c>
      <c r="AM19" s="22" t="str">
        <f t="shared" si="2"/>
        <v>OK</v>
      </c>
    </row>
    <row r="20" spans="1:39" customFormat="1" hidden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25"/>
      <c r="I20" s="27">
        <f t="shared" si="3"/>
        <v>0</v>
      </c>
      <c r="J20" s="27"/>
      <c r="K20" s="16"/>
      <c r="L20" s="27"/>
      <c r="M20" s="27"/>
      <c r="N20" s="27"/>
      <c r="O20" s="27"/>
      <c r="P20" s="27"/>
      <c r="Q20" s="27"/>
      <c r="R20" s="27"/>
      <c r="S20" s="27"/>
      <c r="T20" s="43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8"/>
      <c r="AK20" s="55"/>
      <c r="AL20" s="66">
        <f t="shared" si="4"/>
        <v>0</v>
      </c>
      <c r="AM20" s="28" t="str">
        <f t="shared" si="2"/>
        <v>OK</v>
      </c>
    </row>
    <row r="21" spans="1:39" customFormat="1" hidden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135"/>
      <c r="I21" s="21">
        <f t="shared" si="3"/>
        <v>0</v>
      </c>
      <c r="J21" s="21"/>
      <c r="K21" s="16"/>
      <c r="L21" s="21"/>
      <c r="M21" s="21"/>
      <c r="N21" s="21"/>
      <c r="O21" s="21"/>
      <c r="P21" s="21"/>
      <c r="Q21" s="21"/>
      <c r="R21" s="21"/>
      <c r="S21" s="21"/>
      <c r="T21" s="4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4"/>
      <c r="AJ21" s="57"/>
      <c r="AK21" s="54"/>
      <c r="AL21" s="65">
        <f t="shared" si="4"/>
        <v>0</v>
      </c>
      <c r="AM21" s="22" t="str">
        <f t="shared" si="2"/>
        <v>OK</v>
      </c>
    </row>
    <row r="22" spans="1:39" customFormat="1" hidden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36">
        <v>2400</v>
      </c>
      <c r="I22" s="27">
        <f t="shared" si="3"/>
        <v>0</v>
      </c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43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5"/>
      <c r="AJ22" s="58"/>
      <c r="AK22" s="55"/>
      <c r="AL22" s="66">
        <f t="shared" si="4"/>
        <v>0</v>
      </c>
      <c r="AM22" s="28" t="str">
        <f t="shared" si="2"/>
        <v>OK</v>
      </c>
    </row>
    <row r="23" spans="1:39" customFormat="1" hidden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135"/>
      <c r="I23" s="21">
        <f t="shared" si="3"/>
        <v>0</v>
      </c>
      <c r="J23" s="21"/>
      <c r="K23" s="16"/>
      <c r="L23" s="21"/>
      <c r="M23" s="21"/>
      <c r="N23" s="21"/>
      <c r="O23" s="21"/>
      <c r="P23" s="21"/>
      <c r="Q23" s="21"/>
      <c r="R23" s="21"/>
      <c r="S23" s="21"/>
      <c r="T23" s="42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7"/>
      <c r="AK23" s="54"/>
      <c r="AL23" s="65">
        <f>SUM(L23:AK23)</f>
        <v>0</v>
      </c>
      <c r="AM23" s="22" t="str">
        <f t="shared" si="2"/>
        <v>OK</v>
      </c>
    </row>
    <row r="24" spans="1:39" customFormat="1" hidden="1">
      <c r="A24" s="68" t="s">
        <v>44</v>
      </c>
      <c r="B24" s="78">
        <v>10163</v>
      </c>
      <c r="C24" s="23" t="s">
        <v>45</v>
      </c>
      <c r="D24" s="24"/>
      <c r="E24" s="24"/>
      <c r="F24" s="24"/>
      <c r="G24" s="25"/>
      <c r="H24" s="136">
        <f>336+1008</f>
        <v>1344</v>
      </c>
      <c r="I24" s="27">
        <f t="shared" si="3"/>
        <v>0</v>
      </c>
      <c r="J24" s="27"/>
      <c r="K24" s="16"/>
      <c r="L24" s="27"/>
      <c r="M24" s="27"/>
      <c r="N24" s="27"/>
      <c r="O24" s="27"/>
      <c r="P24" s="27"/>
      <c r="Q24" s="27"/>
      <c r="R24" s="27"/>
      <c r="S24" s="27"/>
      <c r="T24" s="43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5"/>
      <c r="AJ24" s="58"/>
      <c r="AK24" s="55"/>
      <c r="AL24" s="66">
        <f t="shared" si="4"/>
        <v>0</v>
      </c>
      <c r="AM24" s="28" t="str">
        <f t="shared" si="2"/>
        <v>OK</v>
      </c>
    </row>
    <row r="25" spans="1:39" customFormat="1" hidden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135"/>
      <c r="I25" s="21">
        <f t="shared" si="3"/>
        <v>0</v>
      </c>
      <c r="J25" s="21"/>
      <c r="K25" s="16"/>
      <c r="L25" s="21"/>
      <c r="M25" s="21"/>
      <c r="N25" s="21"/>
      <c r="O25" s="21"/>
      <c r="P25" s="21"/>
      <c r="Q25" s="21"/>
      <c r="R25" s="21"/>
      <c r="S25" s="21"/>
      <c r="T25" s="42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4"/>
      <c r="AJ25" s="57"/>
      <c r="AK25" s="54"/>
      <c r="AL25" s="65">
        <f t="shared" si="4"/>
        <v>0</v>
      </c>
      <c r="AM25" s="22" t="str">
        <f t="shared" si="2"/>
        <v>OK</v>
      </c>
    </row>
    <row r="26" spans="1:39" customFormat="1" hidden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36"/>
      <c r="I26" s="27">
        <f t="shared" si="3"/>
        <v>0</v>
      </c>
      <c r="J26" s="27"/>
      <c r="K26" s="16"/>
      <c r="L26" s="27"/>
      <c r="M26" s="27"/>
      <c r="N26" s="27"/>
      <c r="O26" s="27"/>
      <c r="P26" s="27"/>
      <c r="Q26" s="27"/>
      <c r="R26" s="27"/>
      <c r="S26" s="27"/>
      <c r="T26" s="43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8"/>
      <c r="AK26" s="55"/>
      <c r="AL26" s="66">
        <f t="shared" si="4"/>
        <v>0</v>
      </c>
      <c r="AM26" s="28" t="str">
        <f t="shared" si="2"/>
        <v>OK</v>
      </c>
    </row>
    <row r="27" spans="1:39" customFormat="1" hidden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135"/>
      <c r="I27" s="21">
        <f t="shared" si="3"/>
        <v>0</v>
      </c>
      <c r="J27" s="21"/>
      <c r="K27" s="16"/>
      <c r="L27" s="21"/>
      <c r="M27" s="21"/>
      <c r="N27" s="21"/>
      <c r="O27" s="21"/>
      <c r="P27" s="21"/>
      <c r="Q27" s="21"/>
      <c r="R27" s="21"/>
      <c r="S27" s="143"/>
      <c r="T27" s="4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7"/>
      <c r="AK27" s="54"/>
      <c r="AL27" s="65">
        <f t="shared" si="4"/>
        <v>0</v>
      </c>
      <c r="AM27" s="22" t="str">
        <f t="shared" si="2"/>
        <v>OK</v>
      </c>
    </row>
    <row r="28" spans="1:39" customFormat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136">
        <v>2184</v>
      </c>
      <c r="I28" s="27">
        <f t="shared" si="3"/>
        <v>2</v>
      </c>
      <c r="J28" s="27"/>
      <c r="K28" s="16"/>
      <c r="L28" s="27">
        <v>1</v>
      </c>
      <c r="M28" s="27"/>
      <c r="N28" s="27"/>
      <c r="O28" s="27"/>
      <c r="P28" s="27"/>
      <c r="Q28" s="27"/>
      <c r="R28" s="27"/>
      <c r="S28" s="27"/>
      <c r="T28" s="43"/>
      <c r="U28" s="52"/>
      <c r="V28" s="52"/>
      <c r="W28" s="52"/>
      <c r="X28" s="52"/>
      <c r="Y28" s="52"/>
      <c r="Z28" s="52"/>
      <c r="AA28" s="52"/>
      <c r="AB28" s="52"/>
      <c r="AC28" s="52">
        <v>1</v>
      </c>
      <c r="AD28" s="52"/>
      <c r="AE28" s="52"/>
      <c r="AF28" s="52"/>
      <c r="AG28" s="52"/>
      <c r="AH28" s="52"/>
      <c r="AI28" s="55"/>
      <c r="AJ28" s="58"/>
      <c r="AK28" s="55"/>
      <c r="AL28" s="66">
        <f t="shared" si="4"/>
        <v>2</v>
      </c>
      <c r="AM28" s="28" t="str">
        <f t="shared" si="2"/>
        <v>OK</v>
      </c>
    </row>
    <row r="29" spans="1:39" customFormat="1" hidden="1">
      <c r="A29" s="80" t="s">
        <v>71</v>
      </c>
      <c r="B29" s="77">
        <v>10151</v>
      </c>
      <c r="C29" s="17" t="s">
        <v>51</v>
      </c>
      <c r="D29" s="69"/>
      <c r="E29" s="18"/>
      <c r="F29" s="18"/>
      <c r="G29" s="19"/>
      <c r="H29" s="135">
        <f>330+1012</f>
        <v>1342</v>
      </c>
      <c r="I29" s="21">
        <f t="shared" si="3"/>
        <v>0</v>
      </c>
      <c r="J29" s="21"/>
      <c r="K29" s="16"/>
      <c r="L29" s="21"/>
      <c r="M29" s="21"/>
      <c r="N29" s="21"/>
      <c r="O29" s="21"/>
      <c r="P29" s="21"/>
      <c r="Q29" s="21"/>
      <c r="R29" s="21"/>
      <c r="S29" s="21"/>
      <c r="T29" s="42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4"/>
      <c r="AJ29" s="57"/>
      <c r="AK29" s="54"/>
      <c r="AL29" s="65">
        <f t="shared" si="4"/>
        <v>0</v>
      </c>
      <c r="AM29" s="22" t="str">
        <f t="shared" si="2"/>
        <v>OK</v>
      </c>
    </row>
    <row r="30" spans="1:39" customFormat="1" hidden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137">
        <f>342+1100</f>
        <v>1442</v>
      </c>
      <c r="I30" s="27">
        <f t="shared" si="3"/>
        <v>0</v>
      </c>
      <c r="J30" s="27"/>
      <c r="K30" s="16"/>
      <c r="L30" s="27"/>
      <c r="M30" s="27"/>
      <c r="N30" s="27"/>
      <c r="O30" s="27"/>
      <c r="P30" s="27"/>
      <c r="Q30" s="27"/>
      <c r="R30" s="27"/>
      <c r="S30" s="27"/>
      <c r="T30" s="43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5"/>
      <c r="AJ30" s="58"/>
      <c r="AK30" s="55"/>
      <c r="AL30" s="66">
        <f t="shared" si="4"/>
        <v>0</v>
      </c>
      <c r="AM30" s="28" t="str">
        <f t="shared" si="2"/>
        <v>OK</v>
      </c>
    </row>
    <row r="31" spans="1:39" customFormat="1" hidden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135"/>
      <c r="I31" s="21">
        <f t="shared" si="3"/>
        <v>0</v>
      </c>
      <c r="J31" s="21"/>
      <c r="K31" s="16"/>
      <c r="L31" s="21"/>
      <c r="M31" s="21"/>
      <c r="N31" s="21"/>
      <c r="O31" s="21"/>
      <c r="P31" s="21"/>
      <c r="Q31" s="21"/>
      <c r="R31" s="21"/>
      <c r="S31" s="21"/>
      <c r="T31" s="4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7"/>
      <c r="AK31" s="54"/>
      <c r="AL31" s="65">
        <f t="shared" si="4"/>
        <v>0</v>
      </c>
      <c r="AM31" s="22" t="str">
        <f t="shared" si="2"/>
        <v>OK</v>
      </c>
    </row>
    <row r="32" spans="1:39" customFormat="1" hidden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136"/>
      <c r="I32" s="27">
        <f t="shared" si="3"/>
        <v>0</v>
      </c>
      <c r="J32" s="27"/>
      <c r="K32" s="16"/>
      <c r="L32" s="27"/>
      <c r="M32" s="27"/>
      <c r="N32" s="27"/>
      <c r="O32" s="27"/>
      <c r="P32" s="27"/>
      <c r="Q32" s="27"/>
      <c r="R32" s="27"/>
      <c r="S32" s="27"/>
      <c r="T32" s="43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5"/>
      <c r="AJ32" s="58"/>
      <c r="AK32" s="55"/>
      <c r="AL32" s="66">
        <f t="shared" si="4"/>
        <v>0</v>
      </c>
      <c r="AM32" s="28" t="str">
        <f t="shared" si="2"/>
        <v>OK</v>
      </c>
    </row>
    <row r="33" spans="1:39" customFormat="1" hidden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135"/>
      <c r="I33" s="21">
        <f t="shared" si="3"/>
        <v>0</v>
      </c>
      <c r="J33" s="21"/>
      <c r="K33" s="16"/>
      <c r="L33" s="21"/>
      <c r="M33" s="21"/>
      <c r="N33" s="21"/>
      <c r="O33" s="21"/>
      <c r="P33" s="21"/>
      <c r="Q33" s="21"/>
      <c r="R33" s="21"/>
      <c r="S33" s="21"/>
      <c r="T33" s="42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4"/>
      <c r="AJ33" s="57"/>
      <c r="AK33" s="54"/>
      <c r="AL33" s="65">
        <f t="shared" si="4"/>
        <v>0</v>
      </c>
      <c r="AM33" s="22" t="str">
        <f t="shared" si="2"/>
        <v>OK</v>
      </c>
    </row>
    <row r="34" spans="1:39" customFormat="1" hidden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136">
        <v>1320</v>
      </c>
      <c r="I34" s="27">
        <f t="shared" si="3"/>
        <v>0</v>
      </c>
      <c r="J34" s="27"/>
      <c r="K34" s="16"/>
      <c r="L34" s="27"/>
      <c r="M34" s="27"/>
      <c r="N34" s="27"/>
      <c r="O34" s="27"/>
      <c r="P34" s="27"/>
      <c r="Q34" s="27"/>
      <c r="R34" s="27"/>
      <c r="S34" s="27"/>
      <c r="T34" s="43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5"/>
      <c r="AJ34" s="58"/>
      <c r="AK34" s="55"/>
      <c r="AL34" s="66">
        <f t="shared" si="4"/>
        <v>0</v>
      </c>
      <c r="AM34" s="28" t="str">
        <f t="shared" si="2"/>
        <v>OK</v>
      </c>
    </row>
    <row r="35" spans="1:39" customFormat="1" hidden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135"/>
      <c r="I35" s="21">
        <f t="shared" si="3"/>
        <v>0</v>
      </c>
      <c r="J35" s="21"/>
      <c r="K35" s="16"/>
      <c r="L35" s="21"/>
      <c r="M35" s="21"/>
      <c r="N35" s="21"/>
      <c r="O35" s="21"/>
      <c r="P35" s="21"/>
      <c r="Q35" s="21"/>
      <c r="R35" s="21"/>
      <c r="S35" s="21"/>
      <c r="T35" s="42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4"/>
      <c r="AJ35" s="57"/>
      <c r="AK35" s="54"/>
      <c r="AL35" s="65">
        <f t="shared" si="4"/>
        <v>0</v>
      </c>
      <c r="AM35" s="22" t="str">
        <f t="shared" si="2"/>
        <v>OK</v>
      </c>
    </row>
    <row r="36" spans="1:39" customFormat="1" hidden="1">
      <c r="A36" s="68" t="s">
        <v>76</v>
      </c>
      <c r="B36" s="78">
        <v>10135</v>
      </c>
      <c r="C36" s="23" t="s">
        <v>56</v>
      </c>
      <c r="D36" s="24"/>
      <c r="E36" s="24"/>
      <c r="F36" s="24"/>
      <c r="G36" s="25"/>
      <c r="H36" s="136"/>
      <c r="I36" s="27">
        <f t="shared" si="3"/>
        <v>0</v>
      </c>
      <c r="J36" s="27"/>
      <c r="K36" s="16"/>
      <c r="L36" s="27"/>
      <c r="M36" s="27"/>
      <c r="N36" s="27"/>
      <c r="O36" s="27"/>
      <c r="P36" s="27"/>
      <c r="Q36" s="27"/>
      <c r="R36" s="27"/>
      <c r="S36" s="27"/>
      <c r="T36" s="43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5"/>
      <c r="AJ36" s="58"/>
      <c r="AK36" s="55"/>
      <c r="AL36" s="66">
        <f t="shared" si="4"/>
        <v>0</v>
      </c>
      <c r="AM36" s="28" t="str">
        <f t="shared" si="2"/>
        <v>OK</v>
      </c>
    </row>
    <row r="37" spans="1:39" customFormat="1" hidden="1">
      <c r="A37" s="80" t="s">
        <v>77</v>
      </c>
      <c r="B37" s="77">
        <v>10133</v>
      </c>
      <c r="C37" s="17" t="s">
        <v>55</v>
      </c>
      <c r="D37" s="69"/>
      <c r="E37" s="18"/>
      <c r="F37" s="18"/>
      <c r="G37" s="19"/>
      <c r="H37" s="135">
        <f>350+200+200+200+230</f>
        <v>1180</v>
      </c>
      <c r="I37" s="21">
        <f t="shared" si="3"/>
        <v>0</v>
      </c>
      <c r="J37" s="21"/>
      <c r="K37" s="16"/>
      <c r="L37" s="21"/>
      <c r="M37" s="21"/>
      <c r="N37" s="21"/>
      <c r="O37" s="21"/>
      <c r="P37" s="21"/>
      <c r="Q37" s="21"/>
      <c r="R37" s="21"/>
      <c r="S37" s="21"/>
      <c r="T37" s="42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4"/>
      <c r="AJ37" s="57"/>
      <c r="AK37" s="54"/>
      <c r="AL37" s="65">
        <f t="shared" si="4"/>
        <v>0</v>
      </c>
      <c r="AM37" s="22" t="str">
        <f t="shared" si="2"/>
        <v>OK</v>
      </c>
    </row>
    <row r="38" spans="1:39" customFormat="1">
      <c r="A38" s="68" t="s">
        <v>78</v>
      </c>
      <c r="B38" s="78">
        <v>10131</v>
      </c>
      <c r="C38" s="23" t="s">
        <v>56</v>
      </c>
      <c r="D38" s="24"/>
      <c r="E38" s="24"/>
      <c r="F38" s="24"/>
      <c r="G38" s="25"/>
      <c r="H38" s="136">
        <f>952+651+777</f>
        <v>2380</v>
      </c>
      <c r="I38" s="27">
        <f t="shared" si="3"/>
        <v>1</v>
      </c>
      <c r="J38" s="27"/>
      <c r="K38" s="16"/>
      <c r="L38" s="27">
        <v>1</v>
      </c>
      <c r="M38" s="27"/>
      <c r="N38" s="27"/>
      <c r="O38" s="27"/>
      <c r="P38" s="27"/>
      <c r="Q38" s="27"/>
      <c r="R38" s="27"/>
      <c r="S38" s="27"/>
      <c r="T38" s="43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5"/>
      <c r="AJ38" s="58"/>
      <c r="AK38" s="55"/>
      <c r="AL38" s="66">
        <f t="shared" ref="AL38:AL50" si="5">SUM(L38:AK38)</f>
        <v>1</v>
      </c>
      <c r="AM38" s="28" t="str">
        <f t="shared" si="2"/>
        <v>OK</v>
      </c>
    </row>
    <row r="39" spans="1:39" customFormat="1" hidden="1">
      <c r="A39" s="17" t="s">
        <v>79</v>
      </c>
      <c r="B39" s="77">
        <v>10129</v>
      </c>
      <c r="C39" s="17" t="s">
        <v>57</v>
      </c>
      <c r="D39" s="69"/>
      <c r="E39" s="18"/>
      <c r="F39" s="18"/>
      <c r="G39" s="19"/>
      <c r="H39" s="135"/>
      <c r="I39" s="21">
        <f t="shared" si="3"/>
        <v>0</v>
      </c>
      <c r="J39" s="21"/>
      <c r="K39" s="16"/>
      <c r="L39" s="21"/>
      <c r="M39" s="21"/>
      <c r="N39" s="21"/>
      <c r="O39" s="21"/>
      <c r="P39" s="21"/>
      <c r="Q39" s="21"/>
      <c r="R39" s="21"/>
      <c r="S39" s="21"/>
      <c r="T39" s="42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4"/>
      <c r="AJ39" s="57"/>
      <c r="AK39" s="54"/>
      <c r="AL39" s="65">
        <f t="shared" si="5"/>
        <v>0</v>
      </c>
      <c r="AM39" s="22" t="str">
        <f t="shared" si="2"/>
        <v>OK</v>
      </c>
    </row>
    <row r="40" spans="1:39" customFormat="1" hidden="1">
      <c r="A40" s="68" t="s">
        <v>80</v>
      </c>
      <c r="B40" s="78">
        <v>10127</v>
      </c>
      <c r="C40" s="23" t="s">
        <v>58</v>
      </c>
      <c r="D40" s="24"/>
      <c r="E40" s="24"/>
      <c r="F40" s="24"/>
      <c r="G40" s="25"/>
      <c r="H40" s="136"/>
      <c r="I40" s="27">
        <f t="shared" si="3"/>
        <v>0</v>
      </c>
      <c r="J40" s="27"/>
      <c r="K40" s="16"/>
      <c r="L40" s="27"/>
      <c r="M40" s="27"/>
      <c r="N40" s="27"/>
      <c r="O40" s="27"/>
      <c r="P40" s="27"/>
      <c r="Q40" s="27"/>
      <c r="R40" s="27"/>
      <c r="S40" s="27"/>
      <c r="T40" s="43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5"/>
      <c r="AJ40" s="58"/>
      <c r="AK40" s="55"/>
      <c r="AL40" s="66">
        <f t="shared" si="5"/>
        <v>0</v>
      </c>
      <c r="AM40" s="28" t="str">
        <f t="shared" si="2"/>
        <v>OK</v>
      </c>
    </row>
    <row r="41" spans="1:39" customFormat="1" hidden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135"/>
      <c r="I41" s="21">
        <f t="shared" si="3"/>
        <v>0</v>
      </c>
      <c r="J41" s="21"/>
      <c r="K41" s="16"/>
      <c r="L41" s="21"/>
      <c r="M41" s="21"/>
      <c r="N41" s="21"/>
      <c r="O41" s="21"/>
      <c r="P41" s="21"/>
      <c r="Q41" s="21"/>
      <c r="R41" s="21"/>
      <c r="S41" s="21"/>
      <c r="T41" s="4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4"/>
      <c r="AJ41" s="57"/>
      <c r="AK41" s="54"/>
      <c r="AL41" s="65">
        <f t="shared" si="5"/>
        <v>0</v>
      </c>
      <c r="AM41" s="22" t="str">
        <f t="shared" si="2"/>
        <v>OK</v>
      </c>
    </row>
    <row r="42" spans="1:39" customFormat="1" hidden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136"/>
      <c r="I42" s="27">
        <f t="shared" si="3"/>
        <v>0</v>
      </c>
      <c r="J42" s="27"/>
      <c r="K42" s="16"/>
      <c r="L42" s="27"/>
      <c r="M42" s="27"/>
      <c r="N42" s="27"/>
      <c r="O42" s="27"/>
      <c r="P42" s="27"/>
      <c r="Q42" s="27"/>
      <c r="R42" s="27"/>
      <c r="S42" s="27"/>
      <c r="T42" s="43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5"/>
      <c r="AJ42" s="58"/>
      <c r="AK42" s="55"/>
      <c r="AL42" s="66">
        <f t="shared" si="5"/>
        <v>0</v>
      </c>
      <c r="AM42" s="28" t="str">
        <f t="shared" si="2"/>
        <v>OK</v>
      </c>
    </row>
    <row r="43" spans="1:39" customFormat="1" hidden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135"/>
      <c r="I43" s="21">
        <f t="shared" si="3"/>
        <v>0</v>
      </c>
      <c r="J43" s="21"/>
      <c r="K43" s="16"/>
      <c r="L43" s="21"/>
      <c r="M43" s="21"/>
      <c r="N43" s="21"/>
      <c r="O43" s="21"/>
      <c r="P43" s="21"/>
      <c r="Q43" s="21"/>
      <c r="R43" s="21"/>
      <c r="S43" s="21"/>
      <c r="T43" s="42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4"/>
      <c r="AJ43" s="57"/>
      <c r="AK43" s="54"/>
      <c r="AL43" s="65">
        <f t="shared" si="5"/>
        <v>0</v>
      </c>
      <c r="AM43" s="22" t="str">
        <f t="shared" si="2"/>
        <v>OK</v>
      </c>
    </row>
    <row r="44" spans="1:39" customFormat="1" hidden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136"/>
      <c r="I44" s="27">
        <f t="shared" si="3"/>
        <v>0</v>
      </c>
      <c r="J44" s="27"/>
      <c r="K44" s="16"/>
      <c r="L44" s="27"/>
      <c r="M44" s="27"/>
      <c r="N44" s="27"/>
      <c r="O44" s="27"/>
      <c r="P44" s="27"/>
      <c r="Q44" s="27"/>
      <c r="R44" s="27"/>
      <c r="S44" s="27"/>
      <c r="T44" s="43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5"/>
      <c r="AJ44" s="58"/>
      <c r="AK44" s="55"/>
      <c r="AL44" s="66">
        <f t="shared" si="5"/>
        <v>0</v>
      </c>
      <c r="AM44" s="28" t="str">
        <f t="shared" si="2"/>
        <v>OK</v>
      </c>
    </row>
    <row r="45" spans="1:39" customFormat="1">
      <c r="A45" s="17" t="s">
        <v>107</v>
      </c>
      <c r="B45" s="77">
        <v>13467</v>
      </c>
      <c r="C45" s="17" t="s">
        <v>87</v>
      </c>
      <c r="D45" s="69"/>
      <c r="E45" s="18"/>
      <c r="F45" s="18"/>
      <c r="G45" s="19"/>
      <c r="H45" s="135">
        <f>746+832+184</f>
        <v>1762</v>
      </c>
      <c r="I45" s="21">
        <f t="shared" si="3"/>
        <v>1</v>
      </c>
      <c r="J45" s="21"/>
      <c r="K45" s="16"/>
      <c r="L45" s="21"/>
      <c r="M45" s="21"/>
      <c r="N45" s="21"/>
      <c r="O45" s="21"/>
      <c r="P45" s="21"/>
      <c r="Q45" s="21"/>
      <c r="R45" s="21"/>
      <c r="S45" s="21"/>
      <c r="T45" s="4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4">
        <v>1</v>
      </c>
      <c r="AJ45" s="57"/>
      <c r="AK45" s="54"/>
      <c r="AL45" s="65">
        <f t="shared" si="5"/>
        <v>1</v>
      </c>
      <c r="AM45" s="22" t="str">
        <f t="shared" si="2"/>
        <v>OK</v>
      </c>
    </row>
    <row r="46" spans="1:39" customFormat="1" hidden="1">
      <c r="A46" s="68" t="s">
        <v>111</v>
      </c>
      <c r="B46" s="78">
        <v>15948</v>
      </c>
      <c r="C46" s="23" t="s">
        <v>87</v>
      </c>
      <c r="D46" s="24"/>
      <c r="E46" s="24"/>
      <c r="F46" s="24"/>
      <c r="G46" s="25"/>
      <c r="H46" s="136"/>
      <c r="I46" s="27">
        <f t="shared" si="3"/>
        <v>0</v>
      </c>
      <c r="J46" s="27"/>
      <c r="K46" s="16"/>
      <c r="L46" s="27"/>
      <c r="M46" s="27"/>
      <c r="N46" s="27"/>
      <c r="O46" s="27"/>
      <c r="P46" s="27"/>
      <c r="Q46" s="27"/>
      <c r="R46" s="27"/>
      <c r="S46" s="27"/>
      <c r="T46" s="43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5"/>
      <c r="AJ46" s="58"/>
      <c r="AK46" s="55"/>
      <c r="AL46" s="66">
        <f t="shared" si="5"/>
        <v>0</v>
      </c>
      <c r="AM46" s="28" t="str">
        <f t="shared" si="2"/>
        <v>OK</v>
      </c>
    </row>
    <row r="47" spans="1:39" customFormat="1" hidden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135"/>
      <c r="I47" s="21">
        <f t="shared" si="3"/>
        <v>0</v>
      </c>
      <c r="J47" s="21"/>
      <c r="K47" s="16"/>
      <c r="L47" s="21"/>
      <c r="M47" s="21"/>
      <c r="N47" s="21"/>
      <c r="O47" s="21"/>
      <c r="P47" s="21"/>
      <c r="Q47" s="21"/>
      <c r="R47" s="21"/>
      <c r="S47" s="21"/>
      <c r="T47" s="42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4"/>
      <c r="AJ47" s="57"/>
      <c r="AK47" s="54"/>
      <c r="AL47" s="65">
        <f t="shared" si="5"/>
        <v>0</v>
      </c>
      <c r="AM47" s="22" t="str">
        <f t="shared" si="2"/>
        <v>OK</v>
      </c>
    </row>
    <row r="48" spans="1:39" customFormat="1" hidden="1">
      <c r="A48" s="68" t="s">
        <v>121</v>
      </c>
      <c r="B48" s="78">
        <v>16598</v>
      </c>
      <c r="C48" s="23" t="s">
        <v>87</v>
      </c>
      <c r="D48" s="24"/>
      <c r="E48" s="24"/>
      <c r="F48" s="24"/>
      <c r="G48" s="25"/>
      <c r="H48" s="136">
        <v>503</v>
      </c>
      <c r="I48" s="27">
        <f t="shared" si="3"/>
        <v>0</v>
      </c>
      <c r="J48" s="27"/>
      <c r="K48" s="16"/>
      <c r="L48" s="27"/>
      <c r="M48" s="27"/>
      <c r="N48" s="27"/>
      <c r="O48" s="27"/>
      <c r="P48" s="27"/>
      <c r="Q48" s="27"/>
      <c r="R48" s="27"/>
      <c r="S48" s="27"/>
      <c r="T48" s="43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5"/>
      <c r="AJ48" s="58"/>
      <c r="AK48" s="55"/>
      <c r="AL48" s="66">
        <f t="shared" si="5"/>
        <v>0</v>
      </c>
      <c r="AM48" s="28" t="str">
        <f t="shared" si="2"/>
        <v>OK</v>
      </c>
    </row>
    <row r="49" spans="1:39" customFormat="1" hidden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135"/>
      <c r="I49" s="21">
        <f t="shared" si="3"/>
        <v>0</v>
      </c>
      <c r="J49" s="21"/>
      <c r="K49" s="16"/>
      <c r="L49" s="21"/>
      <c r="M49" s="21"/>
      <c r="N49" s="21"/>
      <c r="O49" s="21"/>
      <c r="P49" s="21"/>
      <c r="Q49" s="21"/>
      <c r="R49" s="21"/>
      <c r="S49" s="21"/>
      <c r="T49" s="4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4"/>
      <c r="AJ49" s="57"/>
      <c r="AK49" s="54"/>
      <c r="AL49" s="65">
        <f t="shared" si="5"/>
        <v>0</v>
      </c>
      <c r="AM49" s="22" t="str">
        <f t="shared" si="2"/>
        <v>OK</v>
      </c>
    </row>
    <row r="50" spans="1:39" customFormat="1" hidden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136"/>
      <c r="I50" s="27">
        <f t="shared" si="3"/>
        <v>0</v>
      </c>
      <c r="J50" s="27"/>
      <c r="K50" s="16"/>
      <c r="L50" s="27"/>
      <c r="M50" s="27"/>
      <c r="N50" s="27"/>
      <c r="O50" s="27"/>
      <c r="P50" s="27"/>
      <c r="Q50" s="27"/>
      <c r="R50" s="27"/>
      <c r="S50" s="27"/>
      <c r="T50" s="43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8"/>
      <c r="AK50" s="55"/>
      <c r="AL50" s="66">
        <f t="shared" si="5"/>
        <v>0</v>
      </c>
      <c r="AM50" s="28" t="str">
        <f t="shared" si="2"/>
        <v>OK</v>
      </c>
    </row>
    <row r="51" spans="1:39" customFormat="1" hidden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135"/>
      <c r="I51" s="21">
        <f t="shared" si="3"/>
        <v>0</v>
      </c>
      <c r="J51" s="21"/>
      <c r="K51" s="16"/>
      <c r="L51" s="21"/>
      <c r="M51" s="21"/>
      <c r="N51" s="21"/>
      <c r="O51" s="21"/>
      <c r="P51" s="21"/>
      <c r="Q51" s="21"/>
      <c r="R51" s="21"/>
      <c r="S51" s="21"/>
      <c r="T51" s="4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4"/>
      <c r="AJ51" s="57"/>
      <c r="AK51" s="54"/>
      <c r="AL51" s="65">
        <f>SUM(L51:AK51)</f>
        <v>0</v>
      </c>
      <c r="AM51" s="22" t="str">
        <f t="shared" si="2"/>
        <v>OK</v>
      </c>
    </row>
    <row r="52" spans="1:39" customFormat="1" hidden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136"/>
      <c r="I52" s="27">
        <f t="shared" si="3"/>
        <v>0</v>
      </c>
      <c r="J52" s="27"/>
      <c r="K52" s="16"/>
      <c r="L52" s="27"/>
      <c r="M52" s="27"/>
      <c r="N52" s="27"/>
      <c r="O52" s="27"/>
      <c r="P52" s="27"/>
      <c r="Q52" s="27"/>
      <c r="R52" s="27"/>
      <c r="S52" s="27"/>
      <c r="T52" s="43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5"/>
      <c r="AJ52" s="58"/>
      <c r="AK52" s="55"/>
      <c r="AL52" s="66">
        <f t="shared" ref="AL52:AL64" si="6">SUM(L52:AK52)</f>
        <v>0</v>
      </c>
      <c r="AM52" s="28" t="str">
        <f t="shared" si="2"/>
        <v>OK</v>
      </c>
    </row>
    <row r="53" spans="1:39" customFormat="1" hidden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135"/>
      <c r="I53" s="21">
        <f t="shared" si="3"/>
        <v>0</v>
      </c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42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4"/>
      <c r="AJ53" s="57"/>
      <c r="AK53" s="54"/>
      <c r="AL53" s="65">
        <f t="shared" si="6"/>
        <v>0</v>
      </c>
      <c r="AM53" s="22" t="str">
        <f t="shared" si="2"/>
        <v>OK</v>
      </c>
    </row>
    <row r="54" spans="1:39" customFormat="1" hidden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136"/>
      <c r="I54" s="27">
        <f t="shared" si="3"/>
        <v>0</v>
      </c>
      <c r="J54" s="27"/>
      <c r="K54" s="16"/>
      <c r="L54" s="27"/>
      <c r="M54" s="27"/>
      <c r="N54" s="27"/>
      <c r="O54" s="27"/>
      <c r="P54" s="27"/>
      <c r="Q54" s="27"/>
      <c r="R54" s="27"/>
      <c r="S54" s="27"/>
      <c r="T54" s="43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5"/>
      <c r="AJ54" s="58"/>
      <c r="AK54" s="55"/>
      <c r="AL54" s="66">
        <f t="shared" si="6"/>
        <v>0</v>
      </c>
      <c r="AM54" s="28" t="str">
        <f t="shared" si="2"/>
        <v>OK</v>
      </c>
    </row>
    <row r="55" spans="1:39" customFormat="1" hidden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135"/>
      <c r="I55" s="21">
        <f t="shared" si="3"/>
        <v>0</v>
      </c>
      <c r="J55" s="21"/>
      <c r="K55" s="16"/>
      <c r="L55" s="21"/>
      <c r="M55" s="21"/>
      <c r="N55" s="21"/>
      <c r="O55" s="21"/>
      <c r="P55" s="21"/>
      <c r="Q55" s="21"/>
      <c r="R55" s="21"/>
      <c r="S55" s="21"/>
      <c r="T55" s="42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4"/>
      <c r="AJ55" s="57"/>
      <c r="AK55" s="54"/>
      <c r="AL55" s="65">
        <f t="shared" si="6"/>
        <v>0</v>
      </c>
      <c r="AM55" s="22" t="str">
        <f t="shared" si="2"/>
        <v>OK</v>
      </c>
    </row>
    <row r="56" spans="1:39" customFormat="1" hidden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136"/>
      <c r="I56" s="27">
        <f t="shared" si="3"/>
        <v>0</v>
      </c>
      <c r="J56" s="27"/>
      <c r="K56" s="16"/>
      <c r="L56" s="27"/>
      <c r="M56" s="27"/>
      <c r="N56" s="27"/>
      <c r="O56" s="27"/>
      <c r="P56" s="27"/>
      <c r="Q56" s="27"/>
      <c r="R56" s="27"/>
      <c r="S56" s="27"/>
      <c r="T56" s="43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5"/>
      <c r="AJ56" s="58"/>
      <c r="AK56" s="55"/>
      <c r="AL56" s="66">
        <f t="shared" si="6"/>
        <v>0</v>
      </c>
      <c r="AM56" s="28" t="str">
        <f t="shared" si="2"/>
        <v>OK</v>
      </c>
    </row>
    <row r="57" spans="1:39" customFormat="1" hidden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135"/>
      <c r="I57" s="21">
        <f t="shared" si="3"/>
        <v>0</v>
      </c>
      <c r="J57" s="21"/>
      <c r="K57" s="16"/>
      <c r="L57" s="21"/>
      <c r="M57" s="21"/>
      <c r="N57" s="21"/>
      <c r="O57" s="21"/>
      <c r="P57" s="21"/>
      <c r="Q57" s="21"/>
      <c r="R57" s="21"/>
      <c r="S57" s="21"/>
      <c r="T57" s="42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4"/>
      <c r="AJ57" s="57"/>
      <c r="AK57" s="54"/>
      <c r="AL57" s="65">
        <f t="shared" si="6"/>
        <v>0</v>
      </c>
      <c r="AM57" s="22" t="str">
        <f t="shared" si="2"/>
        <v>OK</v>
      </c>
    </row>
    <row r="58" spans="1:39" customFormat="1" hidden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136"/>
      <c r="I58" s="27">
        <f t="shared" si="3"/>
        <v>0</v>
      </c>
      <c r="J58" s="27"/>
      <c r="K58" s="16"/>
      <c r="L58" s="27"/>
      <c r="M58" s="27"/>
      <c r="N58" s="27"/>
      <c r="O58" s="27"/>
      <c r="P58" s="27"/>
      <c r="Q58" s="27"/>
      <c r="R58" s="27"/>
      <c r="S58" s="27"/>
      <c r="T58" s="43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5"/>
      <c r="AJ58" s="58"/>
      <c r="AK58" s="55"/>
      <c r="AL58" s="66">
        <f t="shared" si="6"/>
        <v>0</v>
      </c>
      <c r="AM58" s="28" t="str">
        <f t="shared" si="2"/>
        <v>OK</v>
      </c>
    </row>
    <row r="59" spans="1:39" customFormat="1" hidden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135"/>
      <c r="I59" s="21">
        <f t="shared" si="3"/>
        <v>0</v>
      </c>
      <c r="J59" s="21"/>
      <c r="K59" s="16"/>
      <c r="L59" s="21"/>
      <c r="M59" s="21"/>
      <c r="N59" s="21"/>
      <c r="O59" s="21"/>
      <c r="P59" s="21"/>
      <c r="Q59" s="21"/>
      <c r="R59" s="21"/>
      <c r="S59" s="21"/>
      <c r="T59" s="4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4"/>
      <c r="AJ59" s="57"/>
      <c r="AK59" s="54"/>
      <c r="AL59" s="65">
        <f t="shared" si="6"/>
        <v>0</v>
      </c>
      <c r="AM59" s="22" t="str">
        <f t="shared" si="2"/>
        <v>OK</v>
      </c>
    </row>
    <row r="60" spans="1:39" customFormat="1" hidden="1">
      <c r="A60" s="68" t="s">
        <v>84</v>
      </c>
      <c r="B60" s="78">
        <v>11380</v>
      </c>
      <c r="C60" s="23" t="s">
        <v>60</v>
      </c>
      <c r="D60" s="24"/>
      <c r="E60" s="24"/>
      <c r="F60" s="24"/>
      <c r="G60" s="25"/>
      <c r="H60" s="136"/>
      <c r="I60" s="27">
        <f t="shared" si="3"/>
        <v>0</v>
      </c>
      <c r="J60" s="27"/>
      <c r="K60" s="16"/>
      <c r="L60" s="27"/>
      <c r="M60" s="27"/>
      <c r="N60" s="27"/>
      <c r="O60" s="27"/>
      <c r="P60" s="27"/>
      <c r="Q60" s="27"/>
      <c r="R60" s="27"/>
      <c r="S60" s="27"/>
      <c r="T60" s="43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5"/>
      <c r="AJ60" s="58"/>
      <c r="AK60" s="55"/>
      <c r="AL60" s="66">
        <f t="shared" si="6"/>
        <v>0</v>
      </c>
      <c r="AM60" s="28" t="str">
        <f t="shared" si="2"/>
        <v>OK</v>
      </c>
    </row>
    <row r="61" spans="1:39" customFormat="1" hidden="1">
      <c r="A61" s="80" t="s">
        <v>112</v>
      </c>
      <c r="B61" s="77">
        <v>18518</v>
      </c>
      <c r="C61" s="17" t="s">
        <v>87</v>
      </c>
      <c r="D61" s="69"/>
      <c r="E61" s="18"/>
      <c r="F61" s="18"/>
      <c r="G61" s="19"/>
      <c r="H61" s="135">
        <v>168</v>
      </c>
      <c r="I61" s="21">
        <f t="shared" si="3"/>
        <v>0</v>
      </c>
      <c r="J61" s="21"/>
      <c r="K61" s="16"/>
      <c r="L61" s="21"/>
      <c r="M61" s="21"/>
      <c r="N61" s="21"/>
      <c r="O61" s="21"/>
      <c r="P61" s="21"/>
      <c r="Q61" s="21"/>
      <c r="R61" s="21"/>
      <c r="S61" s="21"/>
      <c r="T61" s="4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4"/>
      <c r="AJ61" s="57"/>
      <c r="AK61" s="54"/>
      <c r="AL61" s="65">
        <f t="shared" si="6"/>
        <v>0</v>
      </c>
      <c r="AM61" s="22" t="str">
        <f t="shared" si="2"/>
        <v>OK</v>
      </c>
    </row>
    <row r="62" spans="1:39" customFormat="1" hidden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136"/>
      <c r="I62" s="27">
        <f t="shared" si="3"/>
        <v>0</v>
      </c>
      <c r="J62" s="27"/>
      <c r="K62" s="16"/>
      <c r="L62" s="27"/>
      <c r="M62" s="27"/>
      <c r="N62" s="27"/>
      <c r="O62" s="27"/>
      <c r="P62" s="27"/>
      <c r="Q62" s="27"/>
      <c r="R62" s="27"/>
      <c r="S62" s="27"/>
      <c r="T62" s="43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5"/>
      <c r="AJ62" s="58"/>
      <c r="AK62" s="55"/>
      <c r="AL62" s="66">
        <f t="shared" si="6"/>
        <v>0</v>
      </c>
      <c r="AM62" s="28" t="str">
        <f t="shared" si="2"/>
        <v>OK</v>
      </c>
    </row>
    <row r="63" spans="1:39" customFormat="1" hidden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135"/>
      <c r="I63" s="21">
        <f t="shared" si="3"/>
        <v>0</v>
      </c>
      <c r="J63" s="21"/>
      <c r="K63" s="16"/>
      <c r="L63" s="21"/>
      <c r="M63" s="21"/>
      <c r="N63" s="21"/>
      <c r="O63" s="21"/>
      <c r="P63" s="21"/>
      <c r="Q63" s="21"/>
      <c r="R63" s="21"/>
      <c r="S63" s="21"/>
      <c r="T63" s="4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4"/>
      <c r="AJ63" s="57"/>
      <c r="AK63" s="54"/>
      <c r="AL63" s="65">
        <f t="shared" si="6"/>
        <v>0</v>
      </c>
      <c r="AM63" s="22" t="str">
        <f t="shared" si="2"/>
        <v>OK</v>
      </c>
    </row>
    <row r="64" spans="1:39" customFormat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136">
        <f>300+1020+989</f>
        <v>2309</v>
      </c>
      <c r="I64" s="27">
        <f t="shared" si="3"/>
        <v>3</v>
      </c>
      <c r="J64" s="27"/>
      <c r="K64" s="16"/>
      <c r="L64" s="27"/>
      <c r="M64" s="27"/>
      <c r="N64" s="27"/>
      <c r="O64" s="27"/>
      <c r="P64" s="27"/>
      <c r="Q64" s="27"/>
      <c r="R64" s="27"/>
      <c r="S64" s="27"/>
      <c r="T64" s="43"/>
      <c r="U64" s="52"/>
      <c r="V64" s="52">
        <v>1</v>
      </c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>
        <v>2</v>
      </c>
      <c r="AH64" s="52"/>
      <c r="AI64" s="55"/>
      <c r="AJ64" s="58"/>
      <c r="AK64" s="55"/>
      <c r="AL64" s="66">
        <f t="shared" si="6"/>
        <v>3</v>
      </c>
      <c r="AM64" s="28" t="str">
        <f t="shared" si="2"/>
        <v>OK</v>
      </c>
    </row>
    <row r="65" spans="1:39" customFormat="1" hidden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135"/>
      <c r="I65" s="21">
        <f t="shared" si="3"/>
        <v>0</v>
      </c>
      <c r="J65" s="21"/>
      <c r="K65" s="16"/>
      <c r="L65" s="21"/>
      <c r="M65" s="21"/>
      <c r="N65" s="21"/>
      <c r="O65" s="21"/>
      <c r="P65" s="21"/>
      <c r="Q65" s="21"/>
      <c r="R65" s="21"/>
      <c r="S65" s="21"/>
      <c r="T65" s="4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4"/>
      <c r="AJ65" s="57"/>
      <c r="AK65" s="54"/>
      <c r="AL65" s="65">
        <f t="shared" si="4"/>
        <v>0</v>
      </c>
      <c r="AM65" s="22" t="str">
        <f t="shared" si="2"/>
        <v>OK</v>
      </c>
    </row>
    <row r="66" spans="1:39" customFormat="1" hidden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136"/>
      <c r="I66" s="27">
        <f t="shared" si="3"/>
        <v>0</v>
      </c>
      <c r="J66" s="27"/>
      <c r="K66" s="16"/>
      <c r="L66" s="27"/>
      <c r="M66" s="27"/>
      <c r="N66" s="27"/>
      <c r="O66" s="27"/>
      <c r="P66" s="27"/>
      <c r="Q66" s="27"/>
      <c r="R66" s="27"/>
      <c r="S66" s="27"/>
      <c r="T66" s="43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5"/>
      <c r="AJ66" s="58"/>
      <c r="AK66" s="55"/>
      <c r="AL66" s="66">
        <f t="shared" si="4"/>
        <v>0</v>
      </c>
      <c r="AM66" s="28" t="str">
        <f t="shared" si="2"/>
        <v>OK</v>
      </c>
    </row>
    <row r="67" spans="1:39" customFormat="1" hidden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135">
        <v>1420</v>
      </c>
      <c r="I67" s="21">
        <f t="shared" si="3"/>
        <v>0</v>
      </c>
      <c r="J67" s="21"/>
      <c r="K67" s="16"/>
      <c r="L67" s="21"/>
      <c r="M67" s="21"/>
      <c r="N67" s="21"/>
      <c r="O67" s="21"/>
      <c r="P67" s="21"/>
      <c r="Q67" s="21"/>
      <c r="R67" s="21"/>
      <c r="S67" s="21"/>
      <c r="T67" s="4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4"/>
      <c r="AJ67" s="57"/>
      <c r="AK67" s="54"/>
      <c r="AL67" s="65">
        <f t="shared" si="4"/>
        <v>0</v>
      </c>
      <c r="AM67" s="22" t="str">
        <f t="shared" si="2"/>
        <v>OK</v>
      </c>
    </row>
    <row r="68" spans="1:39" customFormat="1" hidden="1">
      <c r="A68" s="81" t="s">
        <v>132</v>
      </c>
      <c r="B68" s="78">
        <v>20269</v>
      </c>
      <c r="C68" s="23" t="s">
        <v>155</v>
      </c>
      <c r="D68" s="24"/>
      <c r="E68" s="24"/>
      <c r="F68" s="24"/>
      <c r="G68" s="25"/>
      <c r="H68" s="136"/>
      <c r="I68" s="27">
        <f t="shared" si="3"/>
        <v>0</v>
      </c>
      <c r="J68" s="27"/>
      <c r="K68" s="16"/>
      <c r="L68" s="27"/>
      <c r="M68" s="27"/>
      <c r="N68" s="27"/>
      <c r="O68" s="27"/>
      <c r="P68" s="27"/>
      <c r="Q68" s="27"/>
      <c r="R68" s="27"/>
      <c r="S68" s="27"/>
      <c r="T68" s="43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5"/>
      <c r="AJ68" s="58"/>
      <c r="AK68" s="55"/>
      <c r="AL68" s="66">
        <f t="shared" si="4"/>
        <v>0</v>
      </c>
      <c r="AM68" s="28" t="str">
        <f t="shared" si="2"/>
        <v>OK</v>
      </c>
    </row>
    <row r="69" spans="1:39" customFormat="1" hidden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135"/>
      <c r="I69" s="21">
        <f t="shared" si="3"/>
        <v>0</v>
      </c>
      <c r="J69" s="21"/>
      <c r="K69" s="16"/>
      <c r="L69" s="21"/>
      <c r="M69" s="21"/>
      <c r="N69" s="21"/>
      <c r="O69" s="21"/>
      <c r="P69" s="21"/>
      <c r="Q69" s="21"/>
      <c r="R69" s="21"/>
      <c r="S69" s="21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7"/>
      <c r="AK69" s="54"/>
      <c r="AL69" s="65">
        <f t="shared" si="4"/>
        <v>0</v>
      </c>
      <c r="AM69" s="22" t="str">
        <f t="shared" si="2"/>
        <v>OK</v>
      </c>
    </row>
    <row r="70" spans="1:39" customFormat="1" hidden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136"/>
      <c r="I70" s="27">
        <f t="shared" si="3"/>
        <v>0</v>
      </c>
      <c r="J70" s="27"/>
      <c r="K70" s="16"/>
      <c r="L70" s="27"/>
      <c r="M70" s="27"/>
      <c r="N70" s="27"/>
      <c r="O70" s="27"/>
      <c r="P70" s="27"/>
      <c r="Q70" s="27"/>
      <c r="R70" s="27"/>
      <c r="S70" s="27"/>
      <c r="T70" s="43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5"/>
      <c r="AJ70" s="58"/>
      <c r="AK70" s="55"/>
      <c r="AL70" s="66">
        <f t="shared" si="4"/>
        <v>0</v>
      </c>
      <c r="AM70" s="28" t="str">
        <f t="shared" si="2"/>
        <v>OK</v>
      </c>
    </row>
    <row r="71" spans="1:39" customFormat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135">
        <f>1006+460</f>
        <v>1466</v>
      </c>
      <c r="I71" s="21">
        <f t="shared" ref="I71:I96" si="7">SUM(L71:AK71)</f>
        <v>4</v>
      </c>
      <c r="J71" s="21"/>
      <c r="K71" s="16"/>
      <c r="L71" s="21"/>
      <c r="M71" s="21"/>
      <c r="N71" s="21"/>
      <c r="O71" s="21"/>
      <c r="P71" s="21"/>
      <c r="Q71" s="21"/>
      <c r="R71" s="21"/>
      <c r="S71" s="21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4">
        <v>4</v>
      </c>
      <c r="AJ71" s="57"/>
      <c r="AK71" s="54"/>
      <c r="AL71" s="65">
        <f t="shared" si="4"/>
        <v>4</v>
      </c>
      <c r="AM71" s="22" t="str">
        <f t="shared" si="2"/>
        <v>OK</v>
      </c>
    </row>
    <row r="72" spans="1:39" customFormat="1" hidden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136"/>
      <c r="I72" s="27">
        <f t="shared" si="7"/>
        <v>0</v>
      </c>
      <c r="J72" s="27"/>
      <c r="K72" s="16"/>
      <c r="L72" s="27"/>
      <c r="M72" s="27"/>
      <c r="N72" s="27"/>
      <c r="O72" s="27"/>
      <c r="P72" s="27"/>
      <c r="Q72" s="27"/>
      <c r="R72" s="27"/>
      <c r="S72" s="27"/>
      <c r="T72" s="43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5"/>
      <c r="AJ72" s="58"/>
      <c r="AK72" s="55"/>
      <c r="AL72" s="66">
        <f t="shared" si="4"/>
        <v>0</v>
      </c>
      <c r="AM72" s="28" t="str">
        <f t="shared" si="2"/>
        <v>OK</v>
      </c>
    </row>
    <row r="73" spans="1:39" customFormat="1" hidden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138"/>
      <c r="I73" s="101">
        <f t="shared" si="7"/>
        <v>0</v>
      </c>
      <c r="J73" s="21"/>
      <c r="K73" s="16"/>
      <c r="L73" s="21"/>
      <c r="M73" s="21"/>
      <c r="N73" s="21"/>
      <c r="O73" s="21"/>
      <c r="P73" s="21"/>
      <c r="Q73" s="21"/>
      <c r="R73" s="21"/>
      <c r="S73" s="21"/>
      <c r="T73" s="42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4"/>
      <c r="AJ73" s="57"/>
      <c r="AK73" s="54"/>
      <c r="AL73" s="65">
        <f t="shared" si="4"/>
        <v>0</v>
      </c>
      <c r="AM73" s="22" t="str">
        <f t="shared" si="2"/>
        <v>OK</v>
      </c>
    </row>
    <row r="74" spans="1:39" customFormat="1" hidden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139"/>
      <c r="I74" s="103">
        <f t="shared" si="7"/>
        <v>0</v>
      </c>
      <c r="J74" s="27"/>
      <c r="K74" s="16"/>
      <c r="L74" s="100"/>
      <c r="M74" s="100"/>
      <c r="N74" s="100"/>
      <c r="O74" s="100"/>
      <c r="P74" s="100"/>
      <c r="Q74" s="100"/>
      <c r="R74" s="100"/>
      <c r="S74" s="100"/>
      <c r="T74" s="109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1"/>
      <c r="AJ74" s="112"/>
      <c r="AK74" s="111"/>
      <c r="AL74" s="66">
        <f t="shared" si="4"/>
        <v>0</v>
      </c>
      <c r="AM74" s="28" t="str">
        <f t="shared" si="2"/>
        <v>OK</v>
      </c>
    </row>
    <row r="75" spans="1:39" hidden="1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40"/>
      <c r="I75" s="105">
        <f t="shared" si="7"/>
        <v>0</v>
      </c>
      <c r="J75" s="90"/>
      <c r="K75" s="91"/>
      <c r="L75" s="113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5"/>
      <c r="AL75" s="92">
        <f t="shared" ref="AL75:AL80" si="8">SUM(L75:AK75)</f>
        <v>0</v>
      </c>
      <c r="AM75" s="122" t="str">
        <f t="shared" ref="AM75:AM96" si="9">IF(AL75=I75,"OK","NG")</f>
        <v>OK</v>
      </c>
    </row>
    <row r="76" spans="1:39" ht="17.25" thickBot="1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139">
        <f>1680+1770</f>
        <v>3450</v>
      </c>
      <c r="I76" s="106">
        <f t="shared" si="7"/>
        <v>2</v>
      </c>
      <c r="J76" s="85"/>
      <c r="K76" s="16"/>
      <c r="L76" s="1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>
        <v>2</v>
      </c>
      <c r="AJ76" s="117"/>
      <c r="AK76" s="118"/>
      <c r="AL76" s="66">
        <f t="shared" si="8"/>
        <v>2</v>
      </c>
      <c r="AM76" s="28" t="str">
        <f t="shared" si="9"/>
        <v>OK</v>
      </c>
    </row>
    <row r="77" spans="1:39" ht="17.25" hidden="1" thickBot="1">
      <c r="A77" s="87" t="s">
        <v>165</v>
      </c>
      <c r="B77" s="93">
        <v>13007</v>
      </c>
      <c r="C77" s="94" t="s">
        <v>164</v>
      </c>
      <c r="D77" s="88"/>
      <c r="E77" s="88"/>
      <c r="F77" s="88"/>
      <c r="G77" s="89"/>
      <c r="H77" s="104"/>
      <c r="I77" s="105">
        <f t="shared" si="7"/>
        <v>0</v>
      </c>
      <c r="J77" s="90"/>
      <c r="K77" s="91"/>
      <c r="L77" s="113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5"/>
      <c r="AL77" s="92">
        <f t="shared" si="8"/>
        <v>0</v>
      </c>
      <c r="AM77" s="122" t="str">
        <f t="shared" si="9"/>
        <v>OK</v>
      </c>
    </row>
    <row r="78" spans="1:39" ht="17.25" hidden="1" thickBot="1">
      <c r="A78" s="68"/>
      <c r="B78" s="78"/>
      <c r="C78" s="95"/>
      <c r="D78" s="83"/>
      <c r="E78" s="83"/>
      <c r="F78" s="83"/>
      <c r="G78" s="84"/>
      <c r="H78" s="102"/>
      <c r="I78" s="106">
        <f t="shared" si="7"/>
        <v>0</v>
      </c>
      <c r="J78" s="85"/>
      <c r="K78" s="16"/>
      <c r="L78" s="1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66">
        <f t="shared" si="8"/>
        <v>0</v>
      </c>
      <c r="AM78" s="28" t="str">
        <f t="shared" si="9"/>
        <v>OK</v>
      </c>
    </row>
    <row r="79" spans="1:39" ht="17.25" hidden="1" thickBot="1">
      <c r="A79" s="87"/>
      <c r="B79" s="93"/>
      <c r="C79" s="94"/>
      <c r="D79" s="88"/>
      <c r="E79" s="88"/>
      <c r="F79" s="88"/>
      <c r="G79" s="89"/>
      <c r="H79" s="104"/>
      <c r="I79" s="105">
        <f t="shared" si="7"/>
        <v>0</v>
      </c>
      <c r="J79" s="90"/>
      <c r="K79" s="91"/>
      <c r="L79" s="113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5"/>
      <c r="AL79" s="92">
        <f t="shared" si="8"/>
        <v>0</v>
      </c>
      <c r="AM79" s="122" t="str">
        <f t="shared" si="9"/>
        <v>OK</v>
      </c>
    </row>
    <row r="80" spans="1:39" ht="17.25" hidden="1" thickBot="1">
      <c r="A80" s="68"/>
      <c r="B80" s="78"/>
      <c r="C80" s="95"/>
      <c r="D80" s="83"/>
      <c r="E80" s="83"/>
      <c r="F80" s="83"/>
      <c r="G80" s="84"/>
      <c r="H80" s="102"/>
      <c r="I80" s="106">
        <f t="shared" si="7"/>
        <v>0</v>
      </c>
      <c r="J80" s="85"/>
      <c r="K80" s="16"/>
      <c r="L80" s="116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66">
        <f t="shared" si="8"/>
        <v>0</v>
      </c>
      <c r="AM80" s="28" t="str">
        <f t="shared" si="9"/>
        <v>OK</v>
      </c>
    </row>
    <row r="81" spans="1:39" ht="17.25" hidden="1" thickBot="1">
      <c r="A81" s="87"/>
      <c r="B81" s="93"/>
      <c r="C81" s="94"/>
      <c r="D81" s="88"/>
      <c r="E81" s="88"/>
      <c r="F81" s="88"/>
      <c r="G81" s="89"/>
      <c r="H81" s="104"/>
      <c r="I81" s="105">
        <f t="shared" si="7"/>
        <v>0</v>
      </c>
      <c r="J81" s="90"/>
      <c r="K81" s="91"/>
      <c r="L81" s="113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5"/>
      <c r="AL81" s="92">
        <f t="shared" ref="AL81:AL96" si="10">SUM(L81:AK81)</f>
        <v>0</v>
      </c>
      <c r="AM81" s="122" t="str">
        <f t="shared" si="9"/>
        <v>OK</v>
      </c>
    </row>
    <row r="82" spans="1:39" ht="17.25" hidden="1" thickBot="1">
      <c r="A82" s="68"/>
      <c r="B82" s="78"/>
      <c r="C82" s="95"/>
      <c r="D82" s="83"/>
      <c r="E82" s="83"/>
      <c r="F82" s="83"/>
      <c r="G82" s="84"/>
      <c r="H82" s="102"/>
      <c r="I82" s="106">
        <f t="shared" si="7"/>
        <v>0</v>
      </c>
      <c r="J82" s="85"/>
      <c r="K82" s="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66">
        <f t="shared" si="10"/>
        <v>0</v>
      </c>
      <c r="AM82" s="28" t="str">
        <f t="shared" si="9"/>
        <v>OK</v>
      </c>
    </row>
    <row r="83" spans="1:39" ht="17.25" hidden="1" thickBot="1">
      <c r="A83" s="96"/>
      <c r="B83" s="93"/>
      <c r="C83" s="94"/>
      <c r="D83" s="88"/>
      <c r="E83" s="88"/>
      <c r="F83" s="88"/>
      <c r="G83" s="89"/>
      <c r="H83" s="104"/>
      <c r="I83" s="105">
        <f t="shared" si="7"/>
        <v>0</v>
      </c>
      <c r="J83" s="90"/>
      <c r="K83" s="91"/>
      <c r="L83" s="113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5"/>
      <c r="AL83" s="92">
        <f t="shared" si="10"/>
        <v>0</v>
      </c>
      <c r="AM83" s="122" t="str">
        <f t="shared" si="9"/>
        <v>OK</v>
      </c>
    </row>
    <row r="84" spans="1:39" ht="17.25" hidden="1" thickBot="1">
      <c r="A84" s="68"/>
      <c r="B84" s="78"/>
      <c r="C84" s="95"/>
      <c r="D84" s="83"/>
      <c r="E84" s="83"/>
      <c r="F84" s="83"/>
      <c r="G84" s="84"/>
      <c r="H84" s="102"/>
      <c r="I84" s="106">
        <f t="shared" si="7"/>
        <v>0</v>
      </c>
      <c r="J84" s="85"/>
      <c r="K84" s="16"/>
      <c r="L84" s="116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66">
        <f t="shared" si="10"/>
        <v>0</v>
      </c>
      <c r="AM84" s="28" t="str">
        <f t="shared" si="9"/>
        <v>OK</v>
      </c>
    </row>
    <row r="85" spans="1:39" ht="17.25" hidden="1" thickBot="1">
      <c r="A85" s="87"/>
      <c r="B85" s="93"/>
      <c r="C85" s="94"/>
      <c r="D85" s="88"/>
      <c r="E85" s="88"/>
      <c r="F85" s="88"/>
      <c r="G85" s="89"/>
      <c r="H85" s="104"/>
      <c r="I85" s="105">
        <f t="shared" si="7"/>
        <v>0</v>
      </c>
      <c r="J85" s="90"/>
      <c r="K85" s="91"/>
      <c r="L85" s="113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5"/>
      <c r="AL85" s="92">
        <f t="shared" si="10"/>
        <v>0</v>
      </c>
      <c r="AM85" s="122" t="str">
        <f t="shared" si="9"/>
        <v>OK</v>
      </c>
    </row>
    <row r="86" spans="1:39" ht="17.25" hidden="1" thickBot="1">
      <c r="A86" s="68"/>
      <c r="B86" s="78"/>
      <c r="C86" s="95"/>
      <c r="D86" s="83"/>
      <c r="E86" s="83"/>
      <c r="F86" s="83"/>
      <c r="G86" s="84"/>
      <c r="H86" s="102"/>
      <c r="I86" s="106">
        <f t="shared" si="7"/>
        <v>0</v>
      </c>
      <c r="J86" s="85"/>
      <c r="K86" s="16"/>
      <c r="L86" s="116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66">
        <f t="shared" si="10"/>
        <v>0</v>
      </c>
      <c r="AM86" s="28" t="str">
        <f t="shared" si="9"/>
        <v>OK</v>
      </c>
    </row>
    <row r="87" spans="1:39" ht="17.25" hidden="1" thickBot="1">
      <c r="A87" s="87"/>
      <c r="B87" s="93"/>
      <c r="C87" s="94"/>
      <c r="D87" s="88"/>
      <c r="E87" s="88"/>
      <c r="F87" s="88"/>
      <c r="G87" s="89"/>
      <c r="H87" s="104"/>
      <c r="I87" s="105">
        <f t="shared" si="7"/>
        <v>0</v>
      </c>
      <c r="J87" s="90"/>
      <c r="K87" s="91"/>
      <c r="L87" s="113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5"/>
      <c r="AL87" s="92">
        <f t="shared" si="10"/>
        <v>0</v>
      </c>
      <c r="AM87" s="122" t="str">
        <f t="shared" si="9"/>
        <v>OK</v>
      </c>
    </row>
    <row r="88" spans="1:39" ht="17.25" hidden="1" thickBot="1">
      <c r="A88" s="68"/>
      <c r="B88" s="78"/>
      <c r="C88" s="95"/>
      <c r="D88" s="83"/>
      <c r="E88" s="83"/>
      <c r="F88" s="83"/>
      <c r="G88" s="84"/>
      <c r="H88" s="102"/>
      <c r="I88" s="106">
        <f t="shared" si="7"/>
        <v>0</v>
      </c>
      <c r="J88" s="85"/>
      <c r="K88" s="16"/>
      <c r="L88" s="116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66">
        <f t="shared" si="10"/>
        <v>0</v>
      </c>
      <c r="AM88" s="28" t="str">
        <f t="shared" si="9"/>
        <v>OK</v>
      </c>
    </row>
    <row r="89" spans="1:39" ht="17.25" hidden="1" thickBot="1">
      <c r="A89" s="87"/>
      <c r="B89" s="93"/>
      <c r="C89" s="94"/>
      <c r="D89" s="88"/>
      <c r="E89" s="88"/>
      <c r="F89" s="88"/>
      <c r="G89" s="89"/>
      <c r="H89" s="104"/>
      <c r="I89" s="105">
        <f t="shared" si="7"/>
        <v>0</v>
      </c>
      <c r="J89" s="90"/>
      <c r="K89" s="91"/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5"/>
      <c r="AL89" s="92">
        <f t="shared" si="10"/>
        <v>0</v>
      </c>
      <c r="AM89" s="122" t="str">
        <f t="shared" si="9"/>
        <v>OK</v>
      </c>
    </row>
    <row r="90" spans="1:39" ht="17.25" hidden="1" thickBot="1">
      <c r="A90" s="68"/>
      <c r="B90" s="78"/>
      <c r="C90" s="95"/>
      <c r="D90" s="83"/>
      <c r="E90" s="83"/>
      <c r="F90" s="83"/>
      <c r="G90" s="84"/>
      <c r="H90" s="102"/>
      <c r="I90" s="106">
        <f t="shared" si="7"/>
        <v>0</v>
      </c>
      <c r="J90" s="85"/>
      <c r="K90" s="16"/>
      <c r="L90" s="116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66">
        <f t="shared" si="10"/>
        <v>0</v>
      </c>
      <c r="AM90" s="28" t="str">
        <f t="shared" si="9"/>
        <v>OK</v>
      </c>
    </row>
    <row r="91" spans="1:39" ht="17.25" hidden="1" thickBot="1">
      <c r="A91" s="87"/>
      <c r="B91" s="93"/>
      <c r="C91" s="94"/>
      <c r="D91" s="88"/>
      <c r="E91" s="88"/>
      <c r="F91" s="88"/>
      <c r="G91" s="89"/>
      <c r="H91" s="104"/>
      <c r="I91" s="105">
        <f t="shared" si="7"/>
        <v>0</v>
      </c>
      <c r="J91" s="90"/>
      <c r="K91" s="91"/>
      <c r="L91" s="113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5"/>
      <c r="AL91" s="92">
        <f t="shared" si="10"/>
        <v>0</v>
      </c>
      <c r="AM91" s="122" t="str">
        <f t="shared" si="9"/>
        <v>OK</v>
      </c>
    </row>
    <row r="92" spans="1:39" ht="17.25" hidden="1" thickBot="1">
      <c r="A92" s="68"/>
      <c r="B92" s="78"/>
      <c r="C92" s="95"/>
      <c r="D92" s="83"/>
      <c r="E92" s="83"/>
      <c r="F92" s="83"/>
      <c r="G92" s="84"/>
      <c r="H92" s="102"/>
      <c r="I92" s="106">
        <f t="shared" si="7"/>
        <v>0</v>
      </c>
      <c r="J92" s="85"/>
      <c r="K92" s="16"/>
      <c r="L92" s="116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66">
        <f t="shared" si="10"/>
        <v>0</v>
      </c>
      <c r="AM92" s="28" t="str">
        <f t="shared" si="9"/>
        <v>OK</v>
      </c>
    </row>
    <row r="93" spans="1:39" ht="17.25" hidden="1" thickBot="1">
      <c r="A93" s="87"/>
      <c r="B93" s="93"/>
      <c r="C93" s="94"/>
      <c r="D93" s="88"/>
      <c r="E93" s="88"/>
      <c r="F93" s="88"/>
      <c r="G93" s="89"/>
      <c r="H93" s="104"/>
      <c r="I93" s="105">
        <f t="shared" si="7"/>
        <v>0</v>
      </c>
      <c r="J93" s="90"/>
      <c r="K93" s="91"/>
      <c r="L93" s="113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5"/>
      <c r="AL93" s="92">
        <f t="shared" si="10"/>
        <v>0</v>
      </c>
      <c r="AM93" s="122" t="str">
        <f t="shared" si="9"/>
        <v>OK</v>
      </c>
    </row>
    <row r="94" spans="1:39" ht="17.25" hidden="1" thickBot="1">
      <c r="A94" s="68"/>
      <c r="B94" s="78"/>
      <c r="C94" s="95"/>
      <c r="D94" s="83"/>
      <c r="E94" s="83"/>
      <c r="F94" s="83"/>
      <c r="G94" s="84"/>
      <c r="H94" s="102"/>
      <c r="I94" s="106">
        <f t="shared" si="7"/>
        <v>0</v>
      </c>
      <c r="J94" s="85"/>
      <c r="K94" s="16"/>
      <c r="L94" s="116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66">
        <f t="shared" si="10"/>
        <v>0</v>
      </c>
      <c r="AM94" s="28" t="str">
        <f t="shared" si="9"/>
        <v>OK</v>
      </c>
    </row>
    <row r="95" spans="1:39" ht="17.25" hidden="1" thickBot="1">
      <c r="A95" s="87"/>
      <c r="B95" s="93"/>
      <c r="C95" s="94"/>
      <c r="D95" s="88"/>
      <c r="E95" s="88"/>
      <c r="F95" s="88"/>
      <c r="G95" s="89"/>
      <c r="H95" s="104"/>
      <c r="I95" s="105">
        <f t="shared" si="7"/>
        <v>0</v>
      </c>
      <c r="J95" s="90"/>
      <c r="K95" s="91"/>
      <c r="L95" s="113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5"/>
      <c r="AL95" s="92">
        <f t="shared" si="10"/>
        <v>0</v>
      </c>
      <c r="AM95" s="122" t="str">
        <f t="shared" si="9"/>
        <v>OK</v>
      </c>
    </row>
    <row r="96" spans="1:39" ht="17.25" hidden="1" thickBot="1">
      <c r="A96" s="97"/>
      <c r="B96" s="98"/>
      <c r="C96" s="99"/>
      <c r="D96" s="83"/>
      <c r="E96" s="83"/>
      <c r="F96" s="83"/>
      <c r="G96" s="84"/>
      <c r="H96" s="107"/>
      <c r="I96" s="108">
        <f t="shared" si="7"/>
        <v>0</v>
      </c>
      <c r="J96" s="85"/>
      <c r="K96" s="16"/>
      <c r="L96" s="119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1"/>
      <c r="AL96" s="66">
        <f t="shared" si="10"/>
        <v>0</v>
      </c>
      <c r="AM96" s="28" t="str">
        <f t="shared" si="9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33469</v>
      </c>
      <c r="I97" s="46">
        <f>SUM(I6:I96)</f>
        <v>17</v>
      </c>
      <c r="J97" s="47">
        <f>SUM(J6:J74)</f>
        <v>0</v>
      </c>
      <c r="K97" s="9"/>
      <c r="L97" s="45">
        <f>SUM(L6:L96)</f>
        <v>2</v>
      </c>
      <c r="M97" s="45">
        <f t="shared" ref="M97:AI97" si="11">SUM(M6:M96)</f>
        <v>2</v>
      </c>
      <c r="N97" s="45">
        <f t="shared" si="11"/>
        <v>0</v>
      </c>
      <c r="O97" s="45">
        <f t="shared" si="11"/>
        <v>0</v>
      </c>
      <c r="P97" s="45">
        <f t="shared" si="11"/>
        <v>0</v>
      </c>
      <c r="Q97" s="45">
        <f t="shared" si="11"/>
        <v>0</v>
      </c>
      <c r="R97" s="45">
        <f t="shared" si="11"/>
        <v>0</v>
      </c>
      <c r="S97" s="45">
        <f t="shared" si="11"/>
        <v>0</v>
      </c>
      <c r="T97" s="45">
        <f t="shared" si="11"/>
        <v>0</v>
      </c>
      <c r="U97" s="45">
        <f t="shared" si="11"/>
        <v>0</v>
      </c>
      <c r="V97" s="45">
        <f t="shared" si="11"/>
        <v>1</v>
      </c>
      <c r="W97" s="45">
        <f t="shared" si="11"/>
        <v>0</v>
      </c>
      <c r="X97" s="45">
        <f t="shared" si="11"/>
        <v>0</v>
      </c>
      <c r="Y97" s="45">
        <f t="shared" si="11"/>
        <v>0</v>
      </c>
      <c r="Z97" s="45">
        <f t="shared" si="11"/>
        <v>0</v>
      </c>
      <c r="AA97" s="45">
        <f t="shared" si="11"/>
        <v>0</v>
      </c>
      <c r="AB97" s="45">
        <f t="shared" si="11"/>
        <v>1</v>
      </c>
      <c r="AC97" s="45">
        <f t="shared" si="11"/>
        <v>2</v>
      </c>
      <c r="AD97" s="45">
        <f t="shared" si="11"/>
        <v>0</v>
      </c>
      <c r="AE97" s="45">
        <f t="shared" si="11"/>
        <v>0</v>
      </c>
      <c r="AF97" s="45">
        <f t="shared" si="11"/>
        <v>0</v>
      </c>
      <c r="AG97" s="45">
        <f t="shared" si="11"/>
        <v>2</v>
      </c>
      <c r="AH97" s="45">
        <f t="shared" si="11"/>
        <v>0</v>
      </c>
      <c r="AI97" s="45">
        <f t="shared" si="11"/>
        <v>7</v>
      </c>
      <c r="AJ97" s="49">
        <f>SUM(AJ6:AJ96)</f>
        <v>0</v>
      </c>
      <c r="AK97" s="61">
        <f>SUM(AK6:AK96)</f>
        <v>0</v>
      </c>
      <c r="AL97" s="67">
        <f>SUM(AL6:AL96)</f>
        <v>17</v>
      </c>
      <c r="AM97" s="48" t="str">
        <f>IF(AL97=SUM(I97),"OK","NG")</f>
        <v>OK</v>
      </c>
    </row>
    <row r="100" spans="1:39">
      <c r="M100" s="86"/>
    </row>
    <row r="101" spans="1:39">
      <c r="H101" s="86"/>
      <c r="I101" s="86"/>
    </row>
    <row r="103" spans="1:39">
      <c r="H103" s="86"/>
    </row>
  </sheetData>
  <autoFilter ref="A5:AM97" xr:uid="{00000000-0001-0000-1500-000000000000}">
    <filterColumn colId="8">
      <filters>
        <filter val="1"/>
        <filter val="17"/>
        <filter val="2"/>
        <filter val="3"/>
        <filter val="4"/>
      </filters>
    </filterColumn>
  </autoFilter>
  <mergeCells count="37">
    <mergeCell ref="AM4:AM5"/>
    <mergeCell ref="AG4:AG5"/>
    <mergeCell ref="AH4:AH5"/>
    <mergeCell ref="AI4:AI5"/>
    <mergeCell ref="AJ4:AJ5"/>
    <mergeCell ref="AK4:AK5"/>
    <mergeCell ref="AL4:AL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B1:C1"/>
    <mergeCell ref="F1:G1"/>
    <mergeCell ref="H1:J3"/>
    <mergeCell ref="B2:C2"/>
    <mergeCell ref="AM2:AM3"/>
    <mergeCell ref="B3:C3"/>
  </mergeCells>
  <phoneticPr fontId="3" type="noConversion"/>
  <conditionalFormatting sqref="A4">
    <cfRule type="containsText" dxfId="33" priority="11" operator="containsText" text="NG">
      <formula>NOT(ISERROR(SEARCH("NG",A4)))</formula>
    </cfRule>
    <cfRule type="containsText" dxfId="32" priority="12" operator="containsText" text="OK">
      <formula>NOT(ISERROR(SEARCH("OK",A4)))</formula>
    </cfRule>
    <cfRule type="containsText" dxfId="31" priority="13" operator="containsText" text="NG">
      <formula>NOT(ISERROR(SEARCH("NG",A4)))</formula>
    </cfRule>
    <cfRule type="containsText" dxfId="30" priority="14" operator="containsText" text="OK">
      <formula>NOT(ISERROR(SEARCH("OK",A4)))</formula>
    </cfRule>
    <cfRule type="containsText" dxfId="29" priority="15" operator="containsText" text="NG">
      <formula>NOT(ISERROR(SEARCH("NG",A4)))</formula>
    </cfRule>
    <cfRule type="containsText" dxfId="28" priority="16" operator="containsText" text="OK">
      <formula>NOT(ISERROR(SEARCH("OK",A4)))</formula>
    </cfRule>
  </conditionalFormatting>
  <conditionalFormatting sqref="AM6:AM97">
    <cfRule type="containsText" dxfId="27" priority="1" operator="containsText" text="NG">
      <formula>NOT(ISERROR(SEARCH("NG",AM6)))</formula>
    </cfRule>
    <cfRule type="containsText" dxfId="26" priority="2" operator="containsText" text="OK">
      <formula>NOT(ISERROR(SEARCH("OK",AM6)))</formula>
    </cfRule>
  </conditionalFormatting>
  <pageMargins left="0.70866141732283472" right="0.70866141732283472" top="0.74803149606299213" bottom="0.74803149606299213" header="0.31496062992125984" footer="0.31496062992125984"/>
  <pageSetup paperSize="8" scale="43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3" filterMode="1">
    <pageSetUpPr fitToPage="1"/>
  </sheetPr>
  <dimension ref="A1:AM97"/>
  <sheetViews>
    <sheetView showGridLines="0" zoomScale="85" zoomScaleNormal="85" workbookViewId="0">
      <pane ySplit="5" topLeftCell="A15" activePane="bottomLeft" state="frozen"/>
      <selection activeCell="P19" sqref="P19"/>
      <selection pane="bottomLeft" activeCell="Q102" sqref="Q102"/>
    </sheetView>
  </sheetViews>
  <sheetFormatPr defaultColWidth="9" defaultRowHeight="16.5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8" width="13.25" customWidth="1"/>
    <col min="9" max="9" width="13.25" style="132" customWidth="1"/>
    <col min="10" max="10" width="13.25" hidden="1" customWidth="1"/>
    <col min="11" max="11" width="0.875" customWidth="1"/>
    <col min="12" max="16" width="8.75"/>
    <col min="17" max="20" width="9" customWidth="1"/>
    <col min="21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5" customHeight="1" thickBot="1">
      <c r="A1" s="37" t="s">
        <v>13</v>
      </c>
      <c r="B1" s="168">
        <f>H97</f>
        <v>23755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5" customHeight="1" thickBot="1">
      <c r="A2" s="37" t="s">
        <v>14</v>
      </c>
      <c r="B2" s="173">
        <f>I97</f>
        <v>9</v>
      </c>
      <c r="C2" s="174"/>
      <c r="D2" s="75"/>
      <c r="E2" s="71"/>
      <c r="F2" s="2"/>
      <c r="G2" s="2"/>
      <c r="H2" s="171"/>
      <c r="I2" s="171"/>
      <c r="J2" s="171"/>
      <c r="K2" s="3"/>
      <c r="L2" s="4">
        <f t="shared" ref="L2:AK2" si="0">SUBTOTAL(9,L6:L96)</f>
        <v>3</v>
      </c>
      <c r="M2" s="4">
        <f t="shared" si="0"/>
        <v>0</v>
      </c>
      <c r="N2" s="4">
        <f t="shared" si="0"/>
        <v>2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39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2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2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0</v>
      </c>
      <c r="AH2" s="5">
        <f t="shared" si="0"/>
        <v>0</v>
      </c>
      <c r="AI2" s="5">
        <f t="shared" si="0"/>
        <v>0</v>
      </c>
      <c r="AJ2" s="5">
        <f t="shared" si="0"/>
        <v>0</v>
      </c>
      <c r="AK2" s="59">
        <f t="shared" si="0"/>
        <v>0</v>
      </c>
      <c r="AL2" s="62">
        <f>SUBTOTAL(9,AL6:AL96)</f>
        <v>9</v>
      </c>
      <c r="AM2" s="175"/>
    </row>
    <row r="3" spans="1:39" customFormat="1" ht="22.5" customHeight="1" thickBot="1">
      <c r="A3" s="38" t="s">
        <v>15</v>
      </c>
      <c r="B3" s="177">
        <f>IF(ISERROR(B2/(B2+B1)*1000000),"",(B2/(B2+B1)*1000000))</f>
        <v>378.72412051843122</v>
      </c>
      <c r="C3" s="178"/>
      <c r="D3" s="73"/>
      <c r="E3" s="72"/>
      <c r="F3" s="32"/>
      <c r="G3" s="32"/>
      <c r="H3" s="172"/>
      <c r="I3" s="172"/>
      <c r="J3" s="172"/>
      <c r="K3" s="6"/>
      <c r="L3" s="7">
        <f t="shared" ref="L3:AK3" si="1">SUM(L6:L96)</f>
        <v>3</v>
      </c>
      <c r="M3" s="7">
        <f t="shared" si="1"/>
        <v>0</v>
      </c>
      <c r="N3" s="7">
        <f t="shared" si="1"/>
        <v>2</v>
      </c>
      <c r="O3" s="7">
        <f t="shared" si="1"/>
        <v>0</v>
      </c>
      <c r="P3" s="7">
        <f t="shared" si="1"/>
        <v>0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40">
        <f t="shared" si="1"/>
        <v>0</v>
      </c>
      <c r="U3" s="8">
        <f t="shared" si="1"/>
        <v>0</v>
      </c>
      <c r="V3" s="8">
        <f t="shared" si="1"/>
        <v>0</v>
      </c>
      <c r="W3" s="8">
        <f t="shared" si="1"/>
        <v>0</v>
      </c>
      <c r="X3" s="8">
        <f t="shared" si="1"/>
        <v>0</v>
      </c>
      <c r="Y3" s="8">
        <f t="shared" si="1"/>
        <v>2</v>
      </c>
      <c r="Z3" s="8">
        <f t="shared" si="1"/>
        <v>0</v>
      </c>
      <c r="AA3" s="8">
        <f t="shared" si="1"/>
        <v>0</v>
      </c>
      <c r="AB3" s="8">
        <f t="shared" si="1"/>
        <v>0</v>
      </c>
      <c r="AC3" s="8">
        <f t="shared" si="1"/>
        <v>2</v>
      </c>
      <c r="AD3" s="8">
        <f t="shared" si="1"/>
        <v>0</v>
      </c>
      <c r="AE3" s="8">
        <f t="shared" si="1"/>
        <v>0</v>
      </c>
      <c r="AF3" s="8">
        <f t="shared" si="1"/>
        <v>0</v>
      </c>
      <c r="AG3" s="8">
        <f t="shared" si="1"/>
        <v>0</v>
      </c>
      <c r="AH3" s="8">
        <f t="shared" si="1"/>
        <v>0</v>
      </c>
      <c r="AI3" s="8">
        <f t="shared" si="1"/>
        <v>0</v>
      </c>
      <c r="AJ3" s="8">
        <f t="shared" si="1"/>
        <v>0</v>
      </c>
      <c r="AK3" s="60">
        <f t="shared" si="1"/>
        <v>0</v>
      </c>
      <c r="AL3" s="63">
        <f>SUM(AL6:AL96)</f>
        <v>9</v>
      </c>
      <c r="AM3" s="176"/>
    </row>
    <row r="4" spans="1:39" customFormat="1" ht="44.25" customHeight="1">
      <c r="A4" s="163" t="str">
        <f>AM97</f>
        <v>OK</v>
      </c>
      <c r="B4" s="163"/>
      <c r="C4" s="163"/>
      <c r="D4" s="164"/>
      <c r="E4" s="165" t="s">
        <v>16</v>
      </c>
      <c r="F4" s="165"/>
      <c r="G4" s="165"/>
      <c r="H4" s="165" t="s">
        <v>17</v>
      </c>
      <c r="I4" s="165"/>
      <c r="J4" s="165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1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56" t="s">
        <v>12</v>
      </c>
      <c r="AL4" s="158" t="s">
        <v>36</v>
      </c>
      <c r="AM4" s="149" t="s">
        <v>37</v>
      </c>
    </row>
    <row r="5" spans="1:39" customFormat="1" ht="33.75" thickBot="1">
      <c r="A5" s="34" t="s">
        <v>3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137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6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3"/>
      <c r="AJ5" s="155"/>
      <c r="AK5" s="157"/>
      <c r="AL5" s="159"/>
      <c r="AM5" s="150"/>
    </row>
    <row r="6" spans="1:39" customFormat="1" hidden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34"/>
      <c r="I6" s="15">
        <f>SUM(L6:AK6)</f>
        <v>0</v>
      </c>
      <c r="J6" s="15"/>
      <c r="K6" s="16"/>
      <c r="L6" s="15"/>
      <c r="M6" s="15"/>
      <c r="N6" s="15"/>
      <c r="O6" s="15"/>
      <c r="P6" s="15"/>
      <c r="Q6" s="15"/>
      <c r="R6" s="15"/>
      <c r="S6" s="15"/>
      <c r="T6" s="41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3"/>
      <c r="AJ6" s="56"/>
      <c r="AK6" s="53"/>
      <c r="AL6" s="64">
        <f>SUM(L6:AK6)</f>
        <v>0</v>
      </c>
      <c r="AM6" s="31" t="str">
        <f t="shared" ref="AM6:AM74" si="2">IF(AL6=I6,"OK","NG")</f>
        <v>OK</v>
      </c>
    </row>
    <row r="7" spans="1:39" customFormat="1" hidden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135"/>
      <c r="I7" s="21">
        <f t="shared" ref="I7:I70" si="3">SUM(L7:AK7)</f>
        <v>0</v>
      </c>
      <c r="J7" s="21"/>
      <c r="K7" s="16"/>
      <c r="L7" s="21"/>
      <c r="M7" s="21"/>
      <c r="N7" s="21"/>
      <c r="O7" s="21"/>
      <c r="P7" s="21"/>
      <c r="Q7" s="21"/>
      <c r="R7" s="21"/>
      <c r="S7" s="21"/>
      <c r="T7" s="42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4"/>
      <c r="AJ7" s="57"/>
      <c r="AK7" s="54"/>
      <c r="AL7" s="65">
        <f t="shared" ref="AL7:AL74" si="4">SUM(L7:AK7)</f>
        <v>0</v>
      </c>
      <c r="AM7" s="22" t="str">
        <f t="shared" si="2"/>
        <v>OK</v>
      </c>
    </row>
    <row r="8" spans="1:39" customFormat="1" hidden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36"/>
      <c r="I8" s="27">
        <f t="shared" si="3"/>
        <v>0</v>
      </c>
      <c r="J8" s="27"/>
      <c r="K8" s="16"/>
      <c r="L8" s="27"/>
      <c r="M8" s="27"/>
      <c r="N8" s="27"/>
      <c r="O8" s="27"/>
      <c r="P8" s="27"/>
      <c r="Q8" s="27"/>
      <c r="R8" s="27"/>
      <c r="S8" s="27"/>
      <c r="T8" s="4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5"/>
      <c r="AJ8" s="58"/>
      <c r="AK8" s="55"/>
      <c r="AL8" s="66">
        <f t="shared" si="4"/>
        <v>0</v>
      </c>
      <c r="AM8" s="28" t="str">
        <f t="shared" si="2"/>
        <v>OK</v>
      </c>
    </row>
    <row r="9" spans="1:39" customFormat="1" hidden="1">
      <c r="A9" s="17" t="s">
        <v>68</v>
      </c>
      <c r="B9" s="77">
        <v>10897</v>
      </c>
      <c r="C9" s="17" t="s">
        <v>62</v>
      </c>
      <c r="D9" s="69"/>
      <c r="E9" s="18"/>
      <c r="F9" s="18"/>
      <c r="G9" s="19"/>
      <c r="H9" s="135"/>
      <c r="I9" s="21">
        <f t="shared" si="3"/>
        <v>0</v>
      </c>
      <c r="J9" s="21"/>
      <c r="K9" s="16"/>
      <c r="L9" s="21"/>
      <c r="M9" s="21"/>
      <c r="N9" s="21"/>
      <c r="O9" s="21"/>
      <c r="P9" s="21"/>
      <c r="Q9" s="21"/>
      <c r="R9" s="21"/>
      <c r="S9" s="21"/>
      <c r="T9" s="42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4"/>
      <c r="AJ9" s="57"/>
      <c r="AK9" s="54"/>
      <c r="AL9" s="65">
        <f t="shared" si="4"/>
        <v>0</v>
      </c>
      <c r="AM9" s="22" t="str">
        <f t="shared" si="2"/>
        <v>OK</v>
      </c>
    </row>
    <row r="10" spans="1:39" customFormat="1" hidden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36"/>
      <c r="I10" s="27">
        <f t="shared" si="3"/>
        <v>0</v>
      </c>
      <c r="J10" s="27"/>
      <c r="K10" s="16"/>
      <c r="L10" s="27"/>
      <c r="M10" s="27"/>
      <c r="N10" s="27"/>
      <c r="O10" s="27"/>
      <c r="P10" s="27"/>
      <c r="Q10" s="27"/>
      <c r="R10" s="27"/>
      <c r="S10" s="27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5"/>
      <c r="AJ10" s="58"/>
      <c r="AK10" s="55"/>
      <c r="AL10" s="66">
        <f t="shared" si="4"/>
        <v>0</v>
      </c>
      <c r="AM10" s="28" t="str">
        <f t="shared" si="2"/>
        <v>OK</v>
      </c>
    </row>
    <row r="11" spans="1:39" customFormat="1" hidden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135"/>
      <c r="I11" s="21">
        <f t="shared" si="3"/>
        <v>0</v>
      </c>
      <c r="J11" s="21"/>
      <c r="K11" s="16"/>
      <c r="L11" s="21"/>
      <c r="M11" s="21"/>
      <c r="N11" s="21"/>
      <c r="O11" s="21"/>
      <c r="P11" s="21"/>
      <c r="Q11" s="21"/>
      <c r="R11" s="21"/>
      <c r="S11" s="21"/>
      <c r="T11" s="42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4"/>
      <c r="AJ11" s="57"/>
      <c r="AK11" s="54"/>
      <c r="AL11" s="65">
        <f t="shared" si="4"/>
        <v>0</v>
      </c>
      <c r="AM11" s="22" t="str">
        <f t="shared" si="2"/>
        <v>OK</v>
      </c>
    </row>
    <row r="12" spans="1:39" customFormat="1" hidden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36"/>
      <c r="I12" s="27">
        <f t="shared" si="3"/>
        <v>0</v>
      </c>
      <c r="J12" s="27"/>
      <c r="K12" s="16"/>
      <c r="L12" s="27"/>
      <c r="M12" s="27"/>
      <c r="N12" s="27"/>
      <c r="O12" s="27"/>
      <c r="P12" s="27"/>
      <c r="Q12" s="27"/>
      <c r="R12" s="27"/>
      <c r="S12" s="27"/>
      <c r="T12" s="43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8"/>
      <c r="AK12" s="55"/>
      <c r="AL12" s="66">
        <f t="shared" si="4"/>
        <v>0</v>
      </c>
      <c r="AM12" s="28" t="str">
        <f t="shared" si="2"/>
        <v>OK</v>
      </c>
    </row>
    <row r="13" spans="1:39" customFormat="1" hidden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135"/>
      <c r="I13" s="21">
        <f t="shared" si="3"/>
        <v>0</v>
      </c>
      <c r="J13" s="21"/>
      <c r="K13" s="16"/>
      <c r="L13" s="21"/>
      <c r="M13" s="21"/>
      <c r="N13" s="21"/>
      <c r="O13" s="21"/>
      <c r="P13" s="21"/>
      <c r="Q13" s="21"/>
      <c r="R13" s="21"/>
      <c r="S13" s="21"/>
      <c r="T13" s="4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4"/>
      <c r="AJ13" s="57"/>
      <c r="AK13" s="54"/>
      <c r="AL13" s="65">
        <f t="shared" si="4"/>
        <v>0</v>
      </c>
      <c r="AM13" s="22" t="str">
        <f t="shared" si="2"/>
        <v>OK</v>
      </c>
    </row>
    <row r="14" spans="1:39" customFormat="1" hidden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36"/>
      <c r="I14" s="27">
        <f t="shared" si="3"/>
        <v>0</v>
      </c>
      <c r="J14" s="27"/>
      <c r="K14" s="16"/>
      <c r="L14" s="27"/>
      <c r="M14" s="27"/>
      <c r="N14" s="27"/>
      <c r="O14" s="27"/>
      <c r="P14" s="27"/>
      <c r="Q14" s="27"/>
      <c r="R14" s="27"/>
      <c r="S14" s="27"/>
      <c r="T14" s="43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5"/>
      <c r="AJ14" s="58"/>
      <c r="AK14" s="55"/>
      <c r="AL14" s="66">
        <f t="shared" si="4"/>
        <v>0</v>
      </c>
      <c r="AM14" s="28" t="str">
        <f t="shared" si="2"/>
        <v>OK</v>
      </c>
    </row>
    <row r="15" spans="1:39" customFormat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135">
        <v>1480</v>
      </c>
      <c r="I15" s="21">
        <f t="shared" si="3"/>
        <v>2</v>
      </c>
      <c r="J15" s="21"/>
      <c r="K15" s="16"/>
      <c r="L15" s="21">
        <v>1</v>
      </c>
      <c r="M15" s="21"/>
      <c r="N15" s="21"/>
      <c r="O15" s="21"/>
      <c r="P15" s="21"/>
      <c r="Q15" s="21"/>
      <c r="R15" s="21"/>
      <c r="S15" s="21"/>
      <c r="T15" s="42"/>
      <c r="U15" s="51"/>
      <c r="V15" s="51"/>
      <c r="W15" s="51"/>
      <c r="X15" s="51"/>
      <c r="Y15" s="51">
        <v>1</v>
      </c>
      <c r="Z15" s="51"/>
      <c r="AA15" s="51"/>
      <c r="AB15" s="51"/>
      <c r="AC15" s="51"/>
      <c r="AD15" s="51"/>
      <c r="AE15" s="51"/>
      <c r="AF15" s="51"/>
      <c r="AG15" s="51"/>
      <c r="AH15" s="51"/>
      <c r="AI15" s="54"/>
      <c r="AJ15" s="57"/>
      <c r="AK15" s="54"/>
      <c r="AL15" s="65">
        <f t="shared" si="4"/>
        <v>2</v>
      </c>
      <c r="AM15" s="22" t="str">
        <f t="shared" si="2"/>
        <v>OK</v>
      </c>
    </row>
    <row r="16" spans="1:39" customFormat="1" hidden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36"/>
      <c r="I16" s="27">
        <f t="shared" si="3"/>
        <v>0</v>
      </c>
      <c r="J16" s="27"/>
      <c r="K16" s="16"/>
      <c r="L16" s="27"/>
      <c r="M16" s="27"/>
      <c r="N16" s="27"/>
      <c r="O16" s="27"/>
      <c r="P16" s="27"/>
      <c r="Q16" s="27"/>
      <c r="R16" s="27"/>
      <c r="S16" s="27"/>
      <c r="T16" s="43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8"/>
      <c r="AK16" s="55"/>
      <c r="AL16" s="66">
        <f t="shared" si="4"/>
        <v>0</v>
      </c>
      <c r="AM16" s="28" t="str">
        <f t="shared" si="2"/>
        <v>OK</v>
      </c>
    </row>
    <row r="17" spans="1:39" customFormat="1" hidden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135"/>
      <c r="I17" s="21">
        <f t="shared" si="3"/>
        <v>0</v>
      </c>
      <c r="J17" s="21"/>
      <c r="K17" s="16"/>
      <c r="L17" s="21"/>
      <c r="M17" s="21"/>
      <c r="N17" s="21"/>
      <c r="O17" s="21"/>
      <c r="P17" s="21"/>
      <c r="Q17" s="21"/>
      <c r="R17" s="21"/>
      <c r="S17" s="21"/>
      <c r="T17" s="42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4"/>
      <c r="AJ17" s="57"/>
      <c r="AK17" s="54"/>
      <c r="AL17" s="65">
        <f t="shared" si="4"/>
        <v>0</v>
      </c>
      <c r="AM17" s="22" t="str">
        <f t="shared" si="2"/>
        <v>OK</v>
      </c>
    </row>
    <row r="18" spans="1:39" customFormat="1" hidden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36"/>
      <c r="I18" s="27">
        <f t="shared" si="3"/>
        <v>0</v>
      </c>
      <c r="J18" s="27"/>
      <c r="K18" s="16"/>
      <c r="L18" s="27"/>
      <c r="M18" s="27"/>
      <c r="N18" s="27"/>
      <c r="O18" s="27"/>
      <c r="P18" s="27"/>
      <c r="Q18" s="27"/>
      <c r="R18" s="27"/>
      <c r="S18" s="27"/>
      <c r="T18" s="43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8"/>
      <c r="AK18" s="55"/>
      <c r="AL18" s="66">
        <f t="shared" si="4"/>
        <v>0</v>
      </c>
      <c r="AM18" s="28" t="str">
        <f t="shared" si="2"/>
        <v>OK</v>
      </c>
    </row>
    <row r="19" spans="1:39" customFormat="1" hidden="1">
      <c r="A19" s="17" t="s">
        <v>149</v>
      </c>
      <c r="B19" s="77">
        <v>14988</v>
      </c>
      <c r="C19" s="17" t="s">
        <v>64</v>
      </c>
      <c r="D19" s="69"/>
      <c r="E19" s="18"/>
      <c r="F19" s="18"/>
      <c r="G19" s="19"/>
      <c r="H19" s="135"/>
      <c r="I19" s="21">
        <f t="shared" si="3"/>
        <v>0</v>
      </c>
      <c r="J19" s="21"/>
      <c r="K19" s="16"/>
      <c r="L19" s="21"/>
      <c r="M19" s="21"/>
      <c r="N19" s="21"/>
      <c r="O19" s="21"/>
      <c r="P19" s="21"/>
      <c r="Q19" s="21"/>
      <c r="R19" s="21"/>
      <c r="S19" s="21"/>
      <c r="T19" s="42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4"/>
      <c r="AJ19" s="57"/>
      <c r="AK19" s="54"/>
      <c r="AL19" s="65">
        <f t="shared" si="4"/>
        <v>0</v>
      </c>
      <c r="AM19" s="22" t="str">
        <f t="shared" si="2"/>
        <v>OK</v>
      </c>
    </row>
    <row r="20" spans="1:39" customFormat="1" hidden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136"/>
      <c r="I20" s="27">
        <f t="shared" si="3"/>
        <v>0</v>
      </c>
      <c r="J20" s="27"/>
      <c r="K20" s="16"/>
      <c r="L20" s="27"/>
      <c r="M20" s="27"/>
      <c r="N20" s="27"/>
      <c r="O20" s="27"/>
      <c r="P20" s="27"/>
      <c r="Q20" s="27"/>
      <c r="R20" s="27"/>
      <c r="S20" s="27"/>
      <c r="T20" s="43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8"/>
      <c r="AK20" s="55"/>
      <c r="AL20" s="66">
        <f t="shared" si="4"/>
        <v>0</v>
      </c>
      <c r="AM20" s="28" t="str">
        <f t="shared" si="2"/>
        <v>OK</v>
      </c>
    </row>
    <row r="21" spans="1:39" customFormat="1" hidden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135"/>
      <c r="I21" s="21">
        <f t="shared" si="3"/>
        <v>0</v>
      </c>
      <c r="J21" s="21"/>
      <c r="K21" s="16"/>
      <c r="L21" s="21"/>
      <c r="M21" s="21"/>
      <c r="N21" s="21"/>
      <c r="O21" s="21"/>
      <c r="P21" s="21"/>
      <c r="Q21" s="21"/>
      <c r="R21" s="21"/>
      <c r="S21" s="21"/>
      <c r="T21" s="4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4"/>
      <c r="AJ21" s="57"/>
      <c r="AK21" s="54"/>
      <c r="AL21" s="65">
        <f t="shared" si="4"/>
        <v>0</v>
      </c>
      <c r="AM21" s="22" t="str">
        <f t="shared" si="2"/>
        <v>OK</v>
      </c>
    </row>
    <row r="22" spans="1:39" customFormat="1" hidden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36"/>
      <c r="I22" s="27">
        <f t="shared" si="3"/>
        <v>0</v>
      </c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43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5"/>
      <c r="AJ22" s="58"/>
      <c r="AK22" s="55"/>
      <c r="AL22" s="66">
        <f t="shared" si="4"/>
        <v>0</v>
      </c>
      <c r="AM22" s="28" t="str">
        <f t="shared" si="2"/>
        <v>OK</v>
      </c>
    </row>
    <row r="23" spans="1:39" customFormat="1" hidden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135"/>
      <c r="I23" s="21">
        <f t="shared" si="3"/>
        <v>0</v>
      </c>
      <c r="J23" s="21"/>
      <c r="K23" s="16"/>
      <c r="L23" s="21"/>
      <c r="M23" s="21"/>
      <c r="N23" s="21"/>
      <c r="O23" s="21"/>
      <c r="P23" s="21"/>
      <c r="Q23" s="21"/>
      <c r="R23" s="21"/>
      <c r="S23" s="21"/>
      <c r="T23" s="42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7"/>
      <c r="AK23" s="54"/>
      <c r="AL23" s="65">
        <f>SUM(L23:AK23)</f>
        <v>0</v>
      </c>
      <c r="AM23" s="22" t="str">
        <f t="shared" si="2"/>
        <v>OK</v>
      </c>
    </row>
    <row r="24" spans="1:39" customFormat="1" hidden="1">
      <c r="A24" s="68" t="s">
        <v>44</v>
      </c>
      <c r="B24" s="78">
        <v>10163</v>
      </c>
      <c r="C24" s="23" t="s">
        <v>45</v>
      </c>
      <c r="D24" s="24"/>
      <c r="E24" s="24"/>
      <c r="F24" s="24"/>
      <c r="G24" s="25"/>
      <c r="H24" s="136">
        <v>336</v>
      </c>
      <c r="I24" s="27">
        <f t="shared" si="3"/>
        <v>0</v>
      </c>
      <c r="J24" s="27"/>
      <c r="K24" s="16"/>
      <c r="L24" s="27"/>
      <c r="M24" s="27"/>
      <c r="N24" s="27"/>
      <c r="O24" s="27"/>
      <c r="P24" s="27"/>
      <c r="Q24" s="27"/>
      <c r="R24" s="27"/>
      <c r="S24" s="27"/>
      <c r="T24" s="43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5"/>
      <c r="AJ24" s="58"/>
      <c r="AK24" s="55"/>
      <c r="AL24" s="66">
        <f t="shared" si="4"/>
        <v>0</v>
      </c>
      <c r="AM24" s="28" t="str">
        <f t="shared" si="2"/>
        <v>OK</v>
      </c>
    </row>
    <row r="25" spans="1:39" customFormat="1" hidden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135"/>
      <c r="I25" s="21">
        <f t="shared" si="3"/>
        <v>0</v>
      </c>
      <c r="J25" s="21"/>
      <c r="K25" s="16"/>
      <c r="L25" s="21"/>
      <c r="M25" s="21"/>
      <c r="N25" s="21"/>
      <c r="O25" s="21"/>
      <c r="P25" s="21"/>
      <c r="Q25" s="21"/>
      <c r="R25" s="21"/>
      <c r="S25" s="21"/>
      <c r="T25" s="42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4"/>
      <c r="AJ25" s="57"/>
      <c r="AK25" s="54"/>
      <c r="AL25" s="65">
        <f t="shared" si="4"/>
        <v>0</v>
      </c>
      <c r="AM25" s="22" t="str">
        <f t="shared" si="2"/>
        <v>OK</v>
      </c>
    </row>
    <row r="26" spans="1:39" customFormat="1" hidden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36"/>
      <c r="I26" s="27">
        <f t="shared" si="3"/>
        <v>0</v>
      </c>
      <c r="J26" s="27"/>
      <c r="K26" s="16"/>
      <c r="L26" s="27"/>
      <c r="M26" s="27"/>
      <c r="N26" s="27"/>
      <c r="O26" s="27"/>
      <c r="P26" s="27"/>
      <c r="Q26" s="27"/>
      <c r="R26" s="27"/>
      <c r="S26" s="27"/>
      <c r="T26" s="43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8"/>
      <c r="AK26" s="55"/>
      <c r="AL26" s="66">
        <f t="shared" si="4"/>
        <v>0</v>
      </c>
      <c r="AM26" s="28" t="str">
        <f t="shared" si="2"/>
        <v>OK</v>
      </c>
    </row>
    <row r="27" spans="1:39" customFormat="1" hidden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135"/>
      <c r="I27" s="21">
        <f t="shared" si="3"/>
        <v>0</v>
      </c>
      <c r="J27" s="21"/>
      <c r="K27" s="16"/>
      <c r="L27" s="21"/>
      <c r="M27" s="21"/>
      <c r="N27" s="21"/>
      <c r="O27" s="21"/>
      <c r="P27" s="21"/>
      <c r="Q27" s="21"/>
      <c r="R27" s="21"/>
      <c r="S27" s="21"/>
      <c r="T27" s="4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7"/>
      <c r="AK27" s="54"/>
      <c r="AL27" s="65">
        <f t="shared" si="4"/>
        <v>0</v>
      </c>
      <c r="AM27" s="22" t="str">
        <f t="shared" si="2"/>
        <v>OK</v>
      </c>
    </row>
    <row r="28" spans="1:39" customFormat="1" hidden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136"/>
      <c r="I28" s="27">
        <f t="shared" si="3"/>
        <v>0</v>
      </c>
      <c r="J28" s="27"/>
      <c r="K28" s="16"/>
      <c r="L28" s="27"/>
      <c r="M28" s="27"/>
      <c r="N28" s="27"/>
      <c r="O28" s="27"/>
      <c r="P28" s="27"/>
      <c r="Q28" s="27"/>
      <c r="R28" s="27"/>
      <c r="S28" s="27"/>
      <c r="T28" s="43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5"/>
      <c r="AJ28" s="58"/>
      <c r="AK28" s="55"/>
      <c r="AL28" s="66">
        <f t="shared" si="4"/>
        <v>0</v>
      </c>
      <c r="AM28" s="28" t="str">
        <f t="shared" si="2"/>
        <v>OK</v>
      </c>
    </row>
    <row r="29" spans="1:39" customFormat="1" hidden="1">
      <c r="A29" s="80" t="s">
        <v>71</v>
      </c>
      <c r="B29" s="77">
        <v>10151</v>
      </c>
      <c r="C29" s="17" t="s">
        <v>51</v>
      </c>
      <c r="D29" s="69"/>
      <c r="E29" s="18"/>
      <c r="F29" s="18"/>
      <c r="G29" s="19"/>
      <c r="H29" s="135">
        <v>682</v>
      </c>
      <c r="I29" s="21">
        <f t="shared" si="3"/>
        <v>0</v>
      </c>
      <c r="J29" s="21"/>
      <c r="K29" s="16"/>
      <c r="L29" s="21"/>
      <c r="M29" s="21"/>
      <c r="N29" s="21"/>
      <c r="O29" s="21"/>
      <c r="P29" s="21"/>
      <c r="Q29" s="21"/>
      <c r="R29" s="21"/>
      <c r="S29" s="21"/>
      <c r="T29" s="42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4"/>
      <c r="AJ29" s="57"/>
      <c r="AK29" s="54"/>
      <c r="AL29" s="65">
        <f t="shared" si="4"/>
        <v>0</v>
      </c>
      <c r="AM29" s="22" t="str">
        <f t="shared" si="2"/>
        <v>OK</v>
      </c>
    </row>
    <row r="30" spans="1:39" customFormat="1" hidden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137">
        <f>1710+1536</f>
        <v>3246</v>
      </c>
      <c r="I30" s="27">
        <f t="shared" si="3"/>
        <v>0</v>
      </c>
      <c r="J30" s="27"/>
      <c r="K30" s="16"/>
      <c r="L30" s="27"/>
      <c r="M30" s="27"/>
      <c r="N30" s="27"/>
      <c r="O30" s="27"/>
      <c r="P30" s="27"/>
      <c r="Q30" s="27"/>
      <c r="R30" s="27"/>
      <c r="S30" s="27"/>
      <c r="T30" s="43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5"/>
      <c r="AJ30" s="58"/>
      <c r="AK30" s="55"/>
      <c r="AL30" s="66">
        <f t="shared" si="4"/>
        <v>0</v>
      </c>
      <c r="AM30" s="28" t="str">
        <f t="shared" si="2"/>
        <v>OK</v>
      </c>
    </row>
    <row r="31" spans="1:39" customFormat="1" hidden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135"/>
      <c r="I31" s="21">
        <f t="shared" si="3"/>
        <v>0</v>
      </c>
      <c r="J31" s="21"/>
      <c r="K31" s="16"/>
      <c r="L31" s="21"/>
      <c r="M31" s="21"/>
      <c r="N31" s="21"/>
      <c r="O31" s="21"/>
      <c r="P31" s="21"/>
      <c r="Q31" s="21"/>
      <c r="R31" s="21"/>
      <c r="S31" s="21"/>
      <c r="T31" s="4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7"/>
      <c r="AK31" s="54"/>
      <c r="AL31" s="65">
        <f t="shared" si="4"/>
        <v>0</v>
      </c>
      <c r="AM31" s="22" t="str">
        <f t="shared" si="2"/>
        <v>OK</v>
      </c>
    </row>
    <row r="32" spans="1:39" customFormat="1" hidden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136"/>
      <c r="I32" s="27">
        <f t="shared" si="3"/>
        <v>0</v>
      </c>
      <c r="J32" s="27"/>
      <c r="K32" s="16"/>
      <c r="L32" s="27"/>
      <c r="M32" s="27"/>
      <c r="N32" s="27"/>
      <c r="O32" s="27"/>
      <c r="P32" s="27"/>
      <c r="Q32" s="27"/>
      <c r="R32" s="27"/>
      <c r="S32" s="27"/>
      <c r="T32" s="43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5"/>
      <c r="AJ32" s="58"/>
      <c r="AK32" s="55"/>
      <c r="AL32" s="66">
        <f t="shared" si="4"/>
        <v>0</v>
      </c>
      <c r="AM32" s="28" t="str">
        <f t="shared" si="2"/>
        <v>OK</v>
      </c>
    </row>
    <row r="33" spans="1:39" customFormat="1" hidden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135">
        <v>2478</v>
      </c>
      <c r="I33" s="21">
        <f t="shared" si="3"/>
        <v>0</v>
      </c>
      <c r="J33" s="21"/>
      <c r="K33" s="16"/>
      <c r="L33" s="21"/>
      <c r="M33" s="21"/>
      <c r="N33" s="21"/>
      <c r="O33" s="21"/>
      <c r="P33" s="21"/>
      <c r="Q33" s="21"/>
      <c r="R33" s="21"/>
      <c r="S33" s="21"/>
      <c r="T33" s="42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4"/>
      <c r="AJ33" s="57"/>
      <c r="AK33" s="54"/>
      <c r="AL33" s="65">
        <f t="shared" si="4"/>
        <v>0</v>
      </c>
      <c r="AM33" s="22" t="str">
        <f t="shared" si="2"/>
        <v>OK</v>
      </c>
    </row>
    <row r="34" spans="1:39" customFormat="1" hidden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136">
        <f>1320+750</f>
        <v>2070</v>
      </c>
      <c r="I34" s="27">
        <f t="shared" si="3"/>
        <v>0</v>
      </c>
      <c r="J34" s="27"/>
      <c r="K34" s="16"/>
      <c r="L34" s="27"/>
      <c r="M34" s="27"/>
      <c r="N34" s="27"/>
      <c r="O34" s="27"/>
      <c r="P34" s="27"/>
      <c r="Q34" s="27"/>
      <c r="R34" s="27"/>
      <c r="S34" s="27"/>
      <c r="T34" s="43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5"/>
      <c r="AJ34" s="58"/>
      <c r="AK34" s="55"/>
      <c r="AL34" s="66">
        <f t="shared" si="4"/>
        <v>0</v>
      </c>
      <c r="AM34" s="28" t="str">
        <f t="shared" si="2"/>
        <v>OK</v>
      </c>
    </row>
    <row r="35" spans="1:39" customFormat="1" hidden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135"/>
      <c r="I35" s="21">
        <f t="shared" si="3"/>
        <v>0</v>
      </c>
      <c r="J35" s="21"/>
      <c r="K35" s="16"/>
      <c r="L35" s="21"/>
      <c r="M35" s="21"/>
      <c r="N35" s="21"/>
      <c r="O35" s="21"/>
      <c r="P35" s="21"/>
      <c r="Q35" s="21"/>
      <c r="R35" s="21"/>
      <c r="S35" s="21"/>
      <c r="T35" s="42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4"/>
      <c r="AJ35" s="57"/>
      <c r="AK35" s="54"/>
      <c r="AL35" s="65">
        <f t="shared" si="4"/>
        <v>0</v>
      </c>
      <c r="AM35" s="22" t="str">
        <f t="shared" si="2"/>
        <v>OK</v>
      </c>
    </row>
    <row r="36" spans="1:39" customFormat="1" hidden="1">
      <c r="A36" s="68" t="s">
        <v>76</v>
      </c>
      <c r="B36" s="78">
        <v>10135</v>
      </c>
      <c r="C36" s="23" t="s">
        <v>56</v>
      </c>
      <c r="D36" s="24"/>
      <c r="E36" s="24"/>
      <c r="F36" s="24"/>
      <c r="G36" s="25"/>
      <c r="H36" s="136"/>
      <c r="I36" s="27">
        <f t="shared" si="3"/>
        <v>0</v>
      </c>
      <c r="J36" s="27"/>
      <c r="K36" s="16"/>
      <c r="L36" s="27"/>
      <c r="M36" s="27"/>
      <c r="N36" s="27"/>
      <c r="O36" s="27"/>
      <c r="P36" s="27"/>
      <c r="Q36" s="27"/>
      <c r="R36" s="27"/>
      <c r="S36" s="27"/>
      <c r="T36" s="43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5"/>
      <c r="AJ36" s="58"/>
      <c r="AK36" s="55"/>
      <c r="AL36" s="66">
        <f t="shared" si="4"/>
        <v>0</v>
      </c>
      <c r="AM36" s="28" t="str">
        <f t="shared" si="2"/>
        <v>OK</v>
      </c>
    </row>
    <row r="37" spans="1:39" customFormat="1" hidden="1">
      <c r="A37" s="80" t="s">
        <v>77</v>
      </c>
      <c r="B37" s="77">
        <v>10133</v>
      </c>
      <c r="C37" s="17" t="s">
        <v>55</v>
      </c>
      <c r="D37" s="69"/>
      <c r="E37" s="18"/>
      <c r="F37" s="18"/>
      <c r="G37" s="19"/>
      <c r="H37" s="135"/>
      <c r="I37" s="21">
        <f t="shared" si="3"/>
        <v>0</v>
      </c>
      <c r="J37" s="21"/>
      <c r="K37" s="16"/>
      <c r="L37" s="21"/>
      <c r="M37" s="21"/>
      <c r="N37" s="21"/>
      <c r="O37" s="21"/>
      <c r="P37" s="21"/>
      <c r="Q37" s="21"/>
      <c r="R37" s="21"/>
      <c r="S37" s="21"/>
      <c r="T37" s="42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4"/>
      <c r="AJ37" s="57"/>
      <c r="AK37" s="54"/>
      <c r="AL37" s="65">
        <f t="shared" si="4"/>
        <v>0</v>
      </c>
      <c r="AM37" s="22" t="str">
        <f t="shared" si="2"/>
        <v>OK</v>
      </c>
    </row>
    <row r="38" spans="1:39" customFormat="1">
      <c r="A38" s="68" t="s">
        <v>78</v>
      </c>
      <c r="B38" s="78">
        <v>10131</v>
      </c>
      <c r="C38" s="23" t="s">
        <v>56</v>
      </c>
      <c r="D38" s="24"/>
      <c r="E38" s="24"/>
      <c r="F38" s="24"/>
      <c r="G38" s="25"/>
      <c r="H38" s="136">
        <v>952</v>
      </c>
      <c r="I38" s="27">
        <f t="shared" si="3"/>
        <v>1</v>
      </c>
      <c r="J38" s="27"/>
      <c r="K38" s="16"/>
      <c r="L38" s="27">
        <v>1</v>
      </c>
      <c r="M38" s="27"/>
      <c r="N38" s="27"/>
      <c r="O38" s="27"/>
      <c r="P38" s="27"/>
      <c r="Q38" s="27"/>
      <c r="R38" s="27"/>
      <c r="S38" s="27"/>
      <c r="T38" s="43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5"/>
      <c r="AJ38" s="58"/>
      <c r="AK38" s="55"/>
      <c r="AL38" s="66">
        <f t="shared" ref="AL38:AL50" si="5">SUM(L38:AK38)</f>
        <v>1</v>
      </c>
      <c r="AM38" s="28" t="str">
        <f t="shared" si="2"/>
        <v>OK</v>
      </c>
    </row>
    <row r="39" spans="1:39" customFormat="1">
      <c r="A39" s="17" t="s">
        <v>79</v>
      </c>
      <c r="B39" s="77">
        <v>10129</v>
      </c>
      <c r="C39" s="17" t="s">
        <v>57</v>
      </c>
      <c r="D39" s="69"/>
      <c r="E39" s="18"/>
      <c r="F39" s="18"/>
      <c r="G39" s="19"/>
      <c r="H39" s="135">
        <f>220+910+900+590+1264</f>
        <v>3884</v>
      </c>
      <c r="I39" s="21">
        <f t="shared" si="3"/>
        <v>3</v>
      </c>
      <c r="J39" s="21"/>
      <c r="K39" s="16"/>
      <c r="L39" s="21"/>
      <c r="M39" s="21"/>
      <c r="N39" s="21">
        <v>2</v>
      </c>
      <c r="O39" s="21"/>
      <c r="P39" s="21"/>
      <c r="Q39" s="21"/>
      <c r="R39" s="21"/>
      <c r="S39" s="21"/>
      <c r="T39" s="42"/>
      <c r="U39" s="51"/>
      <c r="V39" s="51"/>
      <c r="W39" s="51"/>
      <c r="X39" s="51"/>
      <c r="Y39" s="51"/>
      <c r="Z39" s="51"/>
      <c r="AA39" s="51"/>
      <c r="AB39" s="51"/>
      <c r="AC39" s="51">
        <v>1</v>
      </c>
      <c r="AD39" s="51"/>
      <c r="AE39" s="51"/>
      <c r="AF39" s="51"/>
      <c r="AG39" s="51"/>
      <c r="AH39" s="51"/>
      <c r="AI39" s="54"/>
      <c r="AJ39" s="57"/>
      <c r="AK39" s="54"/>
      <c r="AL39" s="65">
        <f t="shared" si="5"/>
        <v>3</v>
      </c>
      <c r="AM39" s="22" t="str">
        <f t="shared" si="2"/>
        <v>OK</v>
      </c>
    </row>
    <row r="40" spans="1:39" customFormat="1">
      <c r="A40" s="68" t="s">
        <v>80</v>
      </c>
      <c r="B40" s="78">
        <v>10127</v>
      </c>
      <c r="C40" s="23" t="s">
        <v>58</v>
      </c>
      <c r="D40" s="24"/>
      <c r="E40" s="24"/>
      <c r="F40" s="24"/>
      <c r="G40" s="25"/>
      <c r="H40" s="136">
        <v>50</v>
      </c>
      <c r="I40" s="27">
        <f t="shared" si="3"/>
        <v>2</v>
      </c>
      <c r="J40" s="27"/>
      <c r="K40" s="16"/>
      <c r="L40" s="27">
        <v>1</v>
      </c>
      <c r="M40" s="27"/>
      <c r="N40" s="27"/>
      <c r="O40" s="27"/>
      <c r="P40" s="27"/>
      <c r="Q40" s="27"/>
      <c r="R40" s="27"/>
      <c r="S40" s="27"/>
      <c r="T40" s="43"/>
      <c r="U40" s="52"/>
      <c r="V40" s="52"/>
      <c r="W40" s="52"/>
      <c r="X40" s="52"/>
      <c r="Y40" s="52"/>
      <c r="Z40" s="52"/>
      <c r="AA40" s="52"/>
      <c r="AB40" s="52"/>
      <c r="AC40" s="52">
        <v>1</v>
      </c>
      <c r="AD40" s="52"/>
      <c r="AE40" s="52"/>
      <c r="AF40" s="52"/>
      <c r="AG40" s="52"/>
      <c r="AH40" s="52"/>
      <c r="AI40" s="55"/>
      <c r="AJ40" s="58"/>
      <c r="AK40" s="55"/>
      <c r="AL40" s="66">
        <f t="shared" si="5"/>
        <v>2</v>
      </c>
      <c r="AM40" s="28" t="str">
        <f t="shared" si="2"/>
        <v>OK</v>
      </c>
    </row>
    <row r="41" spans="1:39" customFormat="1" hidden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135"/>
      <c r="I41" s="21">
        <f t="shared" si="3"/>
        <v>0</v>
      </c>
      <c r="J41" s="21"/>
      <c r="K41" s="16"/>
      <c r="L41" s="21"/>
      <c r="M41" s="21"/>
      <c r="N41" s="21"/>
      <c r="O41" s="21"/>
      <c r="P41" s="21"/>
      <c r="Q41" s="21"/>
      <c r="R41" s="21"/>
      <c r="S41" s="21"/>
      <c r="T41" s="4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4"/>
      <c r="AJ41" s="57"/>
      <c r="AK41" s="54"/>
      <c r="AL41" s="65">
        <f t="shared" si="5"/>
        <v>0</v>
      </c>
      <c r="AM41" s="22" t="str">
        <f t="shared" si="2"/>
        <v>OK</v>
      </c>
    </row>
    <row r="42" spans="1:39" customFormat="1" hidden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136"/>
      <c r="I42" s="27">
        <f t="shared" si="3"/>
        <v>0</v>
      </c>
      <c r="J42" s="27"/>
      <c r="K42" s="16"/>
      <c r="L42" s="27"/>
      <c r="M42" s="27"/>
      <c r="N42" s="27"/>
      <c r="O42" s="27"/>
      <c r="P42" s="27"/>
      <c r="Q42" s="27"/>
      <c r="R42" s="27"/>
      <c r="S42" s="27"/>
      <c r="T42" s="43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5"/>
      <c r="AJ42" s="58"/>
      <c r="AK42" s="55"/>
      <c r="AL42" s="66">
        <f t="shared" si="5"/>
        <v>0</v>
      </c>
      <c r="AM42" s="28" t="str">
        <f t="shared" si="2"/>
        <v>OK</v>
      </c>
    </row>
    <row r="43" spans="1:39" customFormat="1" hidden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135"/>
      <c r="I43" s="21">
        <f t="shared" si="3"/>
        <v>0</v>
      </c>
      <c r="J43" s="21"/>
      <c r="K43" s="16"/>
      <c r="L43" s="21"/>
      <c r="M43" s="21"/>
      <c r="N43" s="21"/>
      <c r="O43" s="21"/>
      <c r="P43" s="21"/>
      <c r="Q43" s="21"/>
      <c r="R43" s="21"/>
      <c r="S43" s="21"/>
      <c r="T43" s="42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4"/>
      <c r="AJ43" s="57"/>
      <c r="AK43" s="54"/>
      <c r="AL43" s="65">
        <f t="shared" si="5"/>
        <v>0</v>
      </c>
      <c r="AM43" s="22" t="str">
        <f t="shared" si="2"/>
        <v>OK</v>
      </c>
    </row>
    <row r="44" spans="1:39" customFormat="1" hidden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136"/>
      <c r="I44" s="27">
        <f t="shared" si="3"/>
        <v>0</v>
      </c>
      <c r="J44" s="27"/>
      <c r="K44" s="16"/>
      <c r="L44" s="27"/>
      <c r="M44" s="27"/>
      <c r="N44" s="27"/>
      <c r="O44" s="27"/>
      <c r="P44" s="27"/>
      <c r="Q44" s="27"/>
      <c r="R44" s="27"/>
      <c r="S44" s="27"/>
      <c r="T44" s="43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5"/>
      <c r="AJ44" s="58"/>
      <c r="AK44" s="55"/>
      <c r="AL44" s="66">
        <f t="shared" si="5"/>
        <v>0</v>
      </c>
      <c r="AM44" s="28" t="str">
        <f t="shared" si="2"/>
        <v>OK</v>
      </c>
    </row>
    <row r="45" spans="1:39" customFormat="1" hidden="1">
      <c r="A45" s="17" t="s">
        <v>107</v>
      </c>
      <c r="B45" s="77">
        <v>13467</v>
      </c>
      <c r="C45" s="17" t="s">
        <v>87</v>
      </c>
      <c r="D45" s="69"/>
      <c r="E45" s="18"/>
      <c r="F45" s="18"/>
      <c r="G45" s="19"/>
      <c r="H45" s="135"/>
      <c r="I45" s="21">
        <f t="shared" si="3"/>
        <v>0</v>
      </c>
      <c r="J45" s="21"/>
      <c r="K45" s="16"/>
      <c r="L45" s="21"/>
      <c r="M45" s="21"/>
      <c r="N45" s="21"/>
      <c r="O45" s="21"/>
      <c r="P45" s="21"/>
      <c r="Q45" s="21"/>
      <c r="R45" s="21"/>
      <c r="S45" s="21"/>
      <c r="T45" s="4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4"/>
      <c r="AJ45" s="57"/>
      <c r="AK45" s="54"/>
      <c r="AL45" s="65">
        <f t="shared" si="5"/>
        <v>0</v>
      </c>
      <c r="AM45" s="22" t="str">
        <f t="shared" si="2"/>
        <v>OK</v>
      </c>
    </row>
    <row r="46" spans="1:39" customFormat="1" hidden="1">
      <c r="A46" s="68" t="s">
        <v>111</v>
      </c>
      <c r="B46" s="78">
        <v>15948</v>
      </c>
      <c r="C46" s="23" t="s">
        <v>87</v>
      </c>
      <c r="D46" s="24"/>
      <c r="E46" s="24"/>
      <c r="F46" s="24"/>
      <c r="G46" s="25"/>
      <c r="H46" s="136"/>
      <c r="I46" s="27">
        <f t="shared" si="3"/>
        <v>0</v>
      </c>
      <c r="J46" s="27"/>
      <c r="K46" s="16"/>
      <c r="L46" s="27"/>
      <c r="M46" s="27"/>
      <c r="N46" s="27"/>
      <c r="O46" s="27"/>
      <c r="P46" s="27"/>
      <c r="Q46" s="27"/>
      <c r="R46" s="27"/>
      <c r="S46" s="27"/>
      <c r="T46" s="43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5"/>
      <c r="AJ46" s="58"/>
      <c r="AK46" s="55"/>
      <c r="AL46" s="66">
        <f t="shared" si="5"/>
        <v>0</v>
      </c>
      <c r="AM46" s="28" t="str">
        <f t="shared" si="2"/>
        <v>OK</v>
      </c>
    </row>
    <row r="47" spans="1:39" customFormat="1" hidden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135"/>
      <c r="I47" s="21">
        <f t="shared" si="3"/>
        <v>0</v>
      </c>
      <c r="J47" s="21"/>
      <c r="K47" s="16"/>
      <c r="L47" s="21"/>
      <c r="M47" s="21"/>
      <c r="N47" s="21"/>
      <c r="O47" s="21"/>
      <c r="P47" s="21"/>
      <c r="Q47" s="21"/>
      <c r="R47" s="21"/>
      <c r="S47" s="21"/>
      <c r="T47" s="42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4"/>
      <c r="AJ47" s="57"/>
      <c r="AK47" s="54"/>
      <c r="AL47" s="65">
        <f t="shared" si="5"/>
        <v>0</v>
      </c>
      <c r="AM47" s="22" t="str">
        <f t="shared" si="2"/>
        <v>OK</v>
      </c>
    </row>
    <row r="48" spans="1:39" customFormat="1" hidden="1">
      <c r="A48" s="68" t="s">
        <v>121</v>
      </c>
      <c r="B48" s="78">
        <v>16598</v>
      </c>
      <c r="C48" s="23" t="s">
        <v>87</v>
      </c>
      <c r="D48" s="24"/>
      <c r="E48" s="24"/>
      <c r="F48" s="24"/>
      <c r="G48" s="25"/>
      <c r="H48" s="136">
        <f>546+503</f>
        <v>1049</v>
      </c>
      <c r="I48" s="27">
        <f t="shared" si="3"/>
        <v>0</v>
      </c>
      <c r="J48" s="27"/>
      <c r="K48" s="16"/>
      <c r="L48" s="27"/>
      <c r="M48" s="27"/>
      <c r="N48" s="27"/>
      <c r="O48" s="27"/>
      <c r="P48" s="27"/>
      <c r="Q48" s="27"/>
      <c r="R48" s="27"/>
      <c r="S48" s="27"/>
      <c r="T48" s="43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5"/>
      <c r="AJ48" s="58"/>
      <c r="AK48" s="55"/>
      <c r="AL48" s="66">
        <f t="shared" si="5"/>
        <v>0</v>
      </c>
      <c r="AM48" s="28" t="str">
        <f t="shared" si="2"/>
        <v>OK</v>
      </c>
    </row>
    <row r="49" spans="1:39" customFormat="1" hidden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135"/>
      <c r="I49" s="21">
        <f t="shared" si="3"/>
        <v>0</v>
      </c>
      <c r="J49" s="21"/>
      <c r="K49" s="16"/>
      <c r="L49" s="21"/>
      <c r="M49" s="21"/>
      <c r="N49" s="21"/>
      <c r="O49" s="21"/>
      <c r="P49" s="21"/>
      <c r="Q49" s="21"/>
      <c r="R49" s="21"/>
      <c r="S49" s="21"/>
      <c r="T49" s="4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4"/>
      <c r="AJ49" s="57"/>
      <c r="AK49" s="54"/>
      <c r="AL49" s="65">
        <f t="shared" si="5"/>
        <v>0</v>
      </c>
      <c r="AM49" s="22" t="str">
        <f t="shared" si="2"/>
        <v>OK</v>
      </c>
    </row>
    <row r="50" spans="1:39" customFormat="1" hidden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136"/>
      <c r="I50" s="27">
        <f t="shared" si="3"/>
        <v>0</v>
      </c>
      <c r="J50" s="27"/>
      <c r="K50" s="16"/>
      <c r="L50" s="27"/>
      <c r="M50" s="27"/>
      <c r="N50" s="27"/>
      <c r="O50" s="27"/>
      <c r="P50" s="27"/>
      <c r="Q50" s="27"/>
      <c r="R50" s="27"/>
      <c r="S50" s="27"/>
      <c r="T50" s="43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8"/>
      <c r="AK50" s="55"/>
      <c r="AL50" s="66">
        <f t="shared" si="5"/>
        <v>0</v>
      </c>
      <c r="AM50" s="28" t="str">
        <f t="shared" si="2"/>
        <v>OK</v>
      </c>
    </row>
    <row r="51" spans="1:39" customFormat="1" hidden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135"/>
      <c r="I51" s="21">
        <f t="shared" si="3"/>
        <v>0</v>
      </c>
      <c r="J51" s="21"/>
      <c r="K51" s="16"/>
      <c r="L51" s="21"/>
      <c r="M51" s="21"/>
      <c r="N51" s="21"/>
      <c r="O51" s="21"/>
      <c r="P51" s="21"/>
      <c r="Q51" s="21"/>
      <c r="R51" s="21"/>
      <c r="S51" s="21"/>
      <c r="T51" s="4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4"/>
      <c r="AJ51" s="57"/>
      <c r="AK51" s="54"/>
      <c r="AL51" s="65">
        <f>SUM(L51:AK51)</f>
        <v>0</v>
      </c>
      <c r="AM51" s="22" t="str">
        <f t="shared" si="2"/>
        <v>OK</v>
      </c>
    </row>
    <row r="52" spans="1:39" customFormat="1" hidden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136"/>
      <c r="I52" s="27">
        <f t="shared" si="3"/>
        <v>0</v>
      </c>
      <c r="J52" s="27"/>
      <c r="K52" s="16"/>
      <c r="L52" s="27"/>
      <c r="M52" s="27"/>
      <c r="N52" s="27"/>
      <c r="O52" s="27"/>
      <c r="P52" s="27"/>
      <c r="Q52" s="27"/>
      <c r="R52" s="27"/>
      <c r="S52" s="27"/>
      <c r="T52" s="43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5"/>
      <c r="AJ52" s="58"/>
      <c r="AK52" s="55"/>
      <c r="AL52" s="66">
        <f t="shared" ref="AL52:AL64" si="6">SUM(L52:AK52)</f>
        <v>0</v>
      </c>
      <c r="AM52" s="28" t="str">
        <f t="shared" si="2"/>
        <v>OK</v>
      </c>
    </row>
    <row r="53" spans="1:39" customFormat="1" hidden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135"/>
      <c r="I53" s="21">
        <f t="shared" si="3"/>
        <v>0</v>
      </c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42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4"/>
      <c r="AJ53" s="57"/>
      <c r="AK53" s="54"/>
      <c r="AL53" s="65">
        <f t="shared" si="6"/>
        <v>0</v>
      </c>
      <c r="AM53" s="22" t="str">
        <f t="shared" si="2"/>
        <v>OK</v>
      </c>
    </row>
    <row r="54" spans="1:39" customFormat="1" hidden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136"/>
      <c r="I54" s="27">
        <f t="shared" si="3"/>
        <v>0</v>
      </c>
      <c r="J54" s="27"/>
      <c r="K54" s="16"/>
      <c r="L54" s="27"/>
      <c r="M54" s="27"/>
      <c r="N54" s="27"/>
      <c r="O54" s="27"/>
      <c r="P54" s="27"/>
      <c r="Q54" s="27"/>
      <c r="R54" s="27"/>
      <c r="S54" s="27"/>
      <c r="T54" s="43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5"/>
      <c r="AJ54" s="58"/>
      <c r="AK54" s="55"/>
      <c r="AL54" s="66">
        <f t="shared" si="6"/>
        <v>0</v>
      </c>
      <c r="AM54" s="28" t="str">
        <f t="shared" si="2"/>
        <v>OK</v>
      </c>
    </row>
    <row r="55" spans="1:39" customFormat="1" hidden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135"/>
      <c r="I55" s="21">
        <f t="shared" si="3"/>
        <v>0</v>
      </c>
      <c r="J55" s="21"/>
      <c r="K55" s="16"/>
      <c r="L55" s="21"/>
      <c r="M55" s="21"/>
      <c r="N55" s="21"/>
      <c r="O55" s="21"/>
      <c r="P55" s="21"/>
      <c r="Q55" s="21"/>
      <c r="R55" s="21"/>
      <c r="S55" s="21"/>
      <c r="T55" s="42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4"/>
      <c r="AJ55" s="57"/>
      <c r="AK55" s="54"/>
      <c r="AL55" s="65">
        <f t="shared" si="6"/>
        <v>0</v>
      </c>
      <c r="AM55" s="22" t="str">
        <f t="shared" si="2"/>
        <v>OK</v>
      </c>
    </row>
    <row r="56" spans="1:39" customFormat="1" hidden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136"/>
      <c r="I56" s="27">
        <f t="shared" si="3"/>
        <v>0</v>
      </c>
      <c r="J56" s="27"/>
      <c r="K56" s="16"/>
      <c r="L56" s="27"/>
      <c r="M56" s="27"/>
      <c r="N56" s="27"/>
      <c r="O56" s="27"/>
      <c r="P56" s="27"/>
      <c r="Q56" s="27"/>
      <c r="R56" s="27"/>
      <c r="S56" s="27"/>
      <c r="T56" s="43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5"/>
      <c r="AJ56" s="58"/>
      <c r="AK56" s="55"/>
      <c r="AL56" s="66">
        <f t="shared" si="6"/>
        <v>0</v>
      </c>
      <c r="AM56" s="28" t="str">
        <f t="shared" si="2"/>
        <v>OK</v>
      </c>
    </row>
    <row r="57" spans="1:39" customFormat="1" hidden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135"/>
      <c r="I57" s="21">
        <f t="shared" si="3"/>
        <v>0</v>
      </c>
      <c r="J57" s="21"/>
      <c r="K57" s="16"/>
      <c r="L57" s="21"/>
      <c r="M57" s="21"/>
      <c r="N57" s="21"/>
      <c r="O57" s="21"/>
      <c r="P57" s="21"/>
      <c r="Q57" s="21"/>
      <c r="R57" s="21"/>
      <c r="S57" s="21"/>
      <c r="T57" s="42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4"/>
      <c r="AJ57" s="57"/>
      <c r="AK57" s="54"/>
      <c r="AL57" s="65">
        <f t="shared" si="6"/>
        <v>0</v>
      </c>
      <c r="AM57" s="22" t="str">
        <f t="shared" si="2"/>
        <v>OK</v>
      </c>
    </row>
    <row r="58" spans="1:39" customFormat="1" hidden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136"/>
      <c r="I58" s="27">
        <f t="shared" si="3"/>
        <v>0</v>
      </c>
      <c r="J58" s="27"/>
      <c r="K58" s="16"/>
      <c r="L58" s="27"/>
      <c r="M58" s="27"/>
      <c r="N58" s="27"/>
      <c r="O58" s="27"/>
      <c r="P58" s="27"/>
      <c r="Q58" s="27"/>
      <c r="R58" s="27"/>
      <c r="S58" s="27"/>
      <c r="T58" s="43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5"/>
      <c r="AJ58" s="58"/>
      <c r="AK58" s="55"/>
      <c r="AL58" s="66">
        <f t="shared" si="6"/>
        <v>0</v>
      </c>
      <c r="AM58" s="28" t="str">
        <f t="shared" si="2"/>
        <v>OK</v>
      </c>
    </row>
    <row r="59" spans="1:39" customFormat="1" hidden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135"/>
      <c r="I59" s="21">
        <f t="shared" si="3"/>
        <v>0</v>
      </c>
      <c r="J59" s="21"/>
      <c r="K59" s="16"/>
      <c r="L59" s="21"/>
      <c r="M59" s="21"/>
      <c r="N59" s="21"/>
      <c r="O59" s="21"/>
      <c r="P59" s="21"/>
      <c r="Q59" s="21"/>
      <c r="R59" s="21"/>
      <c r="S59" s="21"/>
      <c r="T59" s="4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4"/>
      <c r="AJ59" s="57"/>
      <c r="AK59" s="54"/>
      <c r="AL59" s="65">
        <f t="shared" si="6"/>
        <v>0</v>
      </c>
      <c r="AM59" s="22" t="str">
        <f t="shared" si="2"/>
        <v>OK</v>
      </c>
    </row>
    <row r="60" spans="1:39" customFormat="1" hidden="1">
      <c r="A60" s="68" t="s">
        <v>84</v>
      </c>
      <c r="B60" s="78">
        <v>11380</v>
      </c>
      <c r="C60" s="23" t="s">
        <v>60</v>
      </c>
      <c r="D60" s="24"/>
      <c r="E60" s="24"/>
      <c r="F60" s="24"/>
      <c r="G60" s="25"/>
      <c r="H60" s="136"/>
      <c r="I60" s="27">
        <f t="shared" si="3"/>
        <v>0</v>
      </c>
      <c r="J60" s="27"/>
      <c r="K60" s="16"/>
      <c r="L60" s="27"/>
      <c r="M60" s="27"/>
      <c r="N60" s="27"/>
      <c r="O60" s="27"/>
      <c r="P60" s="27"/>
      <c r="Q60" s="27"/>
      <c r="R60" s="27"/>
      <c r="S60" s="27"/>
      <c r="T60" s="43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5"/>
      <c r="AJ60" s="58"/>
      <c r="AK60" s="55"/>
      <c r="AL60" s="66">
        <f t="shared" si="6"/>
        <v>0</v>
      </c>
      <c r="AM60" s="28" t="str">
        <f t="shared" si="2"/>
        <v>OK</v>
      </c>
    </row>
    <row r="61" spans="1:39" customFormat="1" hidden="1">
      <c r="A61" s="80" t="s">
        <v>112</v>
      </c>
      <c r="B61" s="77">
        <v>18518</v>
      </c>
      <c r="C61" s="17" t="s">
        <v>87</v>
      </c>
      <c r="D61" s="69"/>
      <c r="E61" s="18"/>
      <c r="F61" s="18"/>
      <c r="G61" s="19"/>
      <c r="H61" s="135">
        <f>756+1008</f>
        <v>1764</v>
      </c>
      <c r="I61" s="21">
        <f t="shared" si="3"/>
        <v>0</v>
      </c>
      <c r="J61" s="21"/>
      <c r="K61" s="16"/>
      <c r="L61" s="21"/>
      <c r="M61" s="21"/>
      <c r="N61" s="21"/>
      <c r="O61" s="21"/>
      <c r="P61" s="21"/>
      <c r="Q61" s="21"/>
      <c r="R61" s="21"/>
      <c r="S61" s="21"/>
      <c r="T61" s="4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4"/>
      <c r="AJ61" s="57"/>
      <c r="AK61" s="54"/>
      <c r="AL61" s="65">
        <f t="shared" si="6"/>
        <v>0</v>
      </c>
      <c r="AM61" s="22" t="str">
        <f t="shared" si="2"/>
        <v>OK</v>
      </c>
    </row>
    <row r="62" spans="1:39" customFormat="1" hidden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136">
        <f>443+503</f>
        <v>946</v>
      </c>
      <c r="I62" s="27">
        <f t="shared" si="3"/>
        <v>0</v>
      </c>
      <c r="J62" s="27"/>
      <c r="K62" s="16"/>
      <c r="L62" s="27"/>
      <c r="M62" s="27"/>
      <c r="N62" s="27"/>
      <c r="O62" s="27"/>
      <c r="P62" s="27"/>
      <c r="Q62" s="27"/>
      <c r="R62" s="27"/>
      <c r="S62" s="27"/>
      <c r="T62" s="43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5"/>
      <c r="AJ62" s="58"/>
      <c r="AK62" s="55"/>
      <c r="AL62" s="66">
        <f t="shared" si="6"/>
        <v>0</v>
      </c>
      <c r="AM62" s="28" t="str">
        <f t="shared" si="2"/>
        <v>OK</v>
      </c>
    </row>
    <row r="63" spans="1:39" customFormat="1" hidden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135"/>
      <c r="I63" s="21">
        <f t="shared" si="3"/>
        <v>0</v>
      </c>
      <c r="J63" s="21"/>
      <c r="K63" s="16"/>
      <c r="L63" s="21"/>
      <c r="M63" s="21"/>
      <c r="N63" s="21"/>
      <c r="O63" s="21"/>
      <c r="P63" s="21"/>
      <c r="Q63" s="21"/>
      <c r="R63" s="21"/>
      <c r="S63" s="21"/>
      <c r="T63" s="4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4"/>
      <c r="AJ63" s="57"/>
      <c r="AK63" s="54"/>
      <c r="AL63" s="65">
        <f t="shared" si="6"/>
        <v>0</v>
      </c>
      <c r="AM63" s="22" t="str">
        <f t="shared" si="2"/>
        <v>OK</v>
      </c>
    </row>
    <row r="64" spans="1:39" customFormat="1" hidden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136">
        <v>270</v>
      </c>
      <c r="I64" s="27">
        <f t="shared" si="3"/>
        <v>0</v>
      </c>
      <c r="J64" s="27"/>
      <c r="K64" s="16"/>
      <c r="L64" s="27"/>
      <c r="M64" s="27"/>
      <c r="N64" s="27"/>
      <c r="O64" s="27"/>
      <c r="P64" s="27"/>
      <c r="Q64" s="27"/>
      <c r="R64" s="27"/>
      <c r="S64" s="27"/>
      <c r="T64" s="43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5"/>
      <c r="AJ64" s="58"/>
      <c r="AK64" s="55"/>
      <c r="AL64" s="66">
        <f t="shared" si="6"/>
        <v>0</v>
      </c>
      <c r="AM64" s="28" t="str">
        <f t="shared" si="2"/>
        <v>OK</v>
      </c>
    </row>
    <row r="65" spans="1:39" customFormat="1" hidden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135"/>
      <c r="I65" s="21">
        <f t="shared" si="3"/>
        <v>0</v>
      </c>
      <c r="J65" s="21"/>
      <c r="K65" s="16"/>
      <c r="L65" s="21"/>
      <c r="M65" s="21"/>
      <c r="N65" s="21"/>
      <c r="O65" s="21"/>
      <c r="P65" s="21"/>
      <c r="Q65" s="21"/>
      <c r="R65" s="21"/>
      <c r="S65" s="21"/>
      <c r="T65" s="4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4"/>
      <c r="AJ65" s="57"/>
      <c r="AK65" s="54"/>
      <c r="AL65" s="65">
        <f t="shared" si="4"/>
        <v>0</v>
      </c>
      <c r="AM65" s="22" t="str">
        <f t="shared" si="2"/>
        <v>OK</v>
      </c>
    </row>
    <row r="66" spans="1:39" customFormat="1" ht="17.25" thickBot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136">
        <v>240</v>
      </c>
      <c r="I66" s="27">
        <f t="shared" si="3"/>
        <v>1</v>
      </c>
      <c r="J66" s="27"/>
      <c r="K66" s="16"/>
      <c r="L66" s="27"/>
      <c r="M66" s="27"/>
      <c r="N66" s="27"/>
      <c r="O66" s="27"/>
      <c r="P66" s="27"/>
      <c r="Q66" s="27"/>
      <c r="R66" s="27"/>
      <c r="S66" s="27"/>
      <c r="T66" s="43"/>
      <c r="U66" s="52"/>
      <c r="V66" s="52"/>
      <c r="W66" s="52"/>
      <c r="X66" s="52"/>
      <c r="Y66" s="52">
        <v>1</v>
      </c>
      <c r="Z66" s="52"/>
      <c r="AA66" s="52"/>
      <c r="AB66" s="52"/>
      <c r="AC66" s="52"/>
      <c r="AD66" s="52"/>
      <c r="AE66" s="52"/>
      <c r="AF66" s="52"/>
      <c r="AG66" s="52"/>
      <c r="AH66" s="52"/>
      <c r="AI66" s="55"/>
      <c r="AJ66" s="58"/>
      <c r="AK66" s="55"/>
      <c r="AL66" s="66">
        <f t="shared" si="4"/>
        <v>1</v>
      </c>
      <c r="AM66" s="28" t="str">
        <f t="shared" si="2"/>
        <v>OK</v>
      </c>
    </row>
    <row r="67" spans="1:39" customFormat="1" ht="17.25" hidden="1" thickBot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135"/>
      <c r="I67" s="21">
        <f t="shared" si="3"/>
        <v>0</v>
      </c>
      <c r="J67" s="21"/>
      <c r="K67" s="16"/>
      <c r="L67" s="21"/>
      <c r="M67" s="21"/>
      <c r="N67" s="21"/>
      <c r="O67" s="21"/>
      <c r="P67" s="21"/>
      <c r="Q67" s="21"/>
      <c r="R67" s="21"/>
      <c r="S67" s="21"/>
      <c r="T67" s="4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4"/>
      <c r="AJ67" s="57"/>
      <c r="AK67" s="54"/>
      <c r="AL67" s="65">
        <f t="shared" si="4"/>
        <v>0</v>
      </c>
      <c r="AM67" s="22" t="str">
        <f t="shared" si="2"/>
        <v>OK</v>
      </c>
    </row>
    <row r="68" spans="1:39" customFormat="1" ht="17.25" hidden="1" thickBot="1">
      <c r="A68" s="81" t="s">
        <v>132</v>
      </c>
      <c r="B68" s="78">
        <v>20269</v>
      </c>
      <c r="C68" s="23" t="s">
        <v>131</v>
      </c>
      <c r="D68" s="24"/>
      <c r="E68" s="24"/>
      <c r="F68" s="24"/>
      <c r="G68" s="25"/>
      <c r="H68" s="136"/>
      <c r="I68" s="27">
        <f t="shared" si="3"/>
        <v>0</v>
      </c>
      <c r="J68" s="27"/>
      <c r="K68" s="16"/>
      <c r="L68" s="27"/>
      <c r="M68" s="27"/>
      <c r="N68" s="27"/>
      <c r="O68" s="27"/>
      <c r="P68" s="27"/>
      <c r="Q68" s="27"/>
      <c r="R68" s="27"/>
      <c r="S68" s="27"/>
      <c r="T68" s="43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5"/>
      <c r="AJ68" s="58"/>
      <c r="AK68" s="55"/>
      <c r="AL68" s="66">
        <f t="shared" si="4"/>
        <v>0</v>
      </c>
      <c r="AM68" s="28" t="str">
        <f t="shared" si="2"/>
        <v>OK</v>
      </c>
    </row>
    <row r="69" spans="1:39" customFormat="1" ht="17.25" hidden="1" thickBot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135"/>
      <c r="I69" s="21">
        <f t="shared" si="3"/>
        <v>0</v>
      </c>
      <c r="J69" s="21"/>
      <c r="K69" s="16"/>
      <c r="L69" s="21"/>
      <c r="M69" s="21"/>
      <c r="N69" s="21"/>
      <c r="O69" s="21"/>
      <c r="P69" s="21"/>
      <c r="Q69" s="21"/>
      <c r="R69" s="21"/>
      <c r="S69" s="21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7"/>
      <c r="AK69" s="54"/>
      <c r="AL69" s="65">
        <f t="shared" si="4"/>
        <v>0</v>
      </c>
      <c r="AM69" s="22" t="str">
        <f t="shared" si="2"/>
        <v>OK</v>
      </c>
    </row>
    <row r="70" spans="1:39" customFormat="1" ht="17.25" hidden="1" thickBot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136">
        <f>1260+180</f>
        <v>1440</v>
      </c>
      <c r="I70" s="27">
        <f t="shared" si="3"/>
        <v>0</v>
      </c>
      <c r="J70" s="27"/>
      <c r="K70" s="16"/>
      <c r="L70" s="27"/>
      <c r="M70" s="27"/>
      <c r="N70" s="27"/>
      <c r="O70" s="27"/>
      <c r="P70" s="27"/>
      <c r="Q70" s="27"/>
      <c r="R70" s="27"/>
      <c r="S70" s="27"/>
      <c r="T70" s="43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5"/>
      <c r="AJ70" s="58"/>
      <c r="AK70" s="55"/>
      <c r="AL70" s="66">
        <f t="shared" si="4"/>
        <v>0</v>
      </c>
      <c r="AM70" s="28" t="str">
        <f t="shared" si="2"/>
        <v>OK</v>
      </c>
    </row>
    <row r="71" spans="1:39" customFormat="1" ht="17.25" hidden="1" thickBot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135"/>
      <c r="I71" s="21">
        <f t="shared" ref="I71:I96" si="7">SUM(L71:AK71)</f>
        <v>0</v>
      </c>
      <c r="J71" s="21"/>
      <c r="K71" s="16"/>
      <c r="L71" s="21"/>
      <c r="M71" s="21"/>
      <c r="N71" s="21"/>
      <c r="O71" s="21"/>
      <c r="P71" s="21"/>
      <c r="Q71" s="21"/>
      <c r="R71" s="21"/>
      <c r="S71" s="21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4"/>
      <c r="AJ71" s="57"/>
      <c r="AK71" s="54"/>
      <c r="AL71" s="65">
        <f t="shared" si="4"/>
        <v>0</v>
      </c>
      <c r="AM71" s="22" t="str">
        <f t="shared" si="2"/>
        <v>OK</v>
      </c>
    </row>
    <row r="72" spans="1:39" customFormat="1" ht="17.25" hidden="1" thickBot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136"/>
      <c r="I72" s="27">
        <f t="shared" si="7"/>
        <v>0</v>
      </c>
      <c r="J72" s="27"/>
      <c r="K72" s="16"/>
      <c r="L72" s="27"/>
      <c r="M72" s="27"/>
      <c r="N72" s="27"/>
      <c r="O72" s="27"/>
      <c r="P72" s="27"/>
      <c r="Q72" s="27"/>
      <c r="R72" s="27"/>
      <c r="S72" s="27"/>
      <c r="T72" s="43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5"/>
      <c r="AJ72" s="58"/>
      <c r="AK72" s="55"/>
      <c r="AL72" s="66">
        <f t="shared" si="4"/>
        <v>0</v>
      </c>
      <c r="AM72" s="28" t="str">
        <f t="shared" si="2"/>
        <v>OK</v>
      </c>
    </row>
    <row r="73" spans="1:39" customFormat="1" ht="17.25" hidden="1" thickBot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138"/>
      <c r="I73" s="101">
        <f t="shared" si="7"/>
        <v>0</v>
      </c>
      <c r="J73" s="21"/>
      <c r="K73" s="16"/>
      <c r="L73" s="21"/>
      <c r="M73" s="21"/>
      <c r="N73" s="21"/>
      <c r="O73" s="21"/>
      <c r="P73" s="21"/>
      <c r="Q73" s="21"/>
      <c r="R73" s="21"/>
      <c r="S73" s="21"/>
      <c r="T73" s="42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4"/>
      <c r="AJ73" s="57"/>
      <c r="AK73" s="54"/>
      <c r="AL73" s="65">
        <f t="shared" si="4"/>
        <v>0</v>
      </c>
      <c r="AM73" s="22" t="str">
        <f t="shared" si="2"/>
        <v>OK</v>
      </c>
    </row>
    <row r="74" spans="1:39" customFormat="1" ht="17.25" hidden="1" thickBot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139"/>
      <c r="I74" s="103">
        <f t="shared" si="7"/>
        <v>0</v>
      </c>
      <c r="J74" s="27"/>
      <c r="K74" s="16"/>
      <c r="L74" s="100"/>
      <c r="M74" s="100"/>
      <c r="N74" s="100"/>
      <c r="O74" s="100"/>
      <c r="P74" s="100"/>
      <c r="Q74" s="100"/>
      <c r="R74" s="100"/>
      <c r="S74" s="100"/>
      <c r="T74" s="109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1"/>
      <c r="AJ74" s="112"/>
      <c r="AK74" s="111"/>
      <c r="AL74" s="66">
        <f t="shared" si="4"/>
        <v>0</v>
      </c>
      <c r="AM74" s="28" t="str">
        <f t="shared" si="2"/>
        <v>OK</v>
      </c>
    </row>
    <row r="75" spans="1:39" ht="17.25" hidden="1" thickBot="1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40"/>
      <c r="I75" s="105">
        <f t="shared" si="7"/>
        <v>0</v>
      </c>
      <c r="J75" s="90"/>
      <c r="K75" s="91"/>
      <c r="L75" s="113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5"/>
      <c r="AL75" s="92">
        <f t="shared" ref="AL75:AL80" si="8">SUM(L75:AK75)</f>
        <v>0</v>
      </c>
      <c r="AM75" s="122" t="str">
        <f t="shared" ref="AM75:AM96" si="9">IF(AL75=I75,"OK","NG")</f>
        <v>OK</v>
      </c>
    </row>
    <row r="76" spans="1:39" ht="17.25" hidden="1" thickBot="1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139">
        <f>1680+1188</f>
        <v>2868</v>
      </c>
      <c r="I76" s="106">
        <f t="shared" si="7"/>
        <v>0</v>
      </c>
      <c r="J76" s="85"/>
      <c r="K76" s="16"/>
      <c r="L76" s="1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8"/>
      <c r="AL76" s="66">
        <f t="shared" si="8"/>
        <v>0</v>
      </c>
      <c r="AM76" s="28" t="str">
        <f t="shared" si="9"/>
        <v>OK</v>
      </c>
    </row>
    <row r="77" spans="1:39" ht="17.25" hidden="1" thickBot="1">
      <c r="A77" s="87" t="s">
        <v>165</v>
      </c>
      <c r="B77" s="93">
        <v>13007</v>
      </c>
      <c r="C77" s="94" t="s">
        <v>164</v>
      </c>
      <c r="D77" s="88"/>
      <c r="E77" s="88"/>
      <c r="F77" s="88"/>
      <c r="G77" s="89"/>
      <c r="H77" s="104"/>
      <c r="I77" s="105">
        <f t="shared" si="7"/>
        <v>0</v>
      </c>
      <c r="J77" s="90"/>
      <c r="K77" s="91"/>
      <c r="L77" s="113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5"/>
      <c r="AL77" s="92">
        <f t="shared" si="8"/>
        <v>0</v>
      </c>
      <c r="AM77" s="122" t="str">
        <f t="shared" si="9"/>
        <v>OK</v>
      </c>
    </row>
    <row r="78" spans="1:39" ht="17.25" hidden="1" thickBot="1">
      <c r="A78" s="68"/>
      <c r="B78" s="78"/>
      <c r="C78" s="95"/>
      <c r="D78" s="83"/>
      <c r="E78" s="83"/>
      <c r="F78" s="83"/>
      <c r="G78" s="84"/>
      <c r="H78" s="102"/>
      <c r="I78" s="106">
        <f t="shared" si="7"/>
        <v>0</v>
      </c>
      <c r="J78" s="85"/>
      <c r="K78" s="16"/>
      <c r="L78" s="1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66">
        <f t="shared" si="8"/>
        <v>0</v>
      </c>
      <c r="AM78" s="28" t="str">
        <f t="shared" si="9"/>
        <v>OK</v>
      </c>
    </row>
    <row r="79" spans="1:39" ht="17.25" hidden="1" thickBot="1">
      <c r="A79" s="87"/>
      <c r="B79" s="93"/>
      <c r="C79" s="94"/>
      <c r="D79" s="88"/>
      <c r="E79" s="88"/>
      <c r="F79" s="88"/>
      <c r="G79" s="89"/>
      <c r="H79" s="104"/>
      <c r="I79" s="105">
        <f t="shared" si="7"/>
        <v>0</v>
      </c>
      <c r="J79" s="90"/>
      <c r="K79" s="91"/>
      <c r="L79" s="113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5"/>
      <c r="AL79" s="92">
        <f t="shared" si="8"/>
        <v>0</v>
      </c>
      <c r="AM79" s="122" t="str">
        <f t="shared" si="9"/>
        <v>OK</v>
      </c>
    </row>
    <row r="80" spans="1:39" ht="17.25" hidden="1" thickBot="1">
      <c r="A80" s="68"/>
      <c r="B80" s="78"/>
      <c r="C80" s="95"/>
      <c r="D80" s="83"/>
      <c r="E80" s="83"/>
      <c r="F80" s="83"/>
      <c r="G80" s="84"/>
      <c r="H80" s="102"/>
      <c r="I80" s="106">
        <f t="shared" si="7"/>
        <v>0</v>
      </c>
      <c r="J80" s="85"/>
      <c r="K80" s="16"/>
      <c r="L80" s="116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66">
        <f t="shared" si="8"/>
        <v>0</v>
      </c>
      <c r="AM80" s="28" t="str">
        <f t="shared" si="9"/>
        <v>OK</v>
      </c>
    </row>
    <row r="81" spans="1:39" ht="17.25" hidden="1" thickBot="1">
      <c r="A81" s="87"/>
      <c r="B81" s="93"/>
      <c r="C81" s="94"/>
      <c r="D81" s="88"/>
      <c r="E81" s="88"/>
      <c r="F81" s="88"/>
      <c r="G81" s="89"/>
      <c r="H81" s="104"/>
      <c r="I81" s="105">
        <f t="shared" si="7"/>
        <v>0</v>
      </c>
      <c r="J81" s="90"/>
      <c r="K81" s="91"/>
      <c r="L81" s="113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5"/>
      <c r="AL81" s="92">
        <f t="shared" ref="AL81:AL96" si="10">SUM(L81:AK81)</f>
        <v>0</v>
      </c>
      <c r="AM81" s="122" t="str">
        <f t="shared" si="9"/>
        <v>OK</v>
      </c>
    </row>
    <row r="82" spans="1:39" ht="17.25" hidden="1" thickBot="1">
      <c r="A82" s="68"/>
      <c r="B82" s="78"/>
      <c r="C82" s="95"/>
      <c r="D82" s="83"/>
      <c r="E82" s="83"/>
      <c r="F82" s="83"/>
      <c r="G82" s="84"/>
      <c r="H82" s="102"/>
      <c r="I82" s="106">
        <f t="shared" si="7"/>
        <v>0</v>
      </c>
      <c r="J82" s="85"/>
      <c r="K82" s="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66">
        <f t="shared" si="10"/>
        <v>0</v>
      </c>
      <c r="AM82" s="28" t="str">
        <f t="shared" si="9"/>
        <v>OK</v>
      </c>
    </row>
    <row r="83" spans="1:39" ht="17.25" hidden="1" thickBot="1">
      <c r="A83" s="96"/>
      <c r="B83" s="93"/>
      <c r="C83" s="94"/>
      <c r="D83" s="88"/>
      <c r="E83" s="88"/>
      <c r="F83" s="88"/>
      <c r="G83" s="89"/>
      <c r="H83" s="104"/>
      <c r="I83" s="105">
        <f t="shared" si="7"/>
        <v>0</v>
      </c>
      <c r="J83" s="90"/>
      <c r="K83" s="91"/>
      <c r="L83" s="113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5"/>
      <c r="AL83" s="92">
        <f t="shared" si="10"/>
        <v>0</v>
      </c>
      <c r="AM83" s="122" t="str">
        <f t="shared" si="9"/>
        <v>OK</v>
      </c>
    </row>
    <row r="84" spans="1:39" ht="17.25" hidden="1" thickBot="1">
      <c r="A84" s="68"/>
      <c r="B84" s="78"/>
      <c r="C84" s="95"/>
      <c r="D84" s="83"/>
      <c r="E84" s="83"/>
      <c r="F84" s="83"/>
      <c r="G84" s="84"/>
      <c r="H84" s="102"/>
      <c r="I84" s="106">
        <f t="shared" si="7"/>
        <v>0</v>
      </c>
      <c r="J84" s="85"/>
      <c r="K84" s="16"/>
      <c r="L84" s="116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66">
        <f t="shared" si="10"/>
        <v>0</v>
      </c>
      <c r="AM84" s="28" t="str">
        <f t="shared" si="9"/>
        <v>OK</v>
      </c>
    </row>
    <row r="85" spans="1:39" ht="17.25" hidden="1" thickBot="1">
      <c r="A85" s="87"/>
      <c r="B85" s="93"/>
      <c r="C85" s="94"/>
      <c r="D85" s="88"/>
      <c r="E85" s="88"/>
      <c r="F85" s="88"/>
      <c r="G85" s="89"/>
      <c r="H85" s="104"/>
      <c r="I85" s="105">
        <f t="shared" si="7"/>
        <v>0</v>
      </c>
      <c r="J85" s="90"/>
      <c r="K85" s="91"/>
      <c r="L85" s="113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5"/>
      <c r="AL85" s="92">
        <f t="shared" si="10"/>
        <v>0</v>
      </c>
      <c r="AM85" s="122" t="str">
        <f t="shared" si="9"/>
        <v>OK</v>
      </c>
    </row>
    <row r="86" spans="1:39" ht="17.25" hidden="1" thickBot="1">
      <c r="A86" s="68"/>
      <c r="B86" s="78"/>
      <c r="C86" s="95"/>
      <c r="D86" s="83"/>
      <c r="E86" s="83"/>
      <c r="F86" s="83"/>
      <c r="G86" s="84"/>
      <c r="H86" s="102"/>
      <c r="I86" s="106">
        <f t="shared" si="7"/>
        <v>0</v>
      </c>
      <c r="J86" s="85"/>
      <c r="K86" s="16"/>
      <c r="L86" s="116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66">
        <f t="shared" si="10"/>
        <v>0</v>
      </c>
      <c r="AM86" s="28" t="str">
        <f t="shared" si="9"/>
        <v>OK</v>
      </c>
    </row>
    <row r="87" spans="1:39" ht="17.25" hidden="1" thickBot="1">
      <c r="A87" s="87"/>
      <c r="B87" s="93"/>
      <c r="C87" s="94"/>
      <c r="D87" s="88"/>
      <c r="E87" s="88"/>
      <c r="F87" s="88"/>
      <c r="G87" s="89"/>
      <c r="H87" s="104"/>
      <c r="I87" s="105">
        <f t="shared" si="7"/>
        <v>0</v>
      </c>
      <c r="J87" s="90"/>
      <c r="K87" s="91"/>
      <c r="L87" s="113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5"/>
      <c r="AL87" s="92">
        <f t="shared" si="10"/>
        <v>0</v>
      </c>
      <c r="AM87" s="122" t="str">
        <f t="shared" si="9"/>
        <v>OK</v>
      </c>
    </row>
    <row r="88" spans="1:39" ht="17.25" hidden="1" thickBot="1">
      <c r="A88" s="68"/>
      <c r="B88" s="78"/>
      <c r="C88" s="95"/>
      <c r="D88" s="83"/>
      <c r="E88" s="83"/>
      <c r="F88" s="83"/>
      <c r="G88" s="84"/>
      <c r="H88" s="102"/>
      <c r="I88" s="106">
        <f t="shared" si="7"/>
        <v>0</v>
      </c>
      <c r="J88" s="85"/>
      <c r="K88" s="16"/>
      <c r="L88" s="116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66">
        <f t="shared" si="10"/>
        <v>0</v>
      </c>
      <c r="AM88" s="28" t="str">
        <f t="shared" si="9"/>
        <v>OK</v>
      </c>
    </row>
    <row r="89" spans="1:39" ht="17.25" hidden="1" thickBot="1">
      <c r="A89" s="87"/>
      <c r="B89" s="93"/>
      <c r="C89" s="94"/>
      <c r="D89" s="88"/>
      <c r="E89" s="88"/>
      <c r="F89" s="88"/>
      <c r="G89" s="89"/>
      <c r="H89" s="104"/>
      <c r="I89" s="105">
        <f t="shared" si="7"/>
        <v>0</v>
      </c>
      <c r="J89" s="90"/>
      <c r="K89" s="91"/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5"/>
      <c r="AL89" s="92">
        <f t="shared" si="10"/>
        <v>0</v>
      </c>
      <c r="AM89" s="122" t="str">
        <f t="shared" si="9"/>
        <v>OK</v>
      </c>
    </row>
    <row r="90" spans="1:39" ht="17.25" hidden="1" thickBot="1">
      <c r="A90" s="68"/>
      <c r="B90" s="78"/>
      <c r="C90" s="95"/>
      <c r="D90" s="83"/>
      <c r="E90" s="83"/>
      <c r="F90" s="83"/>
      <c r="G90" s="84"/>
      <c r="H90" s="102"/>
      <c r="I90" s="106">
        <f t="shared" si="7"/>
        <v>0</v>
      </c>
      <c r="J90" s="85"/>
      <c r="K90" s="16"/>
      <c r="L90" s="116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66">
        <f t="shared" si="10"/>
        <v>0</v>
      </c>
      <c r="AM90" s="28" t="str">
        <f t="shared" si="9"/>
        <v>OK</v>
      </c>
    </row>
    <row r="91" spans="1:39" ht="17.25" hidden="1" thickBot="1">
      <c r="A91" s="87"/>
      <c r="B91" s="93"/>
      <c r="C91" s="94"/>
      <c r="D91" s="88"/>
      <c r="E91" s="88"/>
      <c r="F91" s="88"/>
      <c r="G91" s="89"/>
      <c r="H91" s="104"/>
      <c r="I91" s="105">
        <f t="shared" si="7"/>
        <v>0</v>
      </c>
      <c r="J91" s="90"/>
      <c r="K91" s="91"/>
      <c r="L91" s="113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5"/>
      <c r="AL91" s="92">
        <f t="shared" si="10"/>
        <v>0</v>
      </c>
      <c r="AM91" s="122" t="str">
        <f t="shared" si="9"/>
        <v>OK</v>
      </c>
    </row>
    <row r="92" spans="1:39" ht="17.25" hidden="1" thickBot="1">
      <c r="A92" s="68"/>
      <c r="B92" s="78"/>
      <c r="C92" s="95"/>
      <c r="D92" s="83"/>
      <c r="E92" s="83"/>
      <c r="F92" s="83"/>
      <c r="G92" s="84"/>
      <c r="H92" s="102"/>
      <c r="I92" s="106">
        <f t="shared" si="7"/>
        <v>0</v>
      </c>
      <c r="J92" s="85"/>
      <c r="K92" s="16"/>
      <c r="L92" s="116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66">
        <f t="shared" si="10"/>
        <v>0</v>
      </c>
      <c r="AM92" s="28" t="str">
        <f t="shared" si="9"/>
        <v>OK</v>
      </c>
    </row>
    <row r="93" spans="1:39" ht="17.25" hidden="1" thickBot="1">
      <c r="A93" s="87"/>
      <c r="B93" s="93"/>
      <c r="C93" s="94"/>
      <c r="D93" s="88"/>
      <c r="E93" s="88"/>
      <c r="F93" s="88"/>
      <c r="G93" s="89"/>
      <c r="H93" s="104"/>
      <c r="I93" s="105">
        <f t="shared" si="7"/>
        <v>0</v>
      </c>
      <c r="J93" s="90"/>
      <c r="K93" s="91"/>
      <c r="L93" s="113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5"/>
      <c r="AL93" s="92">
        <f t="shared" si="10"/>
        <v>0</v>
      </c>
      <c r="AM93" s="122" t="str">
        <f t="shared" si="9"/>
        <v>OK</v>
      </c>
    </row>
    <row r="94" spans="1:39" ht="17.25" hidden="1" thickBot="1">
      <c r="A94" s="68"/>
      <c r="B94" s="78"/>
      <c r="C94" s="95"/>
      <c r="D94" s="83"/>
      <c r="E94" s="83"/>
      <c r="F94" s="83"/>
      <c r="G94" s="84"/>
      <c r="H94" s="102"/>
      <c r="I94" s="106">
        <f t="shared" si="7"/>
        <v>0</v>
      </c>
      <c r="J94" s="85"/>
      <c r="K94" s="16"/>
      <c r="L94" s="116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66">
        <f t="shared" si="10"/>
        <v>0</v>
      </c>
      <c r="AM94" s="28" t="str">
        <f t="shared" si="9"/>
        <v>OK</v>
      </c>
    </row>
    <row r="95" spans="1:39" ht="17.25" hidden="1" thickBot="1">
      <c r="A95" s="87"/>
      <c r="B95" s="93"/>
      <c r="C95" s="94"/>
      <c r="D95" s="88"/>
      <c r="E95" s="88"/>
      <c r="F95" s="88"/>
      <c r="G95" s="89"/>
      <c r="H95" s="104"/>
      <c r="I95" s="105">
        <f t="shared" si="7"/>
        <v>0</v>
      </c>
      <c r="J95" s="90"/>
      <c r="K95" s="91"/>
      <c r="L95" s="113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5"/>
      <c r="AL95" s="92">
        <f t="shared" si="10"/>
        <v>0</v>
      </c>
      <c r="AM95" s="122" t="str">
        <f t="shared" si="9"/>
        <v>OK</v>
      </c>
    </row>
    <row r="96" spans="1:39" ht="17.25" hidden="1" thickBot="1">
      <c r="A96" s="97"/>
      <c r="B96" s="98"/>
      <c r="C96" s="99"/>
      <c r="D96" s="83"/>
      <c r="E96" s="83"/>
      <c r="F96" s="83"/>
      <c r="G96" s="84"/>
      <c r="H96" s="107"/>
      <c r="I96" s="108">
        <f t="shared" si="7"/>
        <v>0</v>
      </c>
      <c r="J96" s="85"/>
      <c r="K96" s="16"/>
      <c r="L96" s="119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1"/>
      <c r="AL96" s="66">
        <f t="shared" si="10"/>
        <v>0</v>
      </c>
      <c r="AM96" s="28" t="str">
        <f t="shared" si="9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23755</v>
      </c>
      <c r="I97" s="46">
        <f>SUM(I6:I96)</f>
        <v>9</v>
      </c>
      <c r="J97" s="47">
        <f>SUM(J6:J74)</f>
        <v>0</v>
      </c>
      <c r="K97" s="9"/>
      <c r="L97" s="45">
        <f>SUM(L6:L96)</f>
        <v>3</v>
      </c>
      <c r="M97" s="45">
        <f t="shared" ref="M97:AI97" si="11">SUM(M6:M96)</f>
        <v>0</v>
      </c>
      <c r="N97" s="45">
        <f t="shared" si="11"/>
        <v>2</v>
      </c>
      <c r="O97" s="45">
        <f t="shared" si="11"/>
        <v>0</v>
      </c>
      <c r="P97" s="45">
        <f t="shared" si="11"/>
        <v>0</v>
      </c>
      <c r="Q97" s="45">
        <f t="shared" si="11"/>
        <v>0</v>
      </c>
      <c r="R97" s="45">
        <f t="shared" si="11"/>
        <v>0</v>
      </c>
      <c r="S97" s="45">
        <f t="shared" si="11"/>
        <v>0</v>
      </c>
      <c r="T97" s="45">
        <f t="shared" si="11"/>
        <v>0</v>
      </c>
      <c r="U97" s="45">
        <f t="shared" si="11"/>
        <v>0</v>
      </c>
      <c r="V97" s="45">
        <f t="shared" si="11"/>
        <v>0</v>
      </c>
      <c r="W97" s="45">
        <f t="shared" si="11"/>
        <v>0</v>
      </c>
      <c r="X97" s="45">
        <f t="shared" si="11"/>
        <v>0</v>
      </c>
      <c r="Y97" s="45">
        <f t="shared" si="11"/>
        <v>2</v>
      </c>
      <c r="Z97" s="45">
        <f t="shared" si="11"/>
        <v>0</v>
      </c>
      <c r="AA97" s="45">
        <f t="shared" si="11"/>
        <v>0</v>
      </c>
      <c r="AB97" s="45">
        <f t="shared" si="11"/>
        <v>0</v>
      </c>
      <c r="AC97" s="45">
        <f t="shared" si="11"/>
        <v>2</v>
      </c>
      <c r="AD97" s="45">
        <f t="shared" si="11"/>
        <v>0</v>
      </c>
      <c r="AE97" s="45">
        <f t="shared" si="11"/>
        <v>0</v>
      </c>
      <c r="AF97" s="45">
        <f t="shared" si="11"/>
        <v>0</v>
      </c>
      <c r="AG97" s="45">
        <f t="shared" si="11"/>
        <v>0</v>
      </c>
      <c r="AH97" s="45">
        <f t="shared" si="11"/>
        <v>0</v>
      </c>
      <c r="AI97" s="45">
        <f t="shared" si="11"/>
        <v>0</v>
      </c>
      <c r="AJ97" s="49">
        <f>SUM(AJ6:AJ96)</f>
        <v>0</v>
      </c>
      <c r="AK97" s="61">
        <f>SUM(AK6:AK96)</f>
        <v>0</v>
      </c>
      <c r="AL97" s="67">
        <f>SUM(AL6:AL96)</f>
        <v>9</v>
      </c>
      <c r="AM97" s="48" t="str">
        <f>IF(AL97=SUM(I97),"OK","NG")</f>
        <v>OK</v>
      </c>
    </row>
  </sheetData>
  <autoFilter ref="A5:AM97" xr:uid="{00000000-0001-0000-1400-000000000000}">
    <filterColumn colId="8">
      <filters>
        <filter val="1"/>
        <filter val="2"/>
        <filter val="3"/>
        <filter val="9"/>
      </filters>
    </filterColumn>
  </autoFilter>
  <mergeCells count="37">
    <mergeCell ref="AM4:AM5"/>
    <mergeCell ref="AG4:AG5"/>
    <mergeCell ref="AH4:AH5"/>
    <mergeCell ref="AI4:AI5"/>
    <mergeCell ref="AJ4:AJ5"/>
    <mergeCell ref="AK4:AK5"/>
    <mergeCell ref="AL4:AL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B1:C1"/>
    <mergeCell ref="F1:G1"/>
    <mergeCell ref="H1:J3"/>
    <mergeCell ref="B2:C2"/>
    <mergeCell ref="AM2:AM3"/>
    <mergeCell ref="B3:C3"/>
  </mergeCells>
  <phoneticPr fontId="3" type="noConversion"/>
  <conditionalFormatting sqref="A4 AM6:AM97">
    <cfRule type="containsText" dxfId="25" priority="7" operator="containsText" text="NG">
      <formula>NOT(ISERROR(SEARCH("NG",A4)))</formula>
    </cfRule>
    <cfRule type="containsText" dxfId="24" priority="8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51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 filterMode="1">
    <pageSetUpPr fitToPage="1"/>
  </sheetPr>
  <dimension ref="A1:AM97"/>
  <sheetViews>
    <sheetView showGridLines="0" zoomScale="85" zoomScaleNormal="85" workbookViewId="0">
      <pane ySplit="5" topLeftCell="A28" activePane="bottomLeft" state="frozen"/>
      <selection activeCell="P19" sqref="P19"/>
      <selection pane="bottomLeft"/>
    </sheetView>
  </sheetViews>
  <sheetFormatPr defaultColWidth="9" defaultRowHeight="16.5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16" width="8.75"/>
    <col min="17" max="20" width="9" customWidth="1"/>
    <col min="21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5" customHeight="1" thickBot="1">
      <c r="A1" s="37" t="s">
        <v>13</v>
      </c>
      <c r="B1" s="168">
        <f>H97</f>
        <v>35645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48">
        <f>B1-L1</f>
        <v>35645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5" customHeight="1" thickBot="1">
      <c r="A2" s="37" t="s">
        <v>14</v>
      </c>
      <c r="B2" s="173">
        <f>I97</f>
        <v>19</v>
      </c>
      <c r="C2" s="174"/>
      <c r="D2" s="75"/>
      <c r="E2" s="71"/>
      <c r="F2" s="2"/>
      <c r="G2" s="2"/>
      <c r="H2" s="171"/>
      <c r="I2" s="171"/>
      <c r="J2" s="171"/>
      <c r="K2" s="3"/>
      <c r="L2" s="4">
        <f t="shared" ref="L2:AK2" si="0">SUBTOTAL(9,L6:L96)</f>
        <v>3</v>
      </c>
      <c r="M2" s="4">
        <f t="shared" si="0"/>
        <v>1</v>
      </c>
      <c r="N2" s="4">
        <f t="shared" si="0"/>
        <v>0</v>
      </c>
      <c r="O2" s="4">
        <f t="shared" si="0"/>
        <v>0</v>
      </c>
      <c r="P2" s="4">
        <f t="shared" si="0"/>
        <v>4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39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2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5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0</v>
      </c>
      <c r="AH2" s="5">
        <f t="shared" si="0"/>
        <v>0</v>
      </c>
      <c r="AI2" s="5">
        <f t="shared" si="0"/>
        <v>4</v>
      </c>
      <c r="AJ2" s="5">
        <f t="shared" si="0"/>
        <v>0</v>
      </c>
      <c r="AK2" s="59">
        <f t="shared" si="0"/>
        <v>0</v>
      </c>
      <c r="AL2" s="62">
        <f>SUBTOTAL(9,AL6:AL96)</f>
        <v>19</v>
      </c>
      <c r="AM2" s="175"/>
    </row>
    <row r="3" spans="1:39" customFormat="1" ht="22.5" customHeight="1" thickBot="1">
      <c r="A3" s="38" t="s">
        <v>15</v>
      </c>
      <c r="B3" s="177">
        <f>IF(ISERROR(B2/(B2+B1)*1000000),"",(B2/(B2+B1)*1000000))</f>
        <v>532.75011215791835</v>
      </c>
      <c r="C3" s="178"/>
      <c r="D3" s="73"/>
      <c r="E3" s="72"/>
      <c r="F3" s="32"/>
      <c r="G3" s="32"/>
      <c r="H3" s="172"/>
      <c r="I3" s="172"/>
      <c r="J3" s="172"/>
      <c r="K3" s="6"/>
      <c r="L3" s="7">
        <f t="shared" ref="L3:AK3" si="1">SUM(L6:L96)</f>
        <v>3</v>
      </c>
      <c r="M3" s="7">
        <f t="shared" si="1"/>
        <v>1</v>
      </c>
      <c r="N3" s="7">
        <f t="shared" si="1"/>
        <v>0</v>
      </c>
      <c r="O3" s="7">
        <f t="shared" si="1"/>
        <v>0</v>
      </c>
      <c r="P3" s="7">
        <f t="shared" si="1"/>
        <v>4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40">
        <f t="shared" si="1"/>
        <v>0</v>
      </c>
      <c r="U3" s="8">
        <f t="shared" si="1"/>
        <v>0</v>
      </c>
      <c r="V3" s="8">
        <f t="shared" si="1"/>
        <v>0</v>
      </c>
      <c r="W3" s="8">
        <f t="shared" si="1"/>
        <v>0</v>
      </c>
      <c r="X3" s="8">
        <f t="shared" si="1"/>
        <v>0</v>
      </c>
      <c r="Y3" s="8">
        <f t="shared" si="1"/>
        <v>2</v>
      </c>
      <c r="Z3" s="8">
        <f t="shared" si="1"/>
        <v>0</v>
      </c>
      <c r="AA3" s="8">
        <f t="shared" si="1"/>
        <v>0</v>
      </c>
      <c r="AB3" s="8">
        <f t="shared" si="1"/>
        <v>0</v>
      </c>
      <c r="AC3" s="8">
        <f t="shared" si="1"/>
        <v>5</v>
      </c>
      <c r="AD3" s="8">
        <f t="shared" si="1"/>
        <v>0</v>
      </c>
      <c r="AE3" s="8">
        <f t="shared" si="1"/>
        <v>0</v>
      </c>
      <c r="AF3" s="8">
        <f t="shared" si="1"/>
        <v>0</v>
      </c>
      <c r="AG3" s="8">
        <f t="shared" si="1"/>
        <v>0</v>
      </c>
      <c r="AH3" s="8">
        <f t="shared" si="1"/>
        <v>0</v>
      </c>
      <c r="AI3" s="8">
        <f t="shared" si="1"/>
        <v>4</v>
      </c>
      <c r="AJ3" s="8">
        <f t="shared" si="1"/>
        <v>0</v>
      </c>
      <c r="AK3" s="60">
        <f t="shared" si="1"/>
        <v>0</v>
      </c>
      <c r="AL3" s="63">
        <f>SUM(AL6:AL96)</f>
        <v>19</v>
      </c>
      <c r="AM3" s="176"/>
    </row>
    <row r="4" spans="1:39" customFormat="1" ht="43.5" customHeight="1">
      <c r="A4" s="163" t="str">
        <f>AM97</f>
        <v>OK</v>
      </c>
      <c r="B4" s="163"/>
      <c r="C4" s="163"/>
      <c r="D4" s="164"/>
      <c r="E4" s="165" t="s">
        <v>16</v>
      </c>
      <c r="F4" s="165"/>
      <c r="G4" s="165"/>
      <c r="H4" s="165" t="s">
        <v>17</v>
      </c>
      <c r="I4" s="165"/>
      <c r="J4" s="165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1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56" t="s">
        <v>12</v>
      </c>
      <c r="AL4" s="158" t="s">
        <v>36</v>
      </c>
      <c r="AM4" s="149" t="s">
        <v>37</v>
      </c>
    </row>
    <row r="5" spans="1:39" customFormat="1" ht="33.75" thickBot="1">
      <c r="A5" s="34" t="s">
        <v>3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139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6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3"/>
      <c r="AJ5" s="155"/>
      <c r="AK5" s="157"/>
      <c r="AL5" s="159"/>
      <c r="AM5" s="150"/>
    </row>
    <row r="6" spans="1:39" customFormat="1" hidden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34"/>
      <c r="I6" s="15">
        <f>SUM(L6:AK6)</f>
        <v>0</v>
      </c>
      <c r="J6" s="15"/>
      <c r="K6" s="16"/>
      <c r="L6" s="15"/>
      <c r="M6" s="15"/>
      <c r="N6" s="15"/>
      <c r="O6" s="15"/>
      <c r="P6" s="15"/>
      <c r="Q6" s="15"/>
      <c r="R6" s="15"/>
      <c r="S6" s="15"/>
      <c r="T6" s="41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3"/>
      <c r="AJ6" s="56"/>
      <c r="AK6" s="53"/>
      <c r="AL6" s="64">
        <f>SUM(L6:AK6)</f>
        <v>0</v>
      </c>
      <c r="AM6" s="31" t="str">
        <f t="shared" ref="AM6:AM74" si="2">IF(AL6=I6,"OK","NG")</f>
        <v>OK</v>
      </c>
    </row>
    <row r="7" spans="1:39" customFormat="1" hidden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135"/>
      <c r="I7" s="21">
        <f t="shared" ref="I7:I70" si="3">SUM(L7:AK7)</f>
        <v>0</v>
      </c>
      <c r="J7" s="21"/>
      <c r="K7" s="16"/>
      <c r="L7" s="21"/>
      <c r="M7" s="21"/>
      <c r="N7" s="21"/>
      <c r="O7" s="21"/>
      <c r="P7" s="21"/>
      <c r="Q7" s="21"/>
      <c r="R7" s="21"/>
      <c r="S7" s="21"/>
      <c r="T7" s="42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4"/>
      <c r="AJ7" s="57"/>
      <c r="AK7" s="54"/>
      <c r="AL7" s="65">
        <f t="shared" ref="AL7:AL74" si="4">SUM(L7:AK7)</f>
        <v>0</v>
      </c>
      <c r="AM7" s="22" t="str">
        <f t="shared" si="2"/>
        <v>OK</v>
      </c>
    </row>
    <row r="8" spans="1:39" customFormat="1" hidden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36"/>
      <c r="I8" s="27">
        <f t="shared" si="3"/>
        <v>0</v>
      </c>
      <c r="J8" s="27"/>
      <c r="K8" s="16"/>
      <c r="L8" s="27"/>
      <c r="M8" s="27"/>
      <c r="N8" s="27"/>
      <c r="O8" s="27"/>
      <c r="P8" s="27"/>
      <c r="Q8" s="27"/>
      <c r="R8" s="27"/>
      <c r="S8" s="27"/>
      <c r="T8" s="4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5"/>
      <c r="AJ8" s="58"/>
      <c r="AK8" s="55"/>
      <c r="AL8" s="66">
        <f t="shared" si="4"/>
        <v>0</v>
      </c>
      <c r="AM8" s="28" t="str">
        <f t="shared" si="2"/>
        <v>OK</v>
      </c>
    </row>
    <row r="9" spans="1:39" customFormat="1" hidden="1">
      <c r="A9" s="17" t="s">
        <v>68</v>
      </c>
      <c r="B9" s="77">
        <v>10897</v>
      </c>
      <c r="C9" s="17" t="s">
        <v>62</v>
      </c>
      <c r="D9" s="69"/>
      <c r="E9" s="18"/>
      <c r="F9" s="18"/>
      <c r="G9" s="19"/>
      <c r="H9" s="135"/>
      <c r="I9" s="21">
        <f t="shared" si="3"/>
        <v>0</v>
      </c>
      <c r="J9" s="21"/>
      <c r="K9" s="16"/>
      <c r="L9" s="21"/>
      <c r="M9" s="21"/>
      <c r="N9" s="21"/>
      <c r="O9" s="21"/>
      <c r="P9" s="21"/>
      <c r="Q9" s="21"/>
      <c r="R9" s="21"/>
      <c r="S9" s="21"/>
      <c r="T9" s="42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4"/>
      <c r="AJ9" s="57"/>
      <c r="AK9" s="54"/>
      <c r="AL9" s="65">
        <f t="shared" si="4"/>
        <v>0</v>
      </c>
      <c r="AM9" s="22" t="str">
        <f t="shared" si="2"/>
        <v>OK</v>
      </c>
    </row>
    <row r="10" spans="1:39" customFormat="1" hidden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36"/>
      <c r="I10" s="27">
        <f t="shared" si="3"/>
        <v>0</v>
      </c>
      <c r="J10" s="27"/>
      <c r="K10" s="16"/>
      <c r="L10" s="27"/>
      <c r="M10" s="27"/>
      <c r="N10" s="27"/>
      <c r="O10" s="27"/>
      <c r="P10" s="27"/>
      <c r="Q10" s="27"/>
      <c r="R10" s="27"/>
      <c r="S10" s="27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5"/>
      <c r="AJ10" s="58"/>
      <c r="AK10" s="55"/>
      <c r="AL10" s="66">
        <f t="shared" si="4"/>
        <v>0</v>
      </c>
      <c r="AM10" s="28" t="str">
        <f t="shared" si="2"/>
        <v>OK</v>
      </c>
    </row>
    <row r="11" spans="1:39" customFormat="1" hidden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135"/>
      <c r="I11" s="21">
        <f t="shared" si="3"/>
        <v>0</v>
      </c>
      <c r="J11" s="21"/>
      <c r="K11" s="16"/>
      <c r="L11" s="21"/>
      <c r="M11" s="21"/>
      <c r="N11" s="21"/>
      <c r="O11" s="21"/>
      <c r="P11" s="21"/>
      <c r="Q11" s="21"/>
      <c r="R11" s="21"/>
      <c r="S11" s="21"/>
      <c r="T11" s="42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4"/>
      <c r="AJ11" s="57"/>
      <c r="AK11" s="54"/>
      <c r="AL11" s="65">
        <f t="shared" si="4"/>
        <v>0</v>
      </c>
      <c r="AM11" s="22" t="str">
        <f t="shared" si="2"/>
        <v>OK</v>
      </c>
    </row>
    <row r="12" spans="1:39" customFormat="1" hidden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36"/>
      <c r="I12" s="27">
        <f t="shared" si="3"/>
        <v>0</v>
      </c>
      <c r="J12" s="27"/>
      <c r="K12" s="16"/>
      <c r="L12" s="27"/>
      <c r="M12" s="27"/>
      <c r="N12" s="27"/>
      <c r="O12" s="27"/>
      <c r="P12" s="27"/>
      <c r="Q12" s="27"/>
      <c r="R12" s="27"/>
      <c r="S12" s="27"/>
      <c r="T12" s="43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8"/>
      <c r="AK12" s="55"/>
      <c r="AL12" s="66">
        <f t="shared" si="4"/>
        <v>0</v>
      </c>
      <c r="AM12" s="28" t="str">
        <f t="shared" si="2"/>
        <v>OK</v>
      </c>
    </row>
    <row r="13" spans="1:39" customFormat="1" hidden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135"/>
      <c r="I13" s="21">
        <f t="shared" si="3"/>
        <v>0</v>
      </c>
      <c r="J13" s="21"/>
      <c r="K13" s="16"/>
      <c r="L13" s="21"/>
      <c r="M13" s="21"/>
      <c r="N13" s="21"/>
      <c r="O13" s="21"/>
      <c r="P13" s="21"/>
      <c r="Q13" s="21"/>
      <c r="R13" s="21"/>
      <c r="S13" s="21"/>
      <c r="T13" s="4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4"/>
      <c r="AJ13" s="57"/>
      <c r="AK13" s="54"/>
      <c r="AL13" s="65">
        <f t="shared" si="4"/>
        <v>0</v>
      </c>
      <c r="AM13" s="22" t="str">
        <f t="shared" si="2"/>
        <v>OK</v>
      </c>
    </row>
    <row r="14" spans="1:39" customFormat="1" hidden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36"/>
      <c r="I14" s="27">
        <f t="shared" si="3"/>
        <v>0</v>
      </c>
      <c r="J14" s="27"/>
      <c r="K14" s="16"/>
      <c r="L14" s="27"/>
      <c r="M14" s="27"/>
      <c r="N14" s="27"/>
      <c r="O14" s="27"/>
      <c r="P14" s="27"/>
      <c r="Q14" s="27"/>
      <c r="R14" s="27"/>
      <c r="S14" s="27"/>
      <c r="T14" s="43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5"/>
      <c r="AJ14" s="58"/>
      <c r="AK14" s="55"/>
      <c r="AL14" s="66">
        <f t="shared" si="4"/>
        <v>0</v>
      </c>
      <c r="AM14" s="28" t="str">
        <f t="shared" si="2"/>
        <v>OK</v>
      </c>
    </row>
    <row r="15" spans="1:39" customFormat="1" hidden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135"/>
      <c r="I15" s="21">
        <f t="shared" si="3"/>
        <v>0</v>
      </c>
      <c r="J15" s="21"/>
      <c r="K15" s="16"/>
      <c r="L15" s="21"/>
      <c r="M15" s="21"/>
      <c r="N15" s="21"/>
      <c r="O15" s="21"/>
      <c r="P15" s="21"/>
      <c r="Q15" s="21"/>
      <c r="R15" s="21"/>
      <c r="S15" s="21"/>
      <c r="T15" s="42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4"/>
      <c r="AJ15" s="57"/>
      <c r="AK15" s="54"/>
      <c r="AL15" s="65">
        <f t="shared" si="4"/>
        <v>0</v>
      </c>
      <c r="AM15" s="22" t="str">
        <f t="shared" si="2"/>
        <v>OK</v>
      </c>
    </row>
    <row r="16" spans="1:39" customFormat="1" hidden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36"/>
      <c r="I16" s="27">
        <f t="shared" si="3"/>
        <v>0</v>
      </c>
      <c r="J16" s="27"/>
      <c r="K16" s="16"/>
      <c r="L16" s="27"/>
      <c r="M16" s="27"/>
      <c r="N16" s="27"/>
      <c r="O16" s="27"/>
      <c r="P16" s="27"/>
      <c r="Q16" s="27"/>
      <c r="R16" s="27"/>
      <c r="S16" s="27"/>
      <c r="T16" s="43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8"/>
      <c r="AK16" s="55"/>
      <c r="AL16" s="66">
        <f t="shared" si="4"/>
        <v>0</v>
      </c>
      <c r="AM16" s="28" t="str">
        <f t="shared" si="2"/>
        <v>OK</v>
      </c>
    </row>
    <row r="17" spans="1:39" customFormat="1" hidden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135"/>
      <c r="I17" s="21">
        <f t="shared" si="3"/>
        <v>0</v>
      </c>
      <c r="J17" s="21"/>
      <c r="K17" s="16"/>
      <c r="L17" s="21"/>
      <c r="M17" s="21"/>
      <c r="N17" s="21"/>
      <c r="O17" s="21"/>
      <c r="P17" s="21"/>
      <c r="Q17" s="21"/>
      <c r="R17" s="21"/>
      <c r="S17" s="21"/>
      <c r="T17" s="42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4"/>
      <c r="AJ17" s="57"/>
      <c r="AK17" s="54"/>
      <c r="AL17" s="65">
        <f t="shared" si="4"/>
        <v>0</v>
      </c>
      <c r="AM17" s="22" t="str">
        <f t="shared" si="2"/>
        <v>OK</v>
      </c>
    </row>
    <row r="18" spans="1:39" customFormat="1" hidden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36"/>
      <c r="I18" s="27">
        <f t="shared" si="3"/>
        <v>0</v>
      </c>
      <c r="J18" s="27"/>
      <c r="K18" s="16"/>
      <c r="L18" s="27"/>
      <c r="M18" s="27"/>
      <c r="N18" s="27"/>
      <c r="O18" s="27"/>
      <c r="P18" s="27"/>
      <c r="Q18" s="27"/>
      <c r="R18" s="27"/>
      <c r="S18" s="27"/>
      <c r="T18" s="43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8"/>
      <c r="AK18" s="55"/>
      <c r="AL18" s="66">
        <f t="shared" si="4"/>
        <v>0</v>
      </c>
      <c r="AM18" s="28" t="str">
        <f t="shared" si="2"/>
        <v>OK</v>
      </c>
    </row>
    <row r="19" spans="1:39" customFormat="1" hidden="1">
      <c r="A19" s="17" t="s">
        <v>91</v>
      </c>
      <c r="B19" s="77">
        <v>14988</v>
      </c>
      <c r="C19" s="17" t="s">
        <v>64</v>
      </c>
      <c r="D19" s="69"/>
      <c r="E19" s="18"/>
      <c r="F19" s="18"/>
      <c r="G19" s="19"/>
      <c r="H19" s="135">
        <f>2040+2500+1080+2420</f>
        <v>8040</v>
      </c>
      <c r="I19" s="21">
        <f t="shared" si="3"/>
        <v>0</v>
      </c>
      <c r="J19" s="21"/>
      <c r="K19" s="16"/>
      <c r="L19" s="21"/>
      <c r="M19" s="21"/>
      <c r="N19" s="21"/>
      <c r="O19" s="21"/>
      <c r="P19" s="21"/>
      <c r="Q19" s="21"/>
      <c r="R19" s="21"/>
      <c r="S19" s="21"/>
      <c r="T19" s="42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4"/>
      <c r="AJ19" s="57"/>
      <c r="AK19" s="54"/>
      <c r="AL19" s="65">
        <f t="shared" si="4"/>
        <v>0</v>
      </c>
      <c r="AM19" s="22" t="str">
        <f t="shared" si="2"/>
        <v>OK</v>
      </c>
    </row>
    <row r="20" spans="1:39" customFormat="1" hidden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136"/>
      <c r="I20" s="27">
        <f t="shared" si="3"/>
        <v>0</v>
      </c>
      <c r="J20" s="27"/>
      <c r="K20" s="16"/>
      <c r="L20" s="27"/>
      <c r="M20" s="27"/>
      <c r="N20" s="27"/>
      <c r="O20" s="27"/>
      <c r="P20" s="27"/>
      <c r="Q20" s="27"/>
      <c r="R20" s="27"/>
      <c r="S20" s="27"/>
      <c r="T20" s="43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8"/>
      <c r="AK20" s="55"/>
      <c r="AL20" s="66">
        <f t="shared" si="4"/>
        <v>0</v>
      </c>
      <c r="AM20" s="28" t="str">
        <f t="shared" si="2"/>
        <v>OK</v>
      </c>
    </row>
    <row r="21" spans="1:39" customFormat="1" hidden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135"/>
      <c r="I21" s="21">
        <f t="shared" si="3"/>
        <v>0</v>
      </c>
      <c r="J21" s="21"/>
      <c r="K21" s="16"/>
      <c r="L21" s="21"/>
      <c r="M21" s="21"/>
      <c r="N21" s="21"/>
      <c r="O21" s="21"/>
      <c r="P21" s="21"/>
      <c r="Q21" s="21"/>
      <c r="R21" s="21"/>
      <c r="S21" s="21"/>
      <c r="T21" s="4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4"/>
      <c r="AJ21" s="57"/>
      <c r="AK21" s="54"/>
      <c r="AL21" s="65">
        <f t="shared" si="4"/>
        <v>0</v>
      </c>
      <c r="AM21" s="22" t="str">
        <f t="shared" si="2"/>
        <v>OK</v>
      </c>
    </row>
    <row r="22" spans="1:39" customFormat="1" hidden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36"/>
      <c r="I22" s="27">
        <f t="shared" si="3"/>
        <v>0</v>
      </c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43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5"/>
      <c r="AJ22" s="58"/>
      <c r="AK22" s="55"/>
      <c r="AL22" s="66">
        <f t="shared" si="4"/>
        <v>0</v>
      </c>
      <c r="AM22" s="28" t="str">
        <f t="shared" si="2"/>
        <v>OK</v>
      </c>
    </row>
    <row r="23" spans="1:39" customFormat="1" hidden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135"/>
      <c r="I23" s="21">
        <f t="shared" si="3"/>
        <v>0</v>
      </c>
      <c r="J23" s="21"/>
      <c r="K23" s="16"/>
      <c r="L23" s="21"/>
      <c r="M23" s="21"/>
      <c r="N23" s="21"/>
      <c r="O23" s="21"/>
      <c r="P23" s="21"/>
      <c r="Q23" s="21"/>
      <c r="R23" s="21"/>
      <c r="S23" s="21"/>
      <c r="T23" s="42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7"/>
      <c r="AK23" s="54"/>
      <c r="AL23" s="65">
        <f>SUM(L23:AK23)</f>
        <v>0</v>
      </c>
      <c r="AM23" s="22" t="str">
        <f t="shared" si="2"/>
        <v>OK</v>
      </c>
    </row>
    <row r="24" spans="1:39" customFormat="1" hidden="1">
      <c r="A24" s="68" t="s">
        <v>44</v>
      </c>
      <c r="B24" s="78">
        <v>10163</v>
      </c>
      <c r="C24" s="23" t="s">
        <v>45</v>
      </c>
      <c r="D24" s="24"/>
      <c r="E24" s="24"/>
      <c r="F24" s="24"/>
      <c r="G24" s="25"/>
      <c r="H24" s="136">
        <v>1008</v>
      </c>
      <c r="I24" s="27">
        <f t="shared" si="3"/>
        <v>0</v>
      </c>
      <c r="J24" s="27"/>
      <c r="K24" s="16"/>
      <c r="L24" s="27"/>
      <c r="M24" s="27"/>
      <c r="N24" s="27"/>
      <c r="O24" s="27"/>
      <c r="P24" s="27"/>
      <c r="Q24" s="27"/>
      <c r="R24" s="27"/>
      <c r="S24" s="27"/>
      <c r="T24" s="43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5"/>
      <c r="AJ24" s="58"/>
      <c r="AK24" s="55"/>
      <c r="AL24" s="66">
        <f t="shared" si="4"/>
        <v>0</v>
      </c>
      <c r="AM24" s="28" t="str">
        <f t="shared" si="2"/>
        <v>OK</v>
      </c>
    </row>
    <row r="25" spans="1:39" customFormat="1" hidden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135"/>
      <c r="I25" s="21">
        <f t="shared" si="3"/>
        <v>0</v>
      </c>
      <c r="J25" s="21"/>
      <c r="K25" s="16"/>
      <c r="L25" s="21"/>
      <c r="M25" s="21"/>
      <c r="N25" s="21"/>
      <c r="O25" s="21"/>
      <c r="P25" s="21"/>
      <c r="Q25" s="21"/>
      <c r="R25" s="21"/>
      <c r="S25" s="21"/>
      <c r="T25" s="42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4"/>
      <c r="AJ25" s="57"/>
      <c r="AK25" s="54"/>
      <c r="AL25" s="65">
        <f t="shared" si="4"/>
        <v>0</v>
      </c>
      <c r="AM25" s="22" t="str">
        <f t="shared" si="2"/>
        <v>OK</v>
      </c>
    </row>
    <row r="26" spans="1:39" customFormat="1" hidden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36"/>
      <c r="I26" s="27">
        <f t="shared" si="3"/>
        <v>0</v>
      </c>
      <c r="J26" s="27"/>
      <c r="K26" s="16"/>
      <c r="L26" s="27"/>
      <c r="M26" s="27"/>
      <c r="N26" s="27"/>
      <c r="O26" s="27"/>
      <c r="P26" s="27"/>
      <c r="Q26" s="27"/>
      <c r="R26" s="27"/>
      <c r="S26" s="27"/>
      <c r="T26" s="43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8"/>
      <c r="AK26" s="55"/>
      <c r="AL26" s="66">
        <f t="shared" si="4"/>
        <v>0</v>
      </c>
      <c r="AM26" s="28" t="str">
        <f t="shared" si="2"/>
        <v>OK</v>
      </c>
    </row>
    <row r="27" spans="1:39" customFormat="1" hidden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135"/>
      <c r="I27" s="21">
        <f t="shared" si="3"/>
        <v>0</v>
      </c>
      <c r="J27" s="21"/>
      <c r="K27" s="16"/>
      <c r="L27" s="21"/>
      <c r="M27" s="21"/>
      <c r="N27" s="21"/>
      <c r="O27" s="21"/>
      <c r="P27" s="21"/>
      <c r="Q27" s="21"/>
      <c r="R27" s="21"/>
      <c r="S27" s="21"/>
      <c r="T27" s="4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7"/>
      <c r="AK27" s="54"/>
      <c r="AL27" s="65">
        <f t="shared" si="4"/>
        <v>0</v>
      </c>
      <c r="AM27" s="22" t="str">
        <f t="shared" si="2"/>
        <v>OK</v>
      </c>
    </row>
    <row r="28" spans="1:39" customFormat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136">
        <f>936+1248</f>
        <v>2184</v>
      </c>
      <c r="I28" s="27">
        <f t="shared" si="3"/>
        <v>4</v>
      </c>
      <c r="J28" s="27"/>
      <c r="K28" s="16"/>
      <c r="L28" s="27"/>
      <c r="M28" s="27">
        <v>1</v>
      </c>
      <c r="N28" s="27"/>
      <c r="O28" s="27"/>
      <c r="P28" s="27"/>
      <c r="Q28" s="27"/>
      <c r="R28" s="27"/>
      <c r="S28" s="27"/>
      <c r="T28" s="43"/>
      <c r="U28" s="52"/>
      <c r="V28" s="52"/>
      <c r="W28" s="52"/>
      <c r="X28" s="52"/>
      <c r="Y28" s="52">
        <v>2</v>
      </c>
      <c r="Z28" s="52"/>
      <c r="AA28" s="52"/>
      <c r="AB28" s="52"/>
      <c r="AC28" s="52">
        <v>1</v>
      </c>
      <c r="AD28" s="52"/>
      <c r="AE28" s="52"/>
      <c r="AF28" s="52"/>
      <c r="AG28" s="52"/>
      <c r="AH28" s="52"/>
      <c r="AI28" s="55"/>
      <c r="AJ28" s="58"/>
      <c r="AK28" s="55"/>
      <c r="AL28" s="66">
        <f t="shared" si="4"/>
        <v>4</v>
      </c>
      <c r="AM28" s="28" t="str">
        <f t="shared" si="2"/>
        <v>OK</v>
      </c>
    </row>
    <row r="29" spans="1:39" customFormat="1" hidden="1">
      <c r="A29" s="80" t="s">
        <v>71</v>
      </c>
      <c r="B29" s="77">
        <v>10151</v>
      </c>
      <c r="C29" s="17" t="s">
        <v>51</v>
      </c>
      <c r="D29" s="69"/>
      <c r="E29" s="18"/>
      <c r="F29" s="18"/>
      <c r="G29" s="19"/>
      <c r="H29" s="135"/>
      <c r="I29" s="21">
        <f t="shared" si="3"/>
        <v>0</v>
      </c>
      <c r="J29" s="21"/>
      <c r="K29" s="16"/>
      <c r="L29" s="21"/>
      <c r="M29" s="21"/>
      <c r="N29" s="21"/>
      <c r="O29" s="21"/>
      <c r="P29" s="21"/>
      <c r="Q29" s="21"/>
      <c r="R29" s="21"/>
      <c r="S29" s="21"/>
      <c r="T29" s="42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4"/>
      <c r="AJ29" s="57"/>
      <c r="AK29" s="54"/>
      <c r="AL29" s="65">
        <f t="shared" si="4"/>
        <v>0</v>
      </c>
      <c r="AM29" s="22" t="str">
        <f t="shared" si="2"/>
        <v>OK</v>
      </c>
    </row>
    <row r="30" spans="1:39" customFormat="1" hidden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137">
        <v>2052</v>
      </c>
      <c r="I30" s="27">
        <f t="shared" si="3"/>
        <v>0</v>
      </c>
      <c r="J30" s="27"/>
      <c r="K30" s="16"/>
      <c r="L30" s="27"/>
      <c r="M30" s="27"/>
      <c r="N30" s="27"/>
      <c r="O30" s="27"/>
      <c r="P30" s="27"/>
      <c r="Q30" s="27"/>
      <c r="R30" s="27"/>
      <c r="S30" s="27"/>
      <c r="T30" s="43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5"/>
      <c r="AJ30" s="58"/>
      <c r="AK30" s="55"/>
      <c r="AL30" s="66">
        <f t="shared" si="4"/>
        <v>0</v>
      </c>
      <c r="AM30" s="28" t="str">
        <f t="shared" si="2"/>
        <v>OK</v>
      </c>
    </row>
    <row r="31" spans="1:39" customFormat="1" hidden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135"/>
      <c r="I31" s="21">
        <f t="shared" si="3"/>
        <v>0</v>
      </c>
      <c r="J31" s="21"/>
      <c r="K31" s="16"/>
      <c r="L31" s="21"/>
      <c r="M31" s="21"/>
      <c r="N31" s="21"/>
      <c r="O31" s="21"/>
      <c r="P31" s="21"/>
      <c r="Q31" s="21"/>
      <c r="R31" s="21"/>
      <c r="S31" s="21"/>
      <c r="T31" s="4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7"/>
      <c r="AK31" s="54"/>
      <c r="AL31" s="65">
        <f t="shared" si="4"/>
        <v>0</v>
      </c>
      <c r="AM31" s="22" t="str">
        <f t="shared" si="2"/>
        <v>OK</v>
      </c>
    </row>
    <row r="32" spans="1:39" customFormat="1" hidden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136"/>
      <c r="I32" s="27">
        <f t="shared" si="3"/>
        <v>0</v>
      </c>
      <c r="J32" s="27"/>
      <c r="K32" s="16"/>
      <c r="L32" s="27"/>
      <c r="M32" s="27"/>
      <c r="N32" s="27"/>
      <c r="O32" s="27"/>
      <c r="P32" s="27"/>
      <c r="Q32" s="27"/>
      <c r="R32" s="27"/>
      <c r="S32" s="27"/>
      <c r="T32" s="43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5"/>
      <c r="AJ32" s="58"/>
      <c r="AK32" s="55"/>
      <c r="AL32" s="66">
        <f t="shared" si="4"/>
        <v>0</v>
      </c>
      <c r="AM32" s="28" t="str">
        <f t="shared" si="2"/>
        <v>OK</v>
      </c>
    </row>
    <row r="33" spans="1:39" customFormat="1" hidden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135">
        <v>1062</v>
      </c>
      <c r="I33" s="21">
        <f t="shared" si="3"/>
        <v>0</v>
      </c>
      <c r="J33" s="21"/>
      <c r="K33" s="16"/>
      <c r="L33" s="21"/>
      <c r="M33" s="21"/>
      <c r="N33" s="21"/>
      <c r="O33" s="21"/>
      <c r="P33" s="21"/>
      <c r="Q33" s="21"/>
      <c r="R33" s="21"/>
      <c r="S33" s="21"/>
      <c r="T33" s="42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4"/>
      <c r="AJ33" s="57"/>
      <c r="AK33" s="54"/>
      <c r="AL33" s="65">
        <f t="shared" si="4"/>
        <v>0</v>
      </c>
      <c r="AM33" s="22" t="str">
        <f t="shared" si="2"/>
        <v>OK</v>
      </c>
    </row>
    <row r="34" spans="1:39" customFormat="1" hidden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136">
        <f>506+1450+750</f>
        <v>2706</v>
      </c>
      <c r="I34" s="27">
        <f t="shared" si="3"/>
        <v>0</v>
      </c>
      <c r="J34" s="27"/>
      <c r="K34" s="16"/>
      <c r="L34" s="27"/>
      <c r="M34" s="27"/>
      <c r="N34" s="27"/>
      <c r="O34" s="27"/>
      <c r="P34" s="27"/>
      <c r="Q34" s="27"/>
      <c r="R34" s="27"/>
      <c r="S34" s="27"/>
      <c r="T34" s="43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5"/>
      <c r="AJ34" s="58"/>
      <c r="AK34" s="55"/>
      <c r="AL34" s="66">
        <f t="shared" si="4"/>
        <v>0</v>
      </c>
      <c r="AM34" s="28" t="str">
        <f t="shared" si="2"/>
        <v>OK</v>
      </c>
    </row>
    <row r="35" spans="1:39" customFormat="1" hidden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135"/>
      <c r="I35" s="21">
        <f t="shared" si="3"/>
        <v>0</v>
      </c>
      <c r="J35" s="21"/>
      <c r="K35" s="16"/>
      <c r="L35" s="21"/>
      <c r="M35" s="21"/>
      <c r="N35" s="21"/>
      <c r="O35" s="21"/>
      <c r="P35" s="21"/>
      <c r="Q35" s="21"/>
      <c r="R35" s="21"/>
      <c r="S35" s="21"/>
      <c r="T35" s="42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4"/>
      <c r="AJ35" s="57"/>
      <c r="AK35" s="54"/>
      <c r="AL35" s="65">
        <f t="shared" si="4"/>
        <v>0</v>
      </c>
      <c r="AM35" s="22" t="str">
        <f t="shared" si="2"/>
        <v>OK</v>
      </c>
    </row>
    <row r="36" spans="1:39" customFormat="1" hidden="1">
      <c r="A36" s="68" t="s">
        <v>76</v>
      </c>
      <c r="B36" s="78">
        <v>10135</v>
      </c>
      <c r="C36" s="23" t="s">
        <v>162</v>
      </c>
      <c r="D36" s="24"/>
      <c r="E36" s="24"/>
      <c r="F36" s="24"/>
      <c r="G36" s="25"/>
      <c r="H36" s="136"/>
      <c r="I36" s="27">
        <f>SUM(L36:AK36)</f>
        <v>0</v>
      </c>
      <c r="J36" s="27"/>
      <c r="K36" s="16"/>
      <c r="L36" s="27"/>
      <c r="M36" s="27"/>
      <c r="N36" s="27"/>
      <c r="O36" s="27"/>
      <c r="P36" s="27"/>
      <c r="Q36" s="27"/>
      <c r="R36" s="27"/>
      <c r="S36" s="27"/>
      <c r="T36" s="43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5"/>
      <c r="AJ36" s="58"/>
      <c r="AK36" s="55"/>
      <c r="AL36" s="66">
        <f t="shared" si="4"/>
        <v>0</v>
      </c>
      <c r="AM36" s="28" t="str">
        <f t="shared" si="2"/>
        <v>OK</v>
      </c>
    </row>
    <row r="37" spans="1:39" customFormat="1" hidden="1">
      <c r="A37" s="80" t="s">
        <v>77</v>
      </c>
      <c r="B37" s="77">
        <v>10133</v>
      </c>
      <c r="C37" s="17" t="s">
        <v>55</v>
      </c>
      <c r="D37" s="69"/>
      <c r="E37" s="18"/>
      <c r="F37" s="18"/>
      <c r="G37" s="19"/>
      <c r="H37" s="135"/>
      <c r="I37" s="21">
        <f t="shared" si="3"/>
        <v>0</v>
      </c>
      <c r="J37" s="21"/>
      <c r="K37" s="16"/>
      <c r="L37" s="21"/>
      <c r="M37" s="21"/>
      <c r="N37" s="21"/>
      <c r="O37" s="21"/>
      <c r="P37" s="21"/>
      <c r="Q37" s="21"/>
      <c r="R37" s="21"/>
      <c r="S37" s="21"/>
      <c r="T37" s="42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4"/>
      <c r="AJ37" s="57"/>
      <c r="AK37" s="54"/>
      <c r="AL37" s="65">
        <f t="shared" si="4"/>
        <v>0</v>
      </c>
      <c r="AM37" s="22" t="str">
        <f t="shared" si="2"/>
        <v>OK</v>
      </c>
    </row>
    <row r="38" spans="1:39" customFormat="1" hidden="1">
      <c r="A38" s="68" t="s">
        <v>78</v>
      </c>
      <c r="B38" s="78">
        <v>10131</v>
      </c>
      <c r="C38" s="23" t="s">
        <v>56</v>
      </c>
      <c r="D38" s="24"/>
      <c r="E38" s="24"/>
      <c r="F38" s="24"/>
      <c r="G38" s="25"/>
      <c r="H38" s="136"/>
      <c r="I38" s="27">
        <f t="shared" si="3"/>
        <v>0</v>
      </c>
      <c r="J38" s="27"/>
      <c r="K38" s="16"/>
      <c r="L38" s="27"/>
      <c r="M38" s="27"/>
      <c r="N38" s="27"/>
      <c r="O38" s="27"/>
      <c r="P38" s="27"/>
      <c r="Q38" s="27"/>
      <c r="R38" s="27"/>
      <c r="S38" s="27"/>
      <c r="T38" s="43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5"/>
      <c r="AJ38" s="58"/>
      <c r="AK38" s="55"/>
      <c r="AL38" s="66">
        <f t="shared" ref="AL38:AL50" si="5">SUM(L38:AK38)</f>
        <v>0</v>
      </c>
      <c r="AM38" s="28" t="str">
        <f t="shared" si="2"/>
        <v>OK</v>
      </c>
    </row>
    <row r="39" spans="1:39" customFormat="1">
      <c r="A39" s="17" t="s">
        <v>79</v>
      </c>
      <c r="B39" s="77">
        <v>10129</v>
      </c>
      <c r="C39" s="17" t="s">
        <v>163</v>
      </c>
      <c r="D39" s="69"/>
      <c r="E39" s="18"/>
      <c r="F39" s="18"/>
      <c r="G39" s="19"/>
      <c r="H39" s="135">
        <f>940+160+970+1365</f>
        <v>3435</v>
      </c>
      <c r="I39" s="21">
        <f>SUM(L39:AK39)</f>
        <v>3</v>
      </c>
      <c r="J39" s="21"/>
      <c r="K39" s="16"/>
      <c r="L39" s="21"/>
      <c r="M39" s="21"/>
      <c r="N39" s="21"/>
      <c r="O39" s="21"/>
      <c r="P39" s="21"/>
      <c r="Q39" s="21"/>
      <c r="R39" s="21"/>
      <c r="S39" s="21"/>
      <c r="T39" s="42"/>
      <c r="U39" s="51"/>
      <c r="V39" s="51"/>
      <c r="W39" s="51"/>
      <c r="X39" s="51"/>
      <c r="Y39" s="51"/>
      <c r="Z39" s="51"/>
      <c r="AA39" s="51"/>
      <c r="AB39" s="51"/>
      <c r="AC39" s="51">
        <v>3</v>
      </c>
      <c r="AD39" s="51"/>
      <c r="AE39" s="51"/>
      <c r="AF39" s="51"/>
      <c r="AG39" s="51"/>
      <c r="AH39" s="51"/>
      <c r="AI39" s="54"/>
      <c r="AJ39" s="57"/>
      <c r="AK39" s="54"/>
      <c r="AL39" s="65">
        <f t="shared" si="5"/>
        <v>3</v>
      </c>
      <c r="AM39" s="22" t="str">
        <f t="shared" si="2"/>
        <v>OK</v>
      </c>
    </row>
    <row r="40" spans="1:39" customFormat="1" hidden="1">
      <c r="A40" s="68" t="s">
        <v>80</v>
      </c>
      <c r="B40" s="78">
        <v>10127</v>
      </c>
      <c r="C40" s="23" t="s">
        <v>58</v>
      </c>
      <c r="D40" s="24"/>
      <c r="E40" s="24"/>
      <c r="F40" s="24"/>
      <c r="G40" s="25"/>
      <c r="H40" s="136"/>
      <c r="I40" s="27">
        <f t="shared" si="3"/>
        <v>0</v>
      </c>
      <c r="J40" s="27"/>
      <c r="K40" s="16"/>
      <c r="L40" s="27"/>
      <c r="M40" s="27"/>
      <c r="N40" s="27"/>
      <c r="O40" s="27"/>
      <c r="P40" s="27"/>
      <c r="Q40" s="27"/>
      <c r="R40" s="27"/>
      <c r="S40" s="27"/>
      <c r="T40" s="43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5"/>
      <c r="AJ40" s="58"/>
      <c r="AK40" s="55"/>
      <c r="AL40" s="66">
        <f t="shared" si="5"/>
        <v>0</v>
      </c>
      <c r="AM40" s="28" t="str">
        <f t="shared" si="2"/>
        <v>OK</v>
      </c>
    </row>
    <row r="41" spans="1:39" customFormat="1" hidden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135"/>
      <c r="I41" s="21">
        <f t="shared" si="3"/>
        <v>0</v>
      </c>
      <c r="J41" s="21"/>
      <c r="K41" s="16"/>
      <c r="L41" s="21"/>
      <c r="M41" s="21"/>
      <c r="N41" s="21"/>
      <c r="O41" s="21"/>
      <c r="P41" s="21"/>
      <c r="Q41" s="21"/>
      <c r="R41" s="21"/>
      <c r="S41" s="21"/>
      <c r="T41" s="4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4"/>
      <c r="AJ41" s="57"/>
      <c r="AK41" s="54"/>
      <c r="AL41" s="65">
        <f t="shared" si="5"/>
        <v>0</v>
      </c>
      <c r="AM41" s="22" t="str">
        <f t="shared" si="2"/>
        <v>OK</v>
      </c>
    </row>
    <row r="42" spans="1:39" customFormat="1" hidden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136"/>
      <c r="I42" s="27">
        <f t="shared" si="3"/>
        <v>0</v>
      </c>
      <c r="J42" s="27"/>
      <c r="K42" s="16"/>
      <c r="L42" s="27"/>
      <c r="M42" s="27"/>
      <c r="N42" s="27"/>
      <c r="O42" s="27"/>
      <c r="P42" s="27"/>
      <c r="Q42" s="27"/>
      <c r="R42" s="27"/>
      <c r="S42" s="27"/>
      <c r="T42" s="43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5"/>
      <c r="AJ42" s="58"/>
      <c r="AK42" s="55"/>
      <c r="AL42" s="66">
        <f t="shared" si="5"/>
        <v>0</v>
      </c>
      <c r="AM42" s="28" t="str">
        <f t="shared" si="2"/>
        <v>OK</v>
      </c>
    </row>
    <row r="43" spans="1:39" customFormat="1" hidden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135"/>
      <c r="I43" s="21">
        <f t="shared" si="3"/>
        <v>0</v>
      </c>
      <c r="J43" s="21"/>
      <c r="K43" s="16"/>
      <c r="L43" s="21"/>
      <c r="M43" s="21"/>
      <c r="N43" s="21"/>
      <c r="O43" s="21"/>
      <c r="P43" s="21"/>
      <c r="Q43" s="21"/>
      <c r="R43" s="21"/>
      <c r="S43" s="21"/>
      <c r="T43" s="42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4"/>
      <c r="AJ43" s="57"/>
      <c r="AK43" s="54"/>
      <c r="AL43" s="65">
        <f t="shared" si="5"/>
        <v>0</v>
      </c>
      <c r="AM43" s="22" t="str">
        <f t="shared" si="2"/>
        <v>OK</v>
      </c>
    </row>
    <row r="44" spans="1:39" customFormat="1" hidden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136"/>
      <c r="I44" s="27">
        <f t="shared" si="3"/>
        <v>0</v>
      </c>
      <c r="J44" s="27"/>
      <c r="K44" s="16"/>
      <c r="L44" s="27"/>
      <c r="M44" s="27"/>
      <c r="N44" s="27"/>
      <c r="O44" s="27"/>
      <c r="P44" s="27"/>
      <c r="Q44" s="27"/>
      <c r="R44" s="27"/>
      <c r="S44" s="27"/>
      <c r="T44" s="43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5"/>
      <c r="AJ44" s="58"/>
      <c r="AK44" s="55"/>
      <c r="AL44" s="66">
        <f t="shared" si="5"/>
        <v>0</v>
      </c>
      <c r="AM44" s="28" t="str">
        <f t="shared" si="2"/>
        <v>OK</v>
      </c>
    </row>
    <row r="45" spans="1:39" customFormat="1" hidden="1">
      <c r="A45" s="17" t="s">
        <v>107</v>
      </c>
      <c r="B45" s="77">
        <v>13467</v>
      </c>
      <c r="C45" s="17" t="s">
        <v>87</v>
      </c>
      <c r="D45" s="69"/>
      <c r="E45" s="18"/>
      <c r="F45" s="18"/>
      <c r="G45" s="19"/>
      <c r="H45" s="135"/>
      <c r="I45" s="21">
        <f t="shared" si="3"/>
        <v>0</v>
      </c>
      <c r="J45" s="21"/>
      <c r="K45" s="16"/>
      <c r="L45" s="21"/>
      <c r="M45" s="21"/>
      <c r="N45" s="21"/>
      <c r="O45" s="21"/>
      <c r="P45" s="21"/>
      <c r="Q45" s="21"/>
      <c r="R45" s="21"/>
      <c r="S45" s="21"/>
      <c r="T45" s="4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4"/>
      <c r="AJ45" s="57"/>
      <c r="AK45" s="54"/>
      <c r="AL45" s="65">
        <f t="shared" si="5"/>
        <v>0</v>
      </c>
      <c r="AM45" s="22" t="str">
        <f t="shared" si="2"/>
        <v>OK</v>
      </c>
    </row>
    <row r="46" spans="1:39" customFormat="1" hidden="1">
      <c r="A46" s="68" t="s">
        <v>111</v>
      </c>
      <c r="B46" s="78">
        <v>15948</v>
      </c>
      <c r="C46" s="23" t="s">
        <v>87</v>
      </c>
      <c r="D46" s="24"/>
      <c r="E46" s="24"/>
      <c r="F46" s="24"/>
      <c r="G46" s="25"/>
      <c r="H46" s="136"/>
      <c r="I46" s="27">
        <f t="shared" si="3"/>
        <v>0</v>
      </c>
      <c r="J46" s="27"/>
      <c r="K46" s="16"/>
      <c r="L46" s="27"/>
      <c r="M46" s="27"/>
      <c r="N46" s="27"/>
      <c r="O46" s="27"/>
      <c r="P46" s="27"/>
      <c r="Q46" s="27"/>
      <c r="R46" s="27"/>
      <c r="S46" s="27"/>
      <c r="T46" s="43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5"/>
      <c r="AJ46" s="58"/>
      <c r="AK46" s="55"/>
      <c r="AL46" s="66">
        <f t="shared" si="5"/>
        <v>0</v>
      </c>
      <c r="AM46" s="28" t="str">
        <f t="shared" si="2"/>
        <v>OK</v>
      </c>
    </row>
    <row r="47" spans="1:39" customFormat="1" hidden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135"/>
      <c r="I47" s="21">
        <f t="shared" si="3"/>
        <v>0</v>
      </c>
      <c r="J47" s="21"/>
      <c r="K47" s="16"/>
      <c r="L47" s="21"/>
      <c r="M47" s="21"/>
      <c r="N47" s="21"/>
      <c r="O47" s="21"/>
      <c r="P47" s="21"/>
      <c r="Q47" s="21"/>
      <c r="R47" s="21"/>
      <c r="S47" s="21"/>
      <c r="T47" s="42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4"/>
      <c r="AJ47" s="57"/>
      <c r="AK47" s="54"/>
      <c r="AL47" s="65">
        <f t="shared" si="5"/>
        <v>0</v>
      </c>
      <c r="AM47" s="22" t="str">
        <f t="shared" si="2"/>
        <v>OK</v>
      </c>
    </row>
    <row r="48" spans="1:39" customFormat="1" hidden="1">
      <c r="A48" s="68" t="s">
        <v>121</v>
      </c>
      <c r="B48" s="78"/>
      <c r="C48" s="23" t="s">
        <v>87</v>
      </c>
      <c r="D48" s="24"/>
      <c r="E48" s="24"/>
      <c r="F48" s="24"/>
      <c r="G48" s="25"/>
      <c r="H48" s="136"/>
      <c r="I48" s="27">
        <f t="shared" si="3"/>
        <v>0</v>
      </c>
      <c r="J48" s="27"/>
      <c r="K48" s="16"/>
      <c r="L48" s="27"/>
      <c r="M48" s="27"/>
      <c r="N48" s="27"/>
      <c r="O48" s="27"/>
      <c r="P48" s="27"/>
      <c r="Q48" s="27"/>
      <c r="R48" s="27"/>
      <c r="S48" s="27"/>
      <c r="T48" s="43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5"/>
      <c r="AJ48" s="58"/>
      <c r="AK48" s="55"/>
      <c r="AL48" s="66">
        <f t="shared" si="5"/>
        <v>0</v>
      </c>
      <c r="AM48" s="28" t="str">
        <f t="shared" si="2"/>
        <v>OK</v>
      </c>
    </row>
    <row r="49" spans="1:39" customFormat="1" hidden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135"/>
      <c r="I49" s="21">
        <f t="shared" si="3"/>
        <v>0</v>
      </c>
      <c r="J49" s="21"/>
      <c r="K49" s="16"/>
      <c r="L49" s="21"/>
      <c r="M49" s="21"/>
      <c r="N49" s="21"/>
      <c r="O49" s="21"/>
      <c r="P49" s="21"/>
      <c r="Q49" s="21"/>
      <c r="R49" s="21"/>
      <c r="S49" s="21"/>
      <c r="T49" s="4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4"/>
      <c r="AJ49" s="57"/>
      <c r="AK49" s="54"/>
      <c r="AL49" s="65">
        <f t="shared" si="5"/>
        <v>0</v>
      </c>
      <c r="AM49" s="22" t="str">
        <f t="shared" si="2"/>
        <v>OK</v>
      </c>
    </row>
    <row r="50" spans="1:39" customFormat="1" hidden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136"/>
      <c r="I50" s="27">
        <f t="shared" si="3"/>
        <v>0</v>
      </c>
      <c r="J50" s="27"/>
      <c r="K50" s="16"/>
      <c r="L50" s="27"/>
      <c r="M50" s="27"/>
      <c r="N50" s="27"/>
      <c r="O50" s="27"/>
      <c r="P50" s="27"/>
      <c r="Q50" s="27"/>
      <c r="R50" s="27"/>
      <c r="S50" s="27"/>
      <c r="T50" s="43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8"/>
      <c r="AK50" s="55"/>
      <c r="AL50" s="66">
        <f t="shared" si="5"/>
        <v>0</v>
      </c>
      <c r="AM50" s="28" t="str">
        <f t="shared" si="2"/>
        <v>OK</v>
      </c>
    </row>
    <row r="51" spans="1:39" customFormat="1" hidden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135"/>
      <c r="I51" s="21">
        <f t="shared" si="3"/>
        <v>0</v>
      </c>
      <c r="J51" s="21"/>
      <c r="K51" s="16"/>
      <c r="L51" s="21"/>
      <c r="M51" s="21"/>
      <c r="N51" s="21"/>
      <c r="O51" s="21"/>
      <c r="P51" s="21"/>
      <c r="Q51" s="21"/>
      <c r="R51" s="21"/>
      <c r="S51" s="21"/>
      <c r="T51" s="4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4"/>
      <c r="AJ51" s="57"/>
      <c r="AK51" s="54"/>
      <c r="AL51" s="65">
        <f>SUM(L51:AK51)</f>
        <v>0</v>
      </c>
      <c r="AM51" s="22" t="str">
        <f t="shared" si="2"/>
        <v>OK</v>
      </c>
    </row>
    <row r="52" spans="1:39" customFormat="1" hidden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136"/>
      <c r="I52" s="27">
        <f t="shared" si="3"/>
        <v>0</v>
      </c>
      <c r="J52" s="27"/>
      <c r="K52" s="16"/>
      <c r="L52" s="27"/>
      <c r="M52" s="27"/>
      <c r="N52" s="27"/>
      <c r="O52" s="27"/>
      <c r="P52" s="27"/>
      <c r="Q52" s="27"/>
      <c r="R52" s="27"/>
      <c r="S52" s="27"/>
      <c r="T52" s="43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5"/>
      <c r="AJ52" s="58"/>
      <c r="AK52" s="55"/>
      <c r="AL52" s="66">
        <f t="shared" ref="AL52:AL64" si="6">SUM(L52:AK52)</f>
        <v>0</v>
      </c>
      <c r="AM52" s="28" t="str">
        <f t="shared" si="2"/>
        <v>OK</v>
      </c>
    </row>
    <row r="53" spans="1:39" customFormat="1" hidden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135"/>
      <c r="I53" s="21">
        <f t="shared" si="3"/>
        <v>0</v>
      </c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42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4"/>
      <c r="AJ53" s="57"/>
      <c r="AK53" s="54"/>
      <c r="AL53" s="65">
        <f t="shared" si="6"/>
        <v>0</v>
      </c>
      <c r="AM53" s="22" t="str">
        <f t="shared" si="2"/>
        <v>OK</v>
      </c>
    </row>
    <row r="54" spans="1:39" customFormat="1" hidden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136"/>
      <c r="I54" s="27">
        <f t="shared" si="3"/>
        <v>0</v>
      </c>
      <c r="J54" s="27"/>
      <c r="K54" s="16"/>
      <c r="L54" s="27"/>
      <c r="M54" s="27"/>
      <c r="N54" s="27"/>
      <c r="O54" s="27"/>
      <c r="P54" s="27"/>
      <c r="Q54" s="27"/>
      <c r="R54" s="27"/>
      <c r="S54" s="27"/>
      <c r="T54" s="43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5"/>
      <c r="AJ54" s="58"/>
      <c r="AK54" s="55"/>
      <c r="AL54" s="66">
        <f t="shared" si="6"/>
        <v>0</v>
      </c>
      <c r="AM54" s="28" t="str">
        <f t="shared" si="2"/>
        <v>OK</v>
      </c>
    </row>
    <row r="55" spans="1:39" customFormat="1" hidden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135"/>
      <c r="I55" s="21">
        <f t="shared" si="3"/>
        <v>0</v>
      </c>
      <c r="J55" s="21"/>
      <c r="K55" s="16"/>
      <c r="L55" s="21"/>
      <c r="M55" s="21"/>
      <c r="N55" s="21"/>
      <c r="O55" s="21"/>
      <c r="P55" s="21"/>
      <c r="Q55" s="21"/>
      <c r="R55" s="21"/>
      <c r="S55" s="21"/>
      <c r="T55" s="42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4"/>
      <c r="AJ55" s="57"/>
      <c r="AK55" s="54"/>
      <c r="AL55" s="65">
        <f t="shared" si="6"/>
        <v>0</v>
      </c>
      <c r="AM55" s="22" t="str">
        <f t="shared" si="2"/>
        <v>OK</v>
      </c>
    </row>
    <row r="56" spans="1:39" customFormat="1" hidden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136"/>
      <c r="I56" s="27">
        <f t="shared" si="3"/>
        <v>0</v>
      </c>
      <c r="J56" s="27"/>
      <c r="K56" s="16"/>
      <c r="L56" s="27"/>
      <c r="M56" s="27"/>
      <c r="N56" s="27"/>
      <c r="O56" s="27"/>
      <c r="P56" s="27"/>
      <c r="Q56" s="27"/>
      <c r="R56" s="27"/>
      <c r="S56" s="27"/>
      <c r="T56" s="43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5"/>
      <c r="AJ56" s="58"/>
      <c r="AK56" s="55"/>
      <c r="AL56" s="66">
        <f t="shared" si="6"/>
        <v>0</v>
      </c>
      <c r="AM56" s="28" t="str">
        <f t="shared" si="2"/>
        <v>OK</v>
      </c>
    </row>
    <row r="57" spans="1:39" customFormat="1" hidden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135"/>
      <c r="I57" s="21">
        <f t="shared" si="3"/>
        <v>0</v>
      </c>
      <c r="J57" s="21"/>
      <c r="K57" s="16"/>
      <c r="L57" s="21"/>
      <c r="M57" s="21"/>
      <c r="N57" s="21"/>
      <c r="O57" s="21"/>
      <c r="P57" s="21"/>
      <c r="Q57" s="21"/>
      <c r="R57" s="21"/>
      <c r="S57" s="21"/>
      <c r="T57" s="42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4"/>
      <c r="AJ57" s="57"/>
      <c r="AK57" s="54"/>
      <c r="AL57" s="65">
        <f t="shared" si="6"/>
        <v>0</v>
      </c>
      <c r="AM57" s="22" t="str">
        <f t="shared" si="2"/>
        <v>OK</v>
      </c>
    </row>
    <row r="58" spans="1:39" customFormat="1" hidden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136"/>
      <c r="I58" s="27">
        <f t="shared" si="3"/>
        <v>0</v>
      </c>
      <c r="J58" s="27"/>
      <c r="K58" s="16"/>
      <c r="L58" s="27"/>
      <c r="M58" s="27"/>
      <c r="N58" s="27"/>
      <c r="O58" s="27"/>
      <c r="P58" s="27"/>
      <c r="Q58" s="27"/>
      <c r="R58" s="27"/>
      <c r="S58" s="27"/>
      <c r="T58" s="43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5"/>
      <c r="AJ58" s="58"/>
      <c r="AK58" s="55"/>
      <c r="AL58" s="66">
        <f t="shared" si="6"/>
        <v>0</v>
      </c>
      <c r="AM58" s="28" t="str">
        <f t="shared" si="2"/>
        <v>OK</v>
      </c>
    </row>
    <row r="59" spans="1:39" customFormat="1" hidden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135"/>
      <c r="I59" s="21">
        <f t="shared" si="3"/>
        <v>0</v>
      </c>
      <c r="J59" s="21"/>
      <c r="K59" s="16"/>
      <c r="L59" s="21"/>
      <c r="M59" s="21"/>
      <c r="N59" s="21"/>
      <c r="O59" s="21"/>
      <c r="P59" s="21"/>
      <c r="Q59" s="21"/>
      <c r="R59" s="21"/>
      <c r="S59" s="21"/>
      <c r="T59" s="4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4"/>
      <c r="AJ59" s="57"/>
      <c r="AK59" s="54"/>
      <c r="AL59" s="65">
        <f t="shared" si="6"/>
        <v>0</v>
      </c>
      <c r="AM59" s="22" t="str">
        <f t="shared" si="2"/>
        <v>OK</v>
      </c>
    </row>
    <row r="60" spans="1:39" customFormat="1" hidden="1">
      <c r="A60" s="68" t="s">
        <v>84</v>
      </c>
      <c r="B60" s="78">
        <v>11380</v>
      </c>
      <c r="C60" s="23" t="s">
        <v>147</v>
      </c>
      <c r="D60" s="24"/>
      <c r="E60" s="24"/>
      <c r="F60" s="24"/>
      <c r="G60" s="25"/>
      <c r="H60" s="136"/>
      <c r="I60" s="27">
        <f t="shared" si="3"/>
        <v>0</v>
      </c>
      <c r="J60" s="27"/>
      <c r="K60" s="16"/>
      <c r="L60" s="27"/>
      <c r="M60" s="27"/>
      <c r="N60" s="27"/>
      <c r="O60" s="27"/>
      <c r="P60" s="27"/>
      <c r="Q60" s="27"/>
      <c r="R60" s="27"/>
      <c r="S60" s="27"/>
      <c r="T60" s="43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5"/>
      <c r="AJ60" s="58"/>
      <c r="AK60" s="55"/>
      <c r="AL60" s="66">
        <f t="shared" si="6"/>
        <v>0</v>
      </c>
      <c r="AM60" s="28" t="str">
        <f t="shared" si="2"/>
        <v>OK</v>
      </c>
    </row>
    <row r="61" spans="1:39" customFormat="1" hidden="1">
      <c r="A61" s="80" t="s">
        <v>112</v>
      </c>
      <c r="B61" s="77">
        <v>18518</v>
      </c>
      <c r="C61" s="17" t="s">
        <v>87</v>
      </c>
      <c r="D61" s="69"/>
      <c r="E61" s="18"/>
      <c r="F61" s="18"/>
      <c r="G61" s="19"/>
      <c r="H61" s="135">
        <f>1008+1008</f>
        <v>2016</v>
      </c>
      <c r="I61" s="21">
        <f t="shared" si="3"/>
        <v>0</v>
      </c>
      <c r="J61" s="21"/>
      <c r="K61" s="16"/>
      <c r="L61" s="21"/>
      <c r="M61" s="21"/>
      <c r="N61" s="21"/>
      <c r="O61" s="21"/>
      <c r="P61" s="21"/>
      <c r="Q61" s="21"/>
      <c r="R61" s="21"/>
      <c r="S61" s="21"/>
      <c r="T61" s="4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4"/>
      <c r="AJ61" s="57"/>
      <c r="AK61" s="54"/>
      <c r="AL61" s="65">
        <f t="shared" si="6"/>
        <v>0</v>
      </c>
      <c r="AM61" s="22" t="str">
        <f t="shared" si="2"/>
        <v>OK</v>
      </c>
    </row>
    <row r="62" spans="1:39" customFormat="1" hidden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136">
        <v>1006</v>
      </c>
      <c r="I62" s="27">
        <f t="shared" si="3"/>
        <v>0</v>
      </c>
      <c r="J62" s="27"/>
      <c r="K62" s="16"/>
      <c r="L62" s="27"/>
      <c r="M62" s="27"/>
      <c r="N62" s="27"/>
      <c r="O62" s="27"/>
      <c r="P62" s="27"/>
      <c r="Q62" s="27"/>
      <c r="R62" s="27"/>
      <c r="S62" s="27"/>
      <c r="T62" s="43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5"/>
      <c r="AJ62" s="58"/>
      <c r="AK62" s="55"/>
      <c r="AL62" s="66">
        <f t="shared" si="6"/>
        <v>0</v>
      </c>
      <c r="AM62" s="28" t="str">
        <f t="shared" si="2"/>
        <v>OK</v>
      </c>
    </row>
    <row r="63" spans="1:39" customFormat="1" hidden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135"/>
      <c r="I63" s="21">
        <f t="shared" si="3"/>
        <v>0</v>
      </c>
      <c r="J63" s="21"/>
      <c r="K63" s="16"/>
      <c r="L63" s="21"/>
      <c r="M63" s="21"/>
      <c r="N63" s="21"/>
      <c r="O63" s="21"/>
      <c r="P63" s="21"/>
      <c r="Q63" s="21"/>
      <c r="R63" s="21"/>
      <c r="S63" s="21"/>
      <c r="T63" s="4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4"/>
      <c r="AJ63" s="57"/>
      <c r="AK63" s="54"/>
      <c r="AL63" s="65">
        <f t="shared" si="6"/>
        <v>0</v>
      </c>
      <c r="AM63" s="22" t="str">
        <f t="shared" si="2"/>
        <v>OK</v>
      </c>
    </row>
    <row r="64" spans="1:39" customFormat="1" hidden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136">
        <f>540+930+360+840+1090</f>
        <v>3760</v>
      </c>
      <c r="I64" s="27">
        <f t="shared" si="3"/>
        <v>0</v>
      </c>
      <c r="J64" s="27"/>
      <c r="K64" s="16"/>
      <c r="L64" s="27"/>
      <c r="M64" s="27"/>
      <c r="N64" s="27"/>
      <c r="O64" s="27"/>
      <c r="P64" s="27"/>
      <c r="Q64" s="27"/>
      <c r="R64" s="27"/>
      <c r="S64" s="27"/>
      <c r="T64" s="43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5"/>
      <c r="AJ64" s="58"/>
      <c r="AK64" s="55"/>
      <c r="AL64" s="66">
        <f t="shared" si="6"/>
        <v>0</v>
      </c>
      <c r="AM64" s="28" t="str">
        <f t="shared" si="2"/>
        <v>OK</v>
      </c>
    </row>
    <row r="65" spans="1:39" customFormat="1" hidden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135"/>
      <c r="I65" s="21">
        <f t="shared" si="3"/>
        <v>0</v>
      </c>
      <c r="J65" s="21"/>
      <c r="K65" s="16"/>
      <c r="L65" s="21"/>
      <c r="M65" s="21"/>
      <c r="N65" s="21"/>
      <c r="O65" s="21"/>
      <c r="P65" s="21"/>
      <c r="Q65" s="21"/>
      <c r="R65" s="21"/>
      <c r="S65" s="21"/>
      <c r="T65" s="4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4"/>
      <c r="AJ65" s="57"/>
      <c r="AK65" s="54"/>
      <c r="AL65" s="65">
        <f t="shared" si="4"/>
        <v>0</v>
      </c>
      <c r="AM65" s="22" t="str">
        <f t="shared" si="2"/>
        <v>OK</v>
      </c>
    </row>
    <row r="66" spans="1:39" customFormat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136">
        <f>1000+3840</f>
        <v>4840</v>
      </c>
      <c r="I66" s="27">
        <f t="shared" si="3"/>
        <v>7</v>
      </c>
      <c r="J66" s="27"/>
      <c r="K66" s="16"/>
      <c r="L66" s="27">
        <v>3</v>
      </c>
      <c r="M66" s="27"/>
      <c r="N66" s="27"/>
      <c r="O66" s="27"/>
      <c r="P66" s="27">
        <v>4</v>
      </c>
      <c r="Q66" s="27"/>
      <c r="R66" s="27"/>
      <c r="S66" s="27"/>
      <c r="T66" s="43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5"/>
      <c r="AJ66" s="58"/>
      <c r="AK66" s="55"/>
      <c r="AL66" s="66">
        <f t="shared" si="4"/>
        <v>7</v>
      </c>
      <c r="AM66" s="28" t="str">
        <f t="shared" si="2"/>
        <v>OK</v>
      </c>
    </row>
    <row r="67" spans="1:39" customFormat="1" hidden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135">
        <v>310</v>
      </c>
      <c r="I67" s="21">
        <f t="shared" si="3"/>
        <v>0</v>
      </c>
      <c r="J67" s="21"/>
      <c r="K67" s="16"/>
      <c r="L67" s="21"/>
      <c r="M67" s="21"/>
      <c r="N67" s="21"/>
      <c r="O67" s="21"/>
      <c r="P67" s="21"/>
      <c r="Q67" s="21"/>
      <c r="R67" s="21"/>
      <c r="S67" s="21"/>
      <c r="T67" s="4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4"/>
      <c r="AJ67" s="57"/>
      <c r="AK67" s="54"/>
      <c r="AL67" s="65">
        <f t="shared" si="4"/>
        <v>0</v>
      </c>
      <c r="AM67" s="22" t="str">
        <f t="shared" si="2"/>
        <v>OK</v>
      </c>
    </row>
    <row r="68" spans="1:39" customFormat="1" hidden="1">
      <c r="A68" s="81" t="s">
        <v>132</v>
      </c>
      <c r="B68" s="78">
        <v>20269</v>
      </c>
      <c r="C68" s="23" t="s">
        <v>131</v>
      </c>
      <c r="D68" s="24"/>
      <c r="E68" s="24"/>
      <c r="F68" s="24"/>
      <c r="G68" s="25"/>
      <c r="H68" s="136"/>
      <c r="I68" s="27">
        <f t="shared" si="3"/>
        <v>0</v>
      </c>
      <c r="J68" s="27"/>
      <c r="K68" s="16"/>
      <c r="L68" s="27"/>
      <c r="M68" s="27"/>
      <c r="N68" s="27"/>
      <c r="O68" s="27"/>
      <c r="P68" s="27"/>
      <c r="Q68" s="27"/>
      <c r="R68" s="27"/>
      <c r="S68" s="27"/>
      <c r="T68" s="43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5"/>
      <c r="AJ68" s="58"/>
      <c r="AK68" s="55"/>
      <c r="AL68" s="66">
        <f t="shared" si="4"/>
        <v>0</v>
      </c>
      <c r="AM68" s="28" t="str">
        <f t="shared" si="2"/>
        <v>OK</v>
      </c>
    </row>
    <row r="69" spans="1:39" customFormat="1" hidden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135"/>
      <c r="I69" s="21">
        <f t="shared" si="3"/>
        <v>0</v>
      </c>
      <c r="J69" s="21"/>
      <c r="K69" s="16"/>
      <c r="L69" s="21"/>
      <c r="M69" s="21"/>
      <c r="N69" s="21"/>
      <c r="O69" s="21"/>
      <c r="P69" s="21"/>
      <c r="Q69" s="21"/>
      <c r="R69" s="21"/>
      <c r="S69" s="21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7"/>
      <c r="AK69" s="54"/>
      <c r="AL69" s="65">
        <f t="shared" si="4"/>
        <v>0</v>
      </c>
      <c r="AM69" s="22" t="str">
        <f t="shared" si="2"/>
        <v>OK</v>
      </c>
    </row>
    <row r="70" spans="1:39" customFormat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136">
        <v>540</v>
      </c>
      <c r="I70" s="27">
        <f t="shared" si="3"/>
        <v>1</v>
      </c>
      <c r="J70" s="27"/>
      <c r="K70" s="16"/>
      <c r="L70" s="27"/>
      <c r="M70" s="27"/>
      <c r="N70" s="27"/>
      <c r="O70" s="27"/>
      <c r="P70" s="27"/>
      <c r="Q70" s="27"/>
      <c r="R70" s="27"/>
      <c r="S70" s="27"/>
      <c r="T70" s="43"/>
      <c r="U70" s="52"/>
      <c r="V70" s="52"/>
      <c r="W70" s="52"/>
      <c r="X70" s="52"/>
      <c r="Y70" s="52"/>
      <c r="Z70" s="52"/>
      <c r="AA70" s="52"/>
      <c r="AB70" s="52"/>
      <c r="AC70" s="52">
        <v>1</v>
      </c>
      <c r="AD70" s="52"/>
      <c r="AE70" s="52"/>
      <c r="AF70" s="52"/>
      <c r="AG70" s="52"/>
      <c r="AH70" s="52"/>
      <c r="AI70" s="55"/>
      <c r="AJ70" s="58"/>
      <c r="AK70" s="55"/>
      <c r="AL70" s="66">
        <f t="shared" si="4"/>
        <v>1</v>
      </c>
      <c r="AM70" s="28" t="str">
        <f t="shared" si="2"/>
        <v>OK</v>
      </c>
    </row>
    <row r="71" spans="1:39" customFormat="1" ht="17.25" thickBot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135">
        <v>1006</v>
      </c>
      <c r="I71" s="21">
        <f t="shared" ref="I71:I96" si="7">SUM(L71:AK71)</f>
        <v>4</v>
      </c>
      <c r="J71" s="21"/>
      <c r="K71" s="16"/>
      <c r="L71" s="21"/>
      <c r="M71" s="21"/>
      <c r="N71" s="21"/>
      <c r="O71" s="21"/>
      <c r="P71" s="21"/>
      <c r="Q71" s="21"/>
      <c r="R71" s="21"/>
      <c r="S71" s="21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4">
        <v>4</v>
      </c>
      <c r="AJ71" s="57"/>
      <c r="AK71" s="54"/>
      <c r="AL71" s="65">
        <f t="shared" si="4"/>
        <v>4</v>
      </c>
      <c r="AM71" s="22" t="str">
        <f t="shared" si="2"/>
        <v>OK</v>
      </c>
    </row>
    <row r="72" spans="1:39" customFormat="1" ht="17.25" hidden="1" thickBot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136"/>
      <c r="I72" s="27">
        <f t="shared" si="7"/>
        <v>0</v>
      </c>
      <c r="J72" s="27"/>
      <c r="K72" s="16"/>
      <c r="L72" s="27"/>
      <c r="M72" s="27"/>
      <c r="N72" s="27"/>
      <c r="O72" s="27"/>
      <c r="P72" s="27"/>
      <c r="Q72" s="27"/>
      <c r="R72" s="27"/>
      <c r="S72" s="27"/>
      <c r="T72" s="43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5"/>
      <c r="AJ72" s="58"/>
      <c r="AK72" s="55"/>
      <c r="AL72" s="66">
        <f t="shared" si="4"/>
        <v>0</v>
      </c>
      <c r="AM72" s="28" t="str">
        <f t="shared" si="2"/>
        <v>OK</v>
      </c>
    </row>
    <row r="73" spans="1:39" customFormat="1" ht="17.25" hidden="1" thickBot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138"/>
      <c r="I73" s="101">
        <f t="shared" si="7"/>
        <v>0</v>
      </c>
      <c r="J73" s="21"/>
      <c r="K73" s="16"/>
      <c r="L73" s="21"/>
      <c r="M73" s="21"/>
      <c r="N73" s="21"/>
      <c r="O73" s="21"/>
      <c r="P73" s="21"/>
      <c r="Q73" s="21"/>
      <c r="R73" s="21"/>
      <c r="S73" s="21"/>
      <c r="T73" s="42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4"/>
      <c r="AJ73" s="57"/>
      <c r="AK73" s="54"/>
      <c r="AL73" s="65">
        <f t="shared" si="4"/>
        <v>0</v>
      </c>
      <c r="AM73" s="22" t="str">
        <f t="shared" si="2"/>
        <v>OK</v>
      </c>
    </row>
    <row r="74" spans="1:39" customFormat="1" ht="17.25" hidden="1" thickBot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139"/>
      <c r="I74" s="103">
        <f t="shared" si="7"/>
        <v>0</v>
      </c>
      <c r="J74" s="27"/>
      <c r="K74" s="16"/>
      <c r="L74" s="100"/>
      <c r="M74" s="100"/>
      <c r="N74" s="100"/>
      <c r="O74" s="100"/>
      <c r="P74" s="100"/>
      <c r="Q74" s="100"/>
      <c r="R74" s="100"/>
      <c r="S74" s="100"/>
      <c r="T74" s="109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1"/>
      <c r="AJ74" s="112"/>
      <c r="AK74" s="111"/>
      <c r="AL74" s="66">
        <f t="shared" si="4"/>
        <v>0</v>
      </c>
      <c r="AM74" s="28" t="str">
        <f t="shared" si="2"/>
        <v>OK</v>
      </c>
    </row>
    <row r="75" spans="1:39" ht="17.25" hidden="1" thickBot="1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40"/>
      <c r="I75" s="105">
        <f t="shared" si="7"/>
        <v>0</v>
      </c>
      <c r="J75" s="90"/>
      <c r="K75" s="91"/>
      <c r="L75" s="113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5"/>
      <c r="AL75" s="92">
        <f t="shared" ref="AL75:AL80" si="8">SUM(L75:AK75)</f>
        <v>0</v>
      </c>
      <c r="AM75" s="122" t="str">
        <f t="shared" ref="AM75:AM96" si="9">IF(AL75=I75,"OK","NG")</f>
        <v>OK</v>
      </c>
    </row>
    <row r="76" spans="1:39" ht="17.25" hidden="1" thickBot="1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139">
        <f>1320+360</f>
        <v>1680</v>
      </c>
      <c r="I76" s="106">
        <f t="shared" si="7"/>
        <v>0</v>
      </c>
      <c r="J76" s="85"/>
      <c r="K76" s="16"/>
      <c r="L76" s="1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8"/>
      <c r="AL76" s="66">
        <f t="shared" si="8"/>
        <v>0</v>
      </c>
      <c r="AM76" s="28" t="str">
        <f t="shared" si="9"/>
        <v>OK</v>
      </c>
    </row>
    <row r="77" spans="1:39" ht="17.25" hidden="1" thickBot="1">
      <c r="A77" s="87" t="s">
        <v>166</v>
      </c>
      <c r="B77" s="93">
        <v>13007</v>
      </c>
      <c r="C77" s="94" t="s">
        <v>164</v>
      </c>
      <c r="D77" s="88"/>
      <c r="E77" s="88"/>
      <c r="F77" s="88"/>
      <c r="G77" s="89"/>
      <c r="H77" s="140"/>
      <c r="I77" s="105">
        <f t="shared" si="7"/>
        <v>0</v>
      </c>
      <c r="J77" s="90"/>
      <c r="K77" s="91"/>
      <c r="L77" s="113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5"/>
      <c r="AL77" s="92">
        <f t="shared" si="8"/>
        <v>0</v>
      </c>
      <c r="AM77" s="122" t="str">
        <f t="shared" si="9"/>
        <v>OK</v>
      </c>
    </row>
    <row r="78" spans="1:39" ht="17.25" hidden="1" thickBot="1">
      <c r="A78" s="68"/>
      <c r="B78" s="78"/>
      <c r="C78" s="95"/>
      <c r="D78" s="83"/>
      <c r="E78" s="83"/>
      <c r="F78" s="83"/>
      <c r="G78" s="84"/>
      <c r="H78" s="102"/>
      <c r="I78" s="106">
        <f t="shared" si="7"/>
        <v>0</v>
      </c>
      <c r="J78" s="85"/>
      <c r="K78" s="16"/>
      <c r="L78" s="1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66">
        <f t="shared" si="8"/>
        <v>0</v>
      </c>
      <c r="AM78" s="28" t="str">
        <f t="shared" si="9"/>
        <v>OK</v>
      </c>
    </row>
    <row r="79" spans="1:39" ht="17.25" hidden="1" thickBot="1">
      <c r="A79" s="87"/>
      <c r="B79" s="93"/>
      <c r="C79" s="94"/>
      <c r="D79" s="88"/>
      <c r="E79" s="88"/>
      <c r="F79" s="88"/>
      <c r="G79" s="89"/>
      <c r="H79" s="104"/>
      <c r="I79" s="105">
        <f t="shared" si="7"/>
        <v>0</v>
      </c>
      <c r="J79" s="90"/>
      <c r="K79" s="91"/>
      <c r="L79" s="113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5"/>
      <c r="AL79" s="92">
        <f t="shared" si="8"/>
        <v>0</v>
      </c>
      <c r="AM79" s="122" t="str">
        <f t="shared" si="9"/>
        <v>OK</v>
      </c>
    </row>
    <row r="80" spans="1:39" ht="17.25" hidden="1" thickBot="1">
      <c r="A80" s="68"/>
      <c r="B80" s="78"/>
      <c r="C80" s="95"/>
      <c r="D80" s="83"/>
      <c r="E80" s="83"/>
      <c r="F80" s="83"/>
      <c r="G80" s="84"/>
      <c r="H80" s="102"/>
      <c r="I80" s="106">
        <f t="shared" si="7"/>
        <v>0</v>
      </c>
      <c r="J80" s="85"/>
      <c r="K80" s="16"/>
      <c r="L80" s="116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66">
        <f t="shared" si="8"/>
        <v>0</v>
      </c>
      <c r="AM80" s="28" t="str">
        <f t="shared" si="9"/>
        <v>OK</v>
      </c>
    </row>
    <row r="81" spans="1:39" ht="17.25" hidden="1" thickBot="1">
      <c r="A81" s="87"/>
      <c r="B81" s="93"/>
      <c r="C81" s="94"/>
      <c r="D81" s="88"/>
      <c r="E81" s="88"/>
      <c r="F81" s="88"/>
      <c r="G81" s="89"/>
      <c r="H81" s="104"/>
      <c r="I81" s="105">
        <f t="shared" si="7"/>
        <v>0</v>
      </c>
      <c r="J81" s="90"/>
      <c r="K81" s="91"/>
      <c r="L81" s="113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5"/>
      <c r="AL81" s="92">
        <f t="shared" ref="AL81:AL96" si="10">SUM(L81:AK81)</f>
        <v>0</v>
      </c>
      <c r="AM81" s="122" t="str">
        <f t="shared" si="9"/>
        <v>OK</v>
      </c>
    </row>
    <row r="82" spans="1:39" ht="17.25" hidden="1" thickBot="1">
      <c r="A82" s="68"/>
      <c r="B82" s="78"/>
      <c r="C82" s="95"/>
      <c r="D82" s="83"/>
      <c r="E82" s="83"/>
      <c r="F82" s="83"/>
      <c r="G82" s="84"/>
      <c r="H82" s="102"/>
      <c r="I82" s="106">
        <f t="shared" si="7"/>
        <v>0</v>
      </c>
      <c r="J82" s="85"/>
      <c r="K82" s="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66">
        <f t="shared" si="10"/>
        <v>0</v>
      </c>
      <c r="AM82" s="28" t="str">
        <f t="shared" si="9"/>
        <v>OK</v>
      </c>
    </row>
    <row r="83" spans="1:39" ht="17.25" hidden="1" thickBot="1">
      <c r="A83" s="96"/>
      <c r="B83" s="93"/>
      <c r="C83" s="94"/>
      <c r="D83" s="88"/>
      <c r="E83" s="88"/>
      <c r="F83" s="88"/>
      <c r="G83" s="89"/>
      <c r="H83" s="104"/>
      <c r="I83" s="105">
        <f t="shared" si="7"/>
        <v>0</v>
      </c>
      <c r="J83" s="90"/>
      <c r="K83" s="91"/>
      <c r="L83" s="113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5"/>
      <c r="AL83" s="92">
        <f t="shared" si="10"/>
        <v>0</v>
      </c>
      <c r="AM83" s="122" t="str">
        <f t="shared" si="9"/>
        <v>OK</v>
      </c>
    </row>
    <row r="84" spans="1:39" ht="17.25" hidden="1" thickBot="1">
      <c r="A84" s="68"/>
      <c r="B84" s="78"/>
      <c r="C84" s="95"/>
      <c r="D84" s="83"/>
      <c r="E84" s="83"/>
      <c r="F84" s="83"/>
      <c r="G84" s="84"/>
      <c r="H84" s="102"/>
      <c r="I84" s="106">
        <f t="shared" si="7"/>
        <v>0</v>
      </c>
      <c r="J84" s="85"/>
      <c r="K84" s="16"/>
      <c r="L84" s="116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66">
        <f t="shared" si="10"/>
        <v>0</v>
      </c>
      <c r="AM84" s="28" t="str">
        <f t="shared" si="9"/>
        <v>OK</v>
      </c>
    </row>
    <row r="85" spans="1:39" ht="17.25" hidden="1" thickBot="1">
      <c r="A85" s="87"/>
      <c r="B85" s="93"/>
      <c r="C85" s="94"/>
      <c r="D85" s="88"/>
      <c r="E85" s="88"/>
      <c r="F85" s="88"/>
      <c r="G85" s="89"/>
      <c r="H85" s="104"/>
      <c r="I85" s="105">
        <f t="shared" si="7"/>
        <v>0</v>
      </c>
      <c r="J85" s="90"/>
      <c r="K85" s="91"/>
      <c r="L85" s="113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5"/>
      <c r="AL85" s="92">
        <f t="shared" si="10"/>
        <v>0</v>
      </c>
      <c r="AM85" s="122" t="str">
        <f t="shared" si="9"/>
        <v>OK</v>
      </c>
    </row>
    <row r="86" spans="1:39" ht="17.25" hidden="1" thickBot="1">
      <c r="A86" s="68"/>
      <c r="B86" s="78"/>
      <c r="C86" s="95"/>
      <c r="D86" s="83"/>
      <c r="E86" s="83"/>
      <c r="F86" s="83"/>
      <c r="G86" s="84"/>
      <c r="H86" s="102"/>
      <c r="I86" s="106">
        <f t="shared" si="7"/>
        <v>0</v>
      </c>
      <c r="J86" s="85"/>
      <c r="K86" s="16"/>
      <c r="L86" s="116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66">
        <f t="shared" si="10"/>
        <v>0</v>
      </c>
      <c r="AM86" s="28" t="str">
        <f t="shared" si="9"/>
        <v>OK</v>
      </c>
    </row>
    <row r="87" spans="1:39" ht="17.25" hidden="1" thickBot="1">
      <c r="A87" s="87"/>
      <c r="B87" s="93"/>
      <c r="C87" s="94"/>
      <c r="D87" s="88"/>
      <c r="E87" s="88"/>
      <c r="F87" s="88"/>
      <c r="G87" s="89"/>
      <c r="H87" s="104"/>
      <c r="I87" s="105">
        <f t="shared" si="7"/>
        <v>0</v>
      </c>
      <c r="J87" s="90"/>
      <c r="K87" s="91"/>
      <c r="L87" s="113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5"/>
      <c r="AL87" s="92">
        <f t="shared" si="10"/>
        <v>0</v>
      </c>
      <c r="AM87" s="122" t="str">
        <f t="shared" si="9"/>
        <v>OK</v>
      </c>
    </row>
    <row r="88" spans="1:39" ht="17.25" hidden="1" thickBot="1">
      <c r="A88" s="68"/>
      <c r="B88" s="78"/>
      <c r="C88" s="95"/>
      <c r="D88" s="83"/>
      <c r="E88" s="83"/>
      <c r="F88" s="83"/>
      <c r="G88" s="84"/>
      <c r="H88" s="102"/>
      <c r="I88" s="106">
        <f t="shared" si="7"/>
        <v>0</v>
      </c>
      <c r="J88" s="85"/>
      <c r="K88" s="16"/>
      <c r="L88" s="116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66">
        <f t="shared" si="10"/>
        <v>0</v>
      </c>
      <c r="AM88" s="28" t="str">
        <f t="shared" si="9"/>
        <v>OK</v>
      </c>
    </row>
    <row r="89" spans="1:39" ht="17.25" hidden="1" thickBot="1">
      <c r="A89" s="87"/>
      <c r="B89" s="93"/>
      <c r="C89" s="94"/>
      <c r="D89" s="88"/>
      <c r="E89" s="88"/>
      <c r="F89" s="88"/>
      <c r="G89" s="89"/>
      <c r="H89" s="104"/>
      <c r="I89" s="105">
        <f t="shared" si="7"/>
        <v>0</v>
      </c>
      <c r="J89" s="90"/>
      <c r="K89" s="91"/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5"/>
      <c r="AL89" s="92">
        <f t="shared" si="10"/>
        <v>0</v>
      </c>
      <c r="AM89" s="122" t="str">
        <f t="shared" si="9"/>
        <v>OK</v>
      </c>
    </row>
    <row r="90" spans="1:39" ht="17.25" hidden="1" thickBot="1">
      <c r="A90" s="68"/>
      <c r="B90" s="78"/>
      <c r="C90" s="95"/>
      <c r="D90" s="83"/>
      <c r="E90" s="83"/>
      <c r="F90" s="83"/>
      <c r="G90" s="84"/>
      <c r="H90" s="102"/>
      <c r="I90" s="106">
        <f t="shared" si="7"/>
        <v>0</v>
      </c>
      <c r="J90" s="85"/>
      <c r="K90" s="16"/>
      <c r="L90" s="116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66">
        <f t="shared" si="10"/>
        <v>0</v>
      </c>
      <c r="AM90" s="28" t="str">
        <f t="shared" si="9"/>
        <v>OK</v>
      </c>
    </row>
    <row r="91" spans="1:39" ht="17.25" hidden="1" thickBot="1">
      <c r="A91" s="87"/>
      <c r="B91" s="93"/>
      <c r="C91" s="94"/>
      <c r="D91" s="88"/>
      <c r="E91" s="88"/>
      <c r="F91" s="88"/>
      <c r="G91" s="89"/>
      <c r="H91" s="104"/>
      <c r="I91" s="105">
        <f t="shared" si="7"/>
        <v>0</v>
      </c>
      <c r="J91" s="90"/>
      <c r="K91" s="91"/>
      <c r="L91" s="113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5"/>
      <c r="AL91" s="92">
        <f t="shared" si="10"/>
        <v>0</v>
      </c>
      <c r="AM91" s="122" t="str">
        <f t="shared" si="9"/>
        <v>OK</v>
      </c>
    </row>
    <row r="92" spans="1:39" ht="17.25" hidden="1" thickBot="1">
      <c r="A92" s="68"/>
      <c r="B92" s="78"/>
      <c r="C92" s="95"/>
      <c r="D92" s="83"/>
      <c r="E92" s="83"/>
      <c r="F92" s="83"/>
      <c r="G92" s="84"/>
      <c r="H92" s="102"/>
      <c r="I92" s="106">
        <f t="shared" si="7"/>
        <v>0</v>
      </c>
      <c r="J92" s="85"/>
      <c r="K92" s="16"/>
      <c r="L92" s="116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66">
        <f t="shared" si="10"/>
        <v>0</v>
      </c>
      <c r="AM92" s="28" t="str">
        <f t="shared" si="9"/>
        <v>OK</v>
      </c>
    </row>
    <row r="93" spans="1:39" ht="17.25" hidden="1" thickBot="1">
      <c r="A93" s="87"/>
      <c r="B93" s="93"/>
      <c r="C93" s="94"/>
      <c r="D93" s="88"/>
      <c r="E93" s="88"/>
      <c r="F93" s="88"/>
      <c r="G93" s="89"/>
      <c r="H93" s="104"/>
      <c r="I93" s="105">
        <f t="shared" si="7"/>
        <v>0</v>
      </c>
      <c r="J93" s="90"/>
      <c r="K93" s="91"/>
      <c r="L93" s="113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5"/>
      <c r="AL93" s="92">
        <f t="shared" si="10"/>
        <v>0</v>
      </c>
      <c r="AM93" s="122" t="str">
        <f t="shared" si="9"/>
        <v>OK</v>
      </c>
    </row>
    <row r="94" spans="1:39" ht="17.25" hidden="1" thickBot="1">
      <c r="A94" s="68"/>
      <c r="B94" s="78"/>
      <c r="C94" s="95"/>
      <c r="D94" s="83"/>
      <c r="E94" s="83"/>
      <c r="F94" s="83"/>
      <c r="G94" s="84"/>
      <c r="H94" s="102"/>
      <c r="I94" s="106">
        <f t="shared" si="7"/>
        <v>0</v>
      </c>
      <c r="J94" s="85"/>
      <c r="K94" s="16"/>
      <c r="L94" s="116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66">
        <f t="shared" si="10"/>
        <v>0</v>
      </c>
      <c r="AM94" s="28" t="str">
        <f t="shared" si="9"/>
        <v>OK</v>
      </c>
    </row>
    <row r="95" spans="1:39" ht="17.25" hidden="1" thickBot="1">
      <c r="A95" s="87"/>
      <c r="B95" s="93"/>
      <c r="C95" s="94"/>
      <c r="D95" s="88"/>
      <c r="E95" s="88"/>
      <c r="F95" s="88"/>
      <c r="G95" s="89"/>
      <c r="H95" s="104"/>
      <c r="I95" s="105">
        <f t="shared" si="7"/>
        <v>0</v>
      </c>
      <c r="J95" s="90"/>
      <c r="K95" s="91"/>
      <c r="L95" s="113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5"/>
      <c r="AL95" s="92">
        <f t="shared" si="10"/>
        <v>0</v>
      </c>
      <c r="AM95" s="122" t="str">
        <f t="shared" si="9"/>
        <v>OK</v>
      </c>
    </row>
    <row r="96" spans="1:39" ht="17.25" hidden="1" thickBot="1">
      <c r="A96" s="97"/>
      <c r="B96" s="98"/>
      <c r="C96" s="99"/>
      <c r="D96" s="83"/>
      <c r="E96" s="83"/>
      <c r="F96" s="83"/>
      <c r="G96" s="84"/>
      <c r="H96" s="107"/>
      <c r="I96" s="108">
        <f t="shared" si="7"/>
        <v>0</v>
      </c>
      <c r="J96" s="85"/>
      <c r="K96" s="16"/>
      <c r="L96" s="119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1"/>
      <c r="AL96" s="66">
        <f t="shared" si="10"/>
        <v>0</v>
      </c>
      <c r="AM96" s="28" t="str">
        <f t="shared" si="9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35645</v>
      </c>
      <c r="I97" s="46">
        <f>SUM(I6:I96)</f>
        <v>19</v>
      </c>
      <c r="J97" s="47">
        <f>SUM(J6:J74)</f>
        <v>0</v>
      </c>
      <c r="K97" s="9"/>
      <c r="L97" s="45">
        <f>SUM(L6:L96)</f>
        <v>3</v>
      </c>
      <c r="M97" s="45">
        <f t="shared" ref="M97:AI97" si="11">SUM(M6:M96)</f>
        <v>1</v>
      </c>
      <c r="N97" s="45">
        <f t="shared" si="11"/>
        <v>0</v>
      </c>
      <c r="O97" s="45">
        <f t="shared" si="11"/>
        <v>0</v>
      </c>
      <c r="P97" s="45">
        <f t="shared" si="11"/>
        <v>4</v>
      </c>
      <c r="Q97" s="45">
        <f t="shared" si="11"/>
        <v>0</v>
      </c>
      <c r="R97" s="45">
        <f t="shared" si="11"/>
        <v>0</v>
      </c>
      <c r="S97" s="45">
        <f t="shared" si="11"/>
        <v>0</v>
      </c>
      <c r="T97" s="45">
        <f t="shared" si="11"/>
        <v>0</v>
      </c>
      <c r="U97" s="45">
        <f t="shared" si="11"/>
        <v>0</v>
      </c>
      <c r="V97" s="45">
        <f t="shared" si="11"/>
        <v>0</v>
      </c>
      <c r="W97" s="45">
        <f t="shared" si="11"/>
        <v>0</v>
      </c>
      <c r="X97" s="45">
        <f t="shared" si="11"/>
        <v>0</v>
      </c>
      <c r="Y97" s="45">
        <f t="shared" si="11"/>
        <v>2</v>
      </c>
      <c r="Z97" s="45">
        <f t="shared" si="11"/>
        <v>0</v>
      </c>
      <c r="AA97" s="45">
        <f t="shared" si="11"/>
        <v>0</v>
      </c>
      <c r="AB97" s="45">
        <f t="shared" si="11"/>
        <v>0</v>
      </c>
      <c r="AC97" s="45">
        <f t="shared" si="11"/>
        <v>5</v>
      </c>
      <c r="AD97" s="45">
        <f t="shared" si="11"/>
        <v>0</v>
      </c>
      <c r="AE97" s="45">
        <f t="shared" si="11"/>
        <v>0</v>
      </c>
      <c r="AF97" s="45">
        <f t="shared" si="11"/>
        <v>0</v>
      </c>
      <c r="AG97" s="45">
        <f t="shared" si="11"/>
        <v>0</v>
      </c>
      <c r="AH97" s="45">
        <f t="shared" si="11"/>
        <v>0</v>
      </c>
      <c r="AI97" s="45">
        <f t="shared" si="11"/>
        <v>4</v>
      </c>
      <c r="AJ97" s="49">
        <f>SUM(AJ6:AJ96)</f>
        <v>0</v>
      </c>
      <c r="AK97" s="61">
        <f>SUM(AK6:AK96)</f>
        <v>0</v>
      </c>
      <c r="AL97" s="67">
        <f>SUM(AL6:AL96)</f>
        <v>19</v>
      </c>
      <c r="AM97" s="48" t="str">
        <f>IF(AL97=SUM(I97),"OK","NG")</f>
        <v>OK</v>
      </c>
    </row>
  </sheetData>
  <autoFilter ref="A5:AM97" xr:uid="{00000000-0001-0000-1700-000000000000}">
    <filterColumn colId="8">
      <filters>
        <filter val="1"/>
        <filter val="19"/>
        <filter val="3"/>
        <filter val="4"/>
        <filter val="7"/>
      </filters>
    </filterColumn>
  </autoFilter>
  <mergeCells count="37">
    <mergeCell ref="AM4:AM5"/>
    <mergeCell ref="AG4:AG5"/>
    <mergeCell ref="AH4:AH5"/>
    <mergeCell ref="AI4:AI5"/>
    <mergeCell ref="AJ4:AJ5"/>
    <mergeCell ref="AK4:AK5"/>
    <mergeCell ref="AL4:AL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B1:C1"/>
    <mergeCell ref="F1:G1"/>
    <mergeCell ref="H1:J3"/>
    <mergeCell ref="B2:C2"/>
    <mergeCell ref="AM2:AM3"/>
    <mergeCell ref="B3:C3"/>
  </mergeCells>
  <phoneticPr fontId="3" type="noConversion"/>
  <conditionalFormatting sqref="A4 AM6:AM97">
    <cfRule type="containsText" dxfId="23" priority="7" operator="containsText" text="NG">
      <formula>NOT(ISERROR(SEARCH("NG",A4)))</formula>
    </cfRule>
    <cfRule type="containsText" dxfId="22" priority="8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51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 filterMode="1">
    <pageSetUpPr fitToPage="1"/>
  </sheetPr>
  <dimension ref="A1:AM119"/>
  <sheetViews>
    <sheetView showGridLines="0" zoomScale="85" zoomScaleNormal="85" workbookViewId="0">
      <pane ySplit="5" topLeftCell="A22" activePane="bottomLeft" state="frozen"/>
      <selection activeCell="P19" sqref="P19"/>
      <selection pane="bottomLeft"/>
    </sheetView>
  </sheetViews>
  <sheetFormatPr defaultColWidth="9" defaultRowHeight="16.5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16" width="8.75"/>
    <col min="17" max="17" width="9.25" bestFit="1" customWidth="1"/>
    <col min="18" max="20" width="9" customWidth="1"/>
    <col min="21" max="26" width="8.75"/>
    <col min="27" max="27" width="9.875" bestFit="1" customWidth="1"/>
    <col min="28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5" customHeight="1" thickBot="1">
      <c r="A1" s="37" t="s">
        <v>13</v>
      </c>
      <c r="B1" s="168">
        <f>H97</f>
        <v>27786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5" customHeight="1" thickBot="1">
      <c r="A2" s="37" t="s">
        <v>14</v>
      </c>
      <c r="B2" s="173">
        <f>I97</f>
        <v>9</v>
      </c>
      <c r="C2" s="174"/>
      <c r="D2" s="75"/>
      <c r="E2" s="71"/>
      <c r="F2" s="2"/>
      <c r="G2" s="2"/>
      <c r="H2" s="171"/>
      <c r="I2" s="171"/>
      <c r="J2" s="171"/>
      <c r="K2" s="3"/>
      <c r="L2" s="4">
        <f t="shared" ref="L2:AK2" si="0">SUBTOTAL(9,L6:L96)</f>
        <v>1</v>
      </c>
      <c r="M2" s="4">
        <f t="shared" si="0"/>
        <v>0</v>
      </c>
      <c r="N2" s="4">
        <f t="shared" si="0"/>
        <v>0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39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5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3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0</v>
      </c>
      <c r="AH2" s="5">
        <f t="shared" si="0"/>
        <v>0</v>
      </c>
      <c r="AI2" s="5">
        <f t="shared" si="0"/>
        <v>0</v>
      </c>
      <c r="AJ2" s="5">
        <f t="shared" si="0"/>
        <v>0</v>
      </c>
      <c r="AK2" s="59">
        <f t="shared" si="0"/>
        <v>0</v>
      </c>
      <c r="AL2" s="62">
        <f>SUBTOTAL(9,AL6:AL96)</f>
        <v>9</v>
      </c>
      <c r="AM2" s="175"/>
    </row>
    <row r="3" spans="1:39" customFormat="1" ht="22.5" customHeight="1" thickBot="1">
      <c r="A3" s="38" t="s">
        <v>15</v>
      </c>
      <c r="B3" s="177">
        <f>IF(ISERROR(B2/(B2+B1)*1000000),"",(B2/(B2+B1)*1000000))</f>
        <v>323.79924446842961</v>
      </c>
      <c r="C3" s="178"/>
      <c r="D3" s="73"/>
      <c r="E3" s="72"/>
      <c r="F3" s="32"/>
      <c r="G3" s="32"/>
      <c r="H3" s="172"/>
      <c r="I3" s="172"/>
      <c r="J3" s="172"/>
      <c r="K3" s="6"/>
      <c r="L3" s="7">
        <f t="shared" ref="L3:AK3" si="1">SUM(L6:L96)</f>
        <v>1</v>
      </c>
      <c r="M3" s="7">
        <f t="shared" si="1"/>
        <v>0</v>
      </c>
      <c r="N3" s="7">
        <f t="shared" si="1"/>
        <v>0</v>
      </c>
      <c r="O3" s="7">
        <f t="shared" si="1"/>
        <v>0</v>
      </c>
      <c r="P3" s="7">
        <f t="shared" si="1"/>
        <v>0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40">
        <f t="shared" si="1"/>
        <v>0</v>
      </c>
      <c r="U3" s="8">
        <f t="shared" si="1"/>
        <v>0</v>
      </c>
      <c r="V3" s="8">
        <f t="shared" si="1"/>
        <v>0</v>
      </c>
      <c r="W3" s="8">
        <f t="shared" si="1"/>
        <v>0</v>
      </c>
      <c r="X3" s="8">
        <f t="shared" si="1"/>
        <v>0</v>
      </c>
      <c r="Y3" s="8">
        <f t="shared" si="1"/>
        <v>5</v>
      </c>
      <c r="Z3" s="8">
        <f t="shared" si="1"/>
        <v>0</v>
      </c>
      <c r="AA3" s="8">
        <f t="shared" si="1"/>
        <v>0</v>
      </c>
      <c r="AB3" s="8">
        <f t="shared" si="1"/>
        <v>0</v>
      </c>
      <c r="AC3" s="8">
        <f t="shared" si="1"/>
        <v>3</v>
      </c>
      <c r="AD3" s="8">
        <f t="shared" si="1"/>
        <v>0</v>
      </c>
      <c r="AE3" s="8">
        <f t="shared" si="1"/>
        <v>0</v>
      </c>
      <c r="AF3" s="8">
        <f t="shared" si="1"/>
        <v>0</v>
      </c>
      <c r="AG3" s="8">
        <f t="shared" si="1"/>
        <v>0</v>
      </c>
      <c r="AH3" s="8">
        <f t="shared" si="1"/>
        <v>0</v>
      </c>
      <c r="AI3" s="8">
        <f t="shared" si="1"/>
        <v>0</v>
      </c>
      <c r="AJ3" s="8">
        <f t="shared" si="1"/>
        <v>0</v>
      </c>
      <c r="AK3" s="60">
        <f t="shared" si="1"/>
        <v>0</v>
      </c>
      <c r="AL3" s="63">
        <f>SUM(AL6:AL96)</f>
        <v>9</v>
      </c>
      <c r="AM3" s="176"/>
    </row>
    <row r="4" spans="1:39" customFormat="1" ht="43.5" customHeight="1">
      <c r="A4" s="163" t="str">
        <f>AM97</f>
        <v>OK</v>
      </c>
      <c r="B4" s="163"/>
      <c r="C4" s="163"/>
      <c r="D4" s="164"/>
      <c r="E4" s="165" t="s">
        <v>16</v>
      </c>
      <c r="F4" s="165"/>
      <c r="G4" s="165"/>
      <c r="H4" s="165" t="s">
        <v>17</v>
      </c>
      <c r="I4" s="165"/>
      <c r="J4" s="165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1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56" t="s">
        <v>12</v>
      </c>
      <c r="AL4" s="158" t="s">
        <v>36</v>
      </c>
      <c r="AM4" s="149" t="s">
        <v>37</v>
      </c>
    </row>
    <row r="5" spans="1:39" customFormat="1" ht="33.75" thickBot="1">
      <c r="A5" s="34" t="s">
        <v>3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139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6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3"/>
      <c r="AJ5" s="155"/>
      <c r="AK5" s="157"/>
      <c r="AL5" s="159"/>
      <c r="AM5" s="150"/>
    </row>
    <row r="6" spans="1:39" customFormat="1" hidden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34"/>
      <c r="I6" s="15">
        <f>SUM(L6:AK6)</f>
        <v>0</v>
      </c>
      <c r="J6" s="15"/>
      <c r="K6" s="16"/>
      <c r="L6" s="15"/>
      <c r="M6" s="15"/>
      <c r="N6" s="15"/>
      <c r="O6" s="15"/>
      <c r="P6" s="15"/>
      <c r="Q6" s="15"/>
      <c r="R6" s="15"/>
      <c r="S6" s="15"/>
      <c r="T6" s="41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3"/>
      <c r="AJ6" s="56"/>
      <c r="AK6" s="53"/>
      <c r="AL6" s="64">
        <f>SUM(L6:AK6)</f>
        <v>0</v>
      </c>
      <c r="AM6" s="31" t="str">
        <f t="shared" ref="AM6:AM74" si="2">IF(AL6=I6,"OK","NG")</f>
        <v>OK</v>
      </c>
    </row>
    <row r="7" spans="1:39" customFormat="1" hidden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135"/>
      <c r="I7" s="21">
        <f t="shared" ref="I7:I70" si="3">SUM(L7:AK7)</f>
        <v>0</v>
      </c>
      <c r="J7" s="21"/>
      <c r="K7" s="16"/>
      <c r="L7" s="21"/>
      <c r="M7" s="21"/>
      <c r="N7" s="21"/>
      <c r="O7" s="21"/>
      <c r="P7" s="21"/>
      <c r="Q7" s="21"/>
      <c r="R7" s="21"/>
      <c r="S7" s="21"/>
      <c r="T7" s="42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4"/>
      <c r="AJ7" s="57"/>
      <c r="AK7" s="54"/>
      <c r="AL7" s="65">
        <f t="shared" ref="AL7:AL74" si="4">SUM(L7:AK7)</f>
        <v>0</v>
      </c>
      <c r="AM7" s="22" t="str">
        <f t="shared" si="2"/>
        <v>OK</v>
      </c>
    </row>
    <row r="8" spans="1:39" customFormat="1" hidden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36"/>
      <c r="I8" s="27">
        <f t="shared" si="3"/>
        <v>0</v>
      </c>
      <c r="J8" s="27"/>
      <c r="K8" s="16"/>
      <c r="L8" s="27"/>
      <c r="M8" s="27"/>
      <c r="N8" s="27"/>
      <c r="O8" s="27"/>
      <c r="P8" s="27"/>
      <c r="Q8" s="27"/>
      <c r="R8" s="27"/>
      <c r="S8" s="27"/>
      <c r="T8" s="4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5"/>
      <c r="AJ8" s="58"/>
      <c r="AK8" s="55"/>
      <c r="AL8" s="66">
        <f t="shared" si="4"/>
        <v>0</v>
      </c>
      <c r="AM8" s="28" t="str">
        <f t="shared" si="2"/>
        <v>OK</v>
      </c>
    </row>
    <row r="9" spans="1:39" customFormat="1" hidden="1">
      <c r="A9" s="17" t="s">
        <v>68</v>
      </c>
      <c r="B9" s="77">
        <v>10897</v>
      </c>
      <c r="C9" s="17" t="s">
        <v>62</v>
      </c>
      <c r="D9" s="69"/>
      <c r="E9" s="18"/>
      <c r="F9" s="18"/>
      <c r="G9" s="19"/>
      <c r="H9" s="135"/>
      <c r="I9" s="21">
        <f t="shared" si="3"/>
        <v>0</v>
      </c>
      <c r="J9" s="21"/>
      <c r="K9" s="16"/>
      <c r="L9" s="21"/>
      <c r="M9" s="21"/>
      <c r="N9" s="21"/>
      <c r="O9" s="21"/>
      <c r="P9" s="21"/>
      <c r="Q9" s="21"/>
      <c r="R9" s="21"/>
      <c r="S9" s="21"/>
      <c r="T9" s="42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4"/>
      <c r="AJ9" s="57"/>
      <c r="AK9" s="54"/>
      <c r="AL9" s="65">
        <f t="shared" si="4"/>
        <v>0</v>
      </c>
      <c r="AM9" s="22" t="str">
        <f t="shared" si="2"/>
        <v>OK</v>
      </c>
    </row>
    <row r="10" spans="1:39" customFormat="1" hidden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36"/>
      <c r="I10" s="27">
        <f t="shared" si="3"/>
        <v>0</v>
      </c>
      <c r="J10" s="27"/>
      <c r="K10" s="16"/>
      <c r="L10" s="27"/>
      <c r="M10" s="27"/>
      <c r="N10" s="27"/>
      <c r="O10" s="27"/>
      <c r="P10" s="27"/>
      <c r="Q10" s="27"/>
      <c r="R10" s="27"/>
      <c r="S10" s="27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5"/>
      <c r="AJ10" s="58"/>
      <c r="AK10" s="55"/>
      <c r="AL10" s="66">
        <f t="shared" si="4"/>
        <v>0</v>
      </c>
      <c r="AM10" s="28" t="str">
        <f t="shared" si="2"/>
        <v>OK</v>
      </c>
    </row>
    <row r="11" spans="1:39" customFormat="1" hidden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135"/>
      <c r="I11" s="21">
        <f t="shared" si="3"/>
        <v>0</v>
      </c>
      <c r="J11" s="21"/>
      <c r="K11" s="16"/>
      <c r="L11" s="21"/>
      <c r="M11" s="21"/>
      <c r="N11" s="21"/>
      <c r="O11" s="21"/>
      <c r="P11" s="21"/>
      <c r="Q11" s="21"/>
      <c r="R11" s="21"/>
      <c r="S11" s="21"/>
      <c r="T11" s="42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4"/>
      <c r="AJ11" s="57"/>
      <c r="AK11" s="54"/>
      <c r="AL11" s="65">
        <f t="shared" si="4"/>
        <v>0</v>
      </c>
      <c r="AM11" s="22" t="str">
        <f t="shared" si="2"/>
        <v>OK</v>
      </c>
    </row>
    <row r="12" spans="1:39" customFormat="1" hidden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36"/>
      <c r="I12" s="27">
        <f t="shared" si="3"/>
        <v>0</v>
      </c>
      <c r="J12" s="27"/>
      <c r="K12" s="16"/>
      <c r="L12" s="27"/>
      <c r="M12" s="27"/>
      <c r="N12" s="27"/>
      <c r="O12" s="27"/>
      <c r="P12" s="27"/>
      <c r="Q12" s="27"/>
      <c r="R12" s="27"/>
      <c r="S12" s="27"/>
      <c r="T12" s="43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8"/>
      <c r="AK12" s="55"/>
      <c r="AL12" s="66">
        <f t="shared" si="4"/>
        <v>0</v>
      </c>
      <c r="AM12" s="28" t="str">
        <f t="shared" si="2"/>
        <v>OK</v>
      </c>
    </row>
    <row r="13" spans="1:39" customFormat="1" hidden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135"/>
      <c r="I13" s="21">
        <f t="shared" si="3"/>
        <v>0</v>
      </c>
      <c r="J13" s="21"/>
      <c r="K13" s="16"/>
      <c r="L13" s="21"/>
      <c r="M13" s="21"/>
      <c r="N13" s="21"/>
      <c r="O13" s="21"/>
      <c r="P13" s="21"/>
      <c r="Q13" s="21"/>
      <c r="R13" s="21"/>
      <c r="S13" s="21"/>
      <c r="T13" s="4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4"/>
      <c r="AJ13" s="57"/>
      <c r="AK13" s="54"/>
      <c r="AL13" s="65">
        <f t="shared" si="4"/>
        <v>0</v>
      </c>
      <c r="AM13" s="22" t="str">
        <f t="shared" si="2"/>
        <v>OK</v>
      </c>
    </row>
    <row r="14" spans="1:39" customFormat="1" hidden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36"/>
      <c r="I14" s="27">
        <f t="shared" si="3"/>
        <v>0</v>
      </c>
      <c r="J14" s="27"/>
      <c r="K14" s="16"/>
      <c r="L14" s="27"/>
      <c r="M14" s="27"/>
      <c r="N14" s="27"/>
      <c r="O14" s="27"/>
      <c r="P14" s="27"/>
      <c r="Q14" s="27"/>
      <c r="R14" s="27"/>
      <c r="S14" s="27"/>
      <c r="T14" s="43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5"/>
      <c r="AJ14" s="58"/>
      <c r="AK14" s="55"/>
      <c r="AL14" s="66">
        <f t="shared" si="4"/>
        <v>0</v>
      </c>
      <c r="AM14" s="28" t="str">
        <f t="shared" si="2"/>
        <v>OK</v>
      </c>
    </row>
    <row r="15" spans="1:39" customFormat="1" hidden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135"/>
      <c r="I15" s="21">
        <f t="shared" si="3"/>
        <v>0</v>
      </c>
      <c r="J15" s="21"/>
      <c r="K15" s="16"/>
      <c r="L15" s="21"/>
      <c r="M15" s="21"/>
      <c r="N15" s="21"/>
      <c r="O15" s="21"/>
      <c r="P15" s="21"/>
      <c r="Q15" s="21"/>
      <c r="R15" s="21"/>
      <c r="S15" s="21"/>
      <c r="T15" s="42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4"/>
      <c r="AJ15" s="57"/>
      <c r="AK15" s="54"/>
      <c r="AL15" s="65">
        <f t="shared" si="4"/>
        <v>0</v>
      </c>
      <c r="AM15" s="22" t="str">
        <f t="shared" si="2"/>
        <v>OK</v>
      </c>
    </row>
    <row r="16" spans="1:39" customFormat="1" hidden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36"/>
      <c r="I16" s="27">
        <f t="shared" si="3"/>
        <v>0</v>
      </c>
      <c r="J16" s="27"/>
      <c r="K16" s="16"/>
      <c r="L16" s="27"/>
      <c r="M16" s="27"/>
      <c r="N16" s="27"/>
      <c r="O16" s="27"/>
      <c r="P16" s="27"/>
      <c r="Q16" s="27"/>
      <c r="R16" s="27"/>
      <c r="S16" s="27"/>
      <c r="T16" s="43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8"/>
      <c r="AK16" s="55"/>
      <c r="AL16" s="66">
        <f t="shared" si="4"/>
        <v>0</v>
      </c>
      <c r="AM16" s="28" t="str">
        <f t="shared" si="2"/>
        <v>OK</v>
      </c>
    </row>
    <row r="17" spans="1:39" customFormat="1" hidden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135"/>
      <c r="I17" s="21">
        <f t="shared" si="3"/>
        <v>0</v>
      </c>
      <c r="J17" s="21"/>
      <c r="K17" s="16"/>
      <c r="L17" s="21"/>
      <c r="M17" s="21"/>
      <c r="N17" s="21"/>
      <c r="O17" s="21"/>
      <c r="P17" s="21"/>
      <c r="Q17" s="21"/>
      <c r="R17" s="21"/>
      <c r="S17" s="21"/>
      <c r="T17" s="42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4"/>
      <c r="AJ17" s="57"/>
      <c r="AK17" s="54"/>
      <c r="AL17" s="65">
        <f t="shared" si="4"/>
        <v>0</v>
      </c>
      <c r="AM17" s="22" t="str">
        <f t="shared" si="2"/>
        <v>OK</v>
      </c>
    </row>
    <row r="18" spans="1:39" customFormat="1" hidden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36"/>
      <c r="I18" s="27">
        <f t="shared" si="3"/>
        <v>0</v>
      </c>
      <c r="J18" s="27"/>
      <c r="K18" s="16"/>
      <c r="L18" s="27"/>
      <c r="M18" s="27"/>
      <c r="N18" s="27"/>
      <c r="O18" s="27"/>
      <c r="P18" s="27"/>
      <c r="Q18" s="27"/>
      <c r="R18" s="27"/>
      <c r="S18" s="27"/>
      <c r="T18" s="43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8"/>
      <c r="AK18" s="55"/>
      <c r="AL18" s="66">
        <f t="shared" si="4"/>
        <v>0</v>
      </c>
      <c r="AM18" s="28" t="str">
        <f t="shared" si="2"/>
        <v>OK</v>
      </c>
    </row>
    <row r="19" spans="1:39" customFormat="1" hidden="1">
      <c r="A19" s="17" t="s">
        <v>91</v>
      </c>
      <c r="B19" s="77">
        <v>14988</v>
      </c>
      <c r="C19" s="17" t="s">
        <v>64</v>
      </c>
      <c r="D19" s="69"/>
      <c r="E19" s="18"/>
      <c r="F19" s="18"/>
      <c r="G19" s="19"/>
      <c r="H19" s="135">
        <f>1680+3840</f>
        <v>5520</v>
      </c>
      <c r="I19" s="21">
        <f t="shared" si="3"/>
        <v>0</v>
      </c>
      <c r="J19" s="21"/>
      <c r="K19" s="16"/>
      <c r="L19" s="21"/>
      <c r="M19" s="21"/>
      <c r="N19" s="21"/>
      <c r="O19" s="21"/>
      <c r="P19" s="21"/>
      <c r="Q19" s="21"/>
      <c r="R19" s="21"/>
      <c r="S19" s="21"/>
      <c r="T19" s="42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4"/>
      <c r="AJ19" s="57"/>
      <c r="AK19" s="54"/>
      <c r="AL19" s="65">
        <f t="shared" si="4"/>
        <v>0</v>
      </c>
      <c r="AM19" s="22" t="str">
        <f t="shared" si="2"/>
        <v>OK</v>
      </c>
    </row>
    <row r="20" spans="1:39" customFormat="1" hidden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136"/>
      <c r="I20" s="27">
        <f t="shared" si="3"/>
        <v>0</v>
      </c>
      <c r="J20" s="27"/>
      <c r="K20" s="16"/>
      <c r="L20" s="27"/>
      <c r="M20" s="27"/>
      <c r="N20" s="27"/>
      <c r="O20" s="27"/>
      <c r="P20" s="27"/>
      <c r="Q20" s="27"/>
      <c r="R20" s="27"/>
      <c r="S20" s="27"/>
      <c r="T20" s="43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8"/>
      <c r="AK20" s="55"/>
      <c r="AL20" s="66">
        <f t="shared" si="4"/>
        <v>0</v>
      </c>
      <c r="AM20" s="28" t="str">
        <f t="shared" si="2"/>
        <v>OK</v>
      </c>
    </row>
    <row r="21" spans="1:39" customFormat="1" hidden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135"/>
      <c r="I21" s="21">
        <f t="shared" si="3"/>
        <v>0</v>
      </c>
      <c r="J21" s="21"/>
      <c r="K21" s="16"/>
      <c r="L21" s="21"/>
      <c r="M21" s="21"/>
      <c r="N21" s="21"/>
      <c r="O21" s="21"/>
      <c r="P21" s="21"/>
      <c r="Q21" s="21"/>
      <c r="R21" s="21"/>
      <c r="S21" s="21"/>
      <c r="T21" s="4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4"/>
      <c r="AJ21" s="57"/>
      <c r="AK21" s="54"/>
      <c r="AL21" s="65">
        <f t="shared" si="4"/>
        <v>0</v>
      </c>
      <c r="AM21" s="22" t="str">
        <f t="shared" si="2"/>
        <v>OK</v>
      </c>
    </row>
    <row r="22" spans="1:39" customFormat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36">
        <v>2300</v>
      </c>
      <c r="I22" s="27">
        <f t="shared" si="3"/>
        <v>3</v>
      </c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43"/>
      <c r="U22" s="52"/>
      <c r="V22" s="52"/>
      <c r="W22" s="52"/>
      <c r="X22" s="52"/>
      <c r="Y22" s="52"/>
      <c r="Z22" s="52"/>
      <c r="AA22" s="52"/>
      <c r="AB22" s="52"/>
      <c r="AC22" s="52">
        <v>3</v>
      </c>
      <c r="AD22" s="52"/>
      <c r="AE22" s="52"/>
      <c r="AF22" s="52"/>
      <c r="AG22" s="52"/>
      <c r="AH22" s="52"/>
      <c r="AI22" s="55"/>
      <c r="AJ22" s="58"/>
      <c r="AK22" s="55"/>
      <c r="AL22" s="66">
        <f t="shared" si="4"/>
        <v>3</v>
      </c>
      <c r="AM22" s="28" t="str">
        <f t="shared" si="2"/>
        <v>OK</v>
      </c>
    </row>
    <row r="23" spans="1:39" customFormat="1" hidden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135"/>
      <c r="I23" s="21">
        <f t="shared" si="3"/>
        <v>0</v>
      </c>
      <c r="J23" s="21"/>
      <c r="K23" s="16"/>
      <c r="L23" s="21"/>
      <c r="M23" s="21"/>
      <c r="N23" s="21"/>
      <c r="O23" s="21"/>
      <c r="P23" s="21"/>
      <c r="Q23" s="21"/>
      <c r="R23" s="21"/>
      <c r="S23" s="21"/>
      <c r="T23" s="42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7"/>
      <c r="AK23" s="54"/>
      <c r="AL23" s="65">
        <f>SUM(L23:AK23)</f>
        <v>0</v>
      </c>
      <c r="AM23" s="22" t="str">
        <f t="shared" si="2"/>
        <v>OK</v>
      </c>
    </row>
    <row r="24" spans="1:39" customFormat="1" hidden="1">
      <c r="A24" s="68" t="s">
        <v>44</v>
      </c>
      <c r="B24" s="78">
        <v>10163</v>
      </c>
      <c r="C24" s="23" t="s">
        <v>45</v>
      </c>
      <c r="D24" s="24"/>
      <c r="E24" s="24"/>
      <c r="F24" s="24"/>
      <c r="G24" s="25"/>
      <c r="H24" s="136">
        <v>672</v>
      </c>
      <c r="I24" s="27">
        <f t="shared" si="3"/>
        <v>0</v>
      </c>
      <c r="J24" s="27"/>
      <c r="K24" s="16"/>
      <c r="L24" s="27"/>
      <c r="M24" s="27"/>
      <c r="N24" s="27"/>
      <c r="O24" s="27"/>
      <c r="P24" s="27"/>
      <c r="Q24" s="27"/>
      <c r="R24" s="27"/>
      <c r="S24" s="27"/>
      <c r="T24" s="43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5"/>
      <c r="AJ24" s="58"/>
      <c r="AK24" s="55"/>
      <c r="AL24" s="66">
        <f t="shared" si="4"/>
        <v>0</v>
      </c>
      <c r="AM24" s="28" t="str">
        <f t="shared" si="2"/>
        <v>OK</v>
      </c>
    </row>
    <row r="25" spans="1:39" customFormat="1" hidden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135"/>
      <c r="I25" s="21">
        <f t="shared" si="3"/>
        <v>0</v>
      </c>
      <c r="J25" s="21"/>
      <c r="K25" s="16"/>
      <c r="L25" s="21"/>
      <c r="M25" s="21"/>
      <c r="N25" s="21"/>
      <c r="O25" s="21"/>
      <c r="P25" s="21"/>
      <c r="Q25" s="21"/>
      <c r="R25" s="21"/>
      <c r="S25" s="21"/>
      <c r="T25" s="42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4"/>
      <c r="AJ25" s="57"/>
      <c r="AK25" s="54"/>
      <c r="AL25" s="65">
        <f t="shared" si="4"/>
        <v>0</v>
      </c>
      <c r="AM25" s="22" t="str">
        <f t="shared" si="2"/>
        <v>OK</v>
      </c>
    </row>
    <row r="26" spans="1:39" customFormat="1" hidden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36"/>
      <c r="I26" s="27">
        <f t="shared" si="3"/>
        <v>0</v>
      </c>
      <c r="J26" s="27"/>
      <c r="K26" s="16"/>
      <c r="L26" s="27"/>
      <c r="M26" s="27"/>
      <c r="N26" s="27"/>
      <c r="O26" s="27"/>
      <c r="P26" s="27"/>
      <c r="Q26" s="27"/>
      <c r="R26" s="27"/>
      <c r="S26" s="27"/>
      <c r="T26" s="43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8"/>
      <c r="AK26" s="55"/>
      <c r="AL26" s="66">
        <f t="shared" si="4"/>
        <v>0</v>
      </c>
      <c r="AM26" s="28" t="str">
        <f t="shared" si="2"/>
        <v>OK</v>
      </c>
    </row>
    <row r="27" spans="1:39" customFormat="1" hidden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135"/>
      <c r="I27" s="21">
        <f t="shared" si="3"/>
        <v>0</v>
      </c>
      <c r="J27" s="21"/>
      <c r="K27" s="16"/>
      <c r="L27" s="21"/>
      <c r="M27" s="21"/>
      <c r="N27" s="21"/>
      <c r="O27" s="21"/>
      <c r="P27" s="21"/>
      <c r="Q27" s="21"/>
      <c r="R27" s="21"/>
      <c r="S27" s="21"/>
      <c r="T27" s="4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7"/>
      <c r="AK27" s="54"/>
      <c r="AL27" s="65">
        <f t="shared" si="4"/>
        <v>0</v>
      </c>
      <c r="AM27" s="22" t="str">
        <f t="shared" si="2"/>
        <v>OK</v>
      </c>
    </row>
    <row r="28" spans="1:39" customFormat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136">
        <f>624+624+624</f>
        <v>1872</v>
      </c>
      <c r="I28" s="27">
        <f t="shared" si="3"/>
        <v>3</v>
      </c>
      <c r="J28" s="27"/>
      <c r="K28" s="16"/>
      <c r="L28" s="27"/>
      <c r="M28" s="27"/>
      <c r="N28" s="27"/>
      <c r="O28" s="27"/>
      <c r="P28" s="27"/>
      <c r="Q28" s="27"/>
      <c r="R28" s="27"/>
      <c r="S28" s="27"/>
      <c r="T28" s="43"/>
      <c r="U28" s="52"/>
      <c r="V28" s="52"/>
      <c r="W28" s="52"/>
      <c r="X28" s="52"/>
      <c r="Y28" s="52">
        <v>3</v>
      </c>
      <c r="Z28" s="52"/>
      <c r="AA28" s="52"/>
      <c r="AB28" s="52"/>
      <c r="AC28" s="52"/>
      <c r="AD28" s="52"/>
      <c r="AE28" s="52"/>
      <c r="AF28" s="52"/>
      <c r="AG28" s="52"/>
      <c r="AH28" s="52"/>
      <c r="AI28" s="55"/>
      <c r="AJ28" s="58"/>
      <c r="AK28" s="55"/>
      <c r="AL28" s="66">
        <f t="shared" si="4"/>
        <v>3</v>
      </c>
      <c r="AM28" s="28" t="str">
        <f t="shared" si="2"/>
        <v>OK</v>
      </c>
    </row>
    <row r="29" spans="1:39" customFormat="1" hidden="1">
      <c r="A29" s="80" t="s">
        <v>71</v>
      </c>
      <c r="B29" s="77">
        <v>10151</v>
      </c>
      <c r="C29" s="17" t="s">
        <v>51</v>
      </c>
      <c r="D29" s="69"/>
      <c r="E29" s="18"/>
      <c r="F29" s="18"/>
      <c r="G29" s="19"/>
      <c r="H29" s="135">
        <v>660</v>
      </c>
      <c r="I29" s="21">
        <f t="shared" si="3"/>
        <v>0</v>
      </c>
      <c r="J29" s="21"/>
      <c r="K29" s="16"/>
      <c r="L29" s="21"/>
      <c r="M29" s="21"/>
      <c r="N29" s="21"/>
      <c r="O29" s="21"/>
      <c r="P29" s="21"/>
      <c r="Q29" s="21"/>
      <c r="R29" s="21"/>
      <c r="S29" s="21"/>
      <c r="T29" s="42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4"/>
      <c r="AJ29" s="57"/>
      <c r="AK29" s="54"/>
      <c r="AL29" s="65">
        <f t="shared" si="4"/>
        <v>0</v>
      </c>
      <c r="AM29" s="22" t="str">
        <f t="shared" si="2"/>
        <v>OK</v>
      </c>
    </row>
    <row r="30" spans="1:39" customFormat="1" hidden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137">
        <f>342+1300+1400</f>
        <v>3042</v>
      </c>
      <c r="I30" s="27">
        <f t="shared" si="3"/>
        <v>0</v>
      </c>
      <c r="J30" s="27"/>
      <c r="K30" s="16"/>
      <c r="L30" s="27"/>
      <c r="M30" s="27"/>
      <c r="N30" s="27"/>
      <c r="O30" s="27"/>
      <c r="P30" s="27"/>
      <c r="Q30" s="27"/>
      <c r="R30" s="27"/>
      <c r="S30" s="27"/>
      <c r="T30" s="43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5"/>
      <c r="AJ30" s="58"/>
      <c r="AK30" s="55"/>
      <c r="AL30" s="66">
        <f t="shared" si="4"/>
        <v>0</v>
      </c>
      <c r="AM30" s="28" t="str">
        <f t="shared" si="2"/>
        <v>OK</v>
      </c>
    </row>
    <row r="31" spans="1:39" customFormat="1" hidden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141"/>
      <c r="I31" s="21">
        <f t="shared" si="3"/>
        <v>0</v>
      </c>
      <c r="J31" s="21"/>
      <c r="K31" s="16"/>
      <c r="L31" s="21"/>
      <c r="M31" s="21"/>
      <c r="N31" s="21"/>
      <c r="O31" s="21"/>
      <c r="P31" s="21"/>
      <c r="Q31" s="21"/>
      <c r="R31" s="21"/>
      <c r="S31" s="21"/>
      <c r="T31" s="4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7"/>
      <c r="AK31" s="54"/>
      <c r="AL31" s="65">
        <f t="shared" si="4"/>
        <v>0</v>
      </c>
      <c r="AM31" s="22" t="str">
        <f t="shared" si="2"/>
        <v>OK</v>
      </c>
    </row>
    <row r="32" spans="1:39" customFormat="1" hidden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136"/>
      <c r="I32" s="27">
        <f t="shared" si="3"/>
        <v>0</v>
      </c>
      <c r="J32" s="27"/>
      <c r="K32" s="16"/>
      <c r="L32" s="27"/>
      <c r="M32" s="27"/>
      <c r="N32" s="27"/>
      <c r="O32" s="27"/>
      <c r="P32" s="27"/>
      <c r="Q32" s="27"/>
      <c r="R32" s="27"/>
      <c r="S32" s="27"/>
      <c r="T32" s="43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5"/>
      <c r="AJ32" s="58"/>
      <c r="AK32" s="55"/>
      <c r="AL32" s="66">
        <f t="shared" si="4"/>
        <v>0</v>
      </c>
      <c r="AM32" s="28" t="str">
        <f t="shared" si="2"/>
        <v>OK</v>
      </c>
    </row>
    <row r="33" spans="1:39" customFormat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135">
        <v>708</v>
      </c>
      <c r="I33" s="21">
        <f t="shared" si="3"/>
        <v>1</v>
      </c>
      <c r="J33" s="21"/>
      <c r="K33" s="16"/>
      <c r="L33" s="21"/>
      <c r="M33" s="21"/>
      <c r="N33" s="21"/>
      <c r="O33" s="21"/>
      <c r="P33" s="21"/>
      <c r="Q33" s="21"/>
      <c r="R33" s="21"/>
      <c r="S33" s="21"/>
      <c r="T33" s="42"/>
      <c r="U33" s="51"/>
      <c r="V33" s="51"/>
      <c r="W33" s="51"/>
      <c r="X33" s="51"/>
      <c r="Y33" s="51">
        <v>1</v>
      </c>
      <c r="Z33" s="51"/>
      <c r="AA33" s="51"/>
      <c r="AB33" s="51"/>
      <c r="AC33" s="51"/>
      <c r="AD33" s="51"/>
      <c r="AE33" s="51"/>
      <c r="AF33" s="51"/>
      <c r="AG33" s="51"/>
      <c r="AH33" s="51"/>
      <c r="AI33" s="54"/>
      <c r="AJ33" s="57"/>
      <c r="AK33" s="54"/>
      <c r="AL33" s="65">
        <f t="shared" si="4"/>
        <v>1</v>
      </c>
      <c r="AM33" s="22" t="str">
        <f t="shared" si="2"/>
        <v>OK</v>
      </c>
    </row>
    <row r="34" spans="1:39" customFormat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136">
        <f>750+450+1320</f>
        <v>2520</v>
      </c>
      <c r="I34" s="27">
        <f t="shared" si="3"/>
        <v>1</v>
      </c>
      <c r="J34" s="27"/>
      <c r="K34" s="16"/>
      <c r="L34" s="27"/>
      <c r="M34" s="27"/>
      <c r="N34" s="27"/>
      <c r="O34" s="27"/>
      <c r="P34" s="27"/>
      <c r="Q34" s="27"/>
      <c r="R34" s="27"/>
      <c r="S34" s="27"/>
      <c r="T34" s="43"/>
      <c r="U34" s="52"/>
      <c r="V34" s="52"/>
      <c r="W34" s="52"/>
      <c r="X34" s="52"/>
      <c r="Y34" s="52">
        <v>1</v>
      </c>
      <c r="Z34" s="52"/>
      <c r="AA34" s="52"/>
      <c r="AB34" s="52"/>
      <c r="AC34" s="52"/>
      <c r="AD34" s="52"/>
      <c r="AE34" s="52"/>
      <c r="AF34" s="52"/>
      <c r="AG34" s="52"/>
      <c r="AH34" s="52"/>
      <c r="AI34" s="55"/>
      <c r="AJ34" s="58"/>
      <c r="AK34" s="55"/>
      <c r="AL34" s="66">
        <f t="shared" si="4"/>
        <v>1</v>
      </c>
      <c r="AM34" s="28" t="str">
        <f t="shared" si="2"/>
        <v>OK</v>
      </c>
    </row>
    <row r="35" spans="1:39" customFormat="1" hidden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135"/>
      <c r="I35" s="21">
        <f t="shared" si="3"/>
        <v>0</v>
      </c>
      <c r="J35" s="21"/>
      <c r="K35" s="16"/>
      <c r="L35" s="21"/>
      <c r="M35" s="21"/>
      <c r="N35" s="21"/>
      <c r="O35" s="21"/>
      <c r="P35" s="21"/>
      <c r="Q35" s="21"/>
      <c r="R35" s="21"/>
      <c r="S35" s="21"/>
      <c r="T35" s="42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4"/>
      <c r="AJ35" s="57"/>
      <c r="AK35" s="54"/>
      <c r="AL35" s="65">
        <f t="shared" si="4"/>
        <v>0</v>
      </c>
      <c r="AM35" s="22" t="str">
        <f t="shared" si="2"/>
        <v>OK</v>
      </c>
    </row>
    <row r="36" spans="1:39" customFormat="1" hidden="1">
      <c r="A36" s="68" t="s">
        <v>76</v>
      </c>
      <c r="B36" s="78">
        <v>10135</v>
      </c>
      <c r="C36" s="23" t="s">
        <v>56</v>
      </c>
      <c r="D36" s="24"/>
      <c r="E36" s="24"/>
      <c r="F36" s="24"/>
      <c r="G36" s="25"/>
      <c r="H36" s="136"/>
      <c r="I36" s="27">
        <f t="shared" si="3"/>
        <v>0</v>
      </c>
      <c r="J36" s="27"/>
      <c r="K36" s="16"/>
      <c r="L36" s="27"/>
      <c r="M36" s="27"/>
      <c r="N36" s="27"/>
      <c r="O36" s="27"/>
      <c r="P36" s="27"/>
      <c r="Q36" s="27"/>
      <c r="R36" s="27"/>
      <c r="S36" s="27"/>
      <c r="T36" s="43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5"/>
      <c r="AJ36" s="58"/>
      <c r="AK36" s="55"/>
      <c r="AL36" s="66">
        <f t="shared" si="4"/>
        <v>0</v>
      </c>
      <c r="AM36" s="28" t="str">
        <f t="shared" si="2"/>
        <v>OK</v>
      </c>
    </row>
    <row r="37" spans="1:39" customFormat="1" hidden="1">
      <c r="A37" s="80" t="s">
        <v>77</v>
      </c>
      <c r="B37" s="77">
        <v>10133</v>
      </c>
      <c r="C37" s="17" t="s">
        <v>55</v>
      </c>
      <c r="D37" s="69"/>
      <c r="E37" s="18"/>
      <c r="F37" s="18"/>
      <c r="G37" s="19"/>
      <c r="H37" s="135"/>
      <c r="I37" s="21">
        <f t="shared" si="3"/>
        <v>0</v>
      </c>
      <c r="J37" s="21"/>
      <c r="K37" s="16"/>
      <c r="L37" s="21"/>
      <c r="M37" s="21"/>
      <c r="N37" s="21"/>
      <c r="O37" s="21"/>
      <c r="P37" s="21"/>
      <c r="Q37" s="21"/>
      <c r="R37" s="21"/>
      <c r="S37" s="21"/>
      <c r="T37" s="42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4"/>
      <c r="AJ37" s="57"/>
      <c r="AK37" s="54"/>
      <c r="AL37" s="65">
        <f t="shared" si="4"/>
        <v>0</v>
      </c>
      <c r="AM37" s="22" t="str">
        <f t="shared" si="2"/>
        <v>OK</v>
      </c>
    </row>
    <row r="38" spans="1:39" customFormat="1" hidden="1">
      <c r="A38" s="68" t="s">
        <v>78</v>
      </c>
      <c r="B38" s="78">
        <v>10131</v>
      </c>
      <c r="C38" s="23" t="s">
        <v>56</v>
      </c>
      <c r="D38" s="24"/>
      <c r="E38" s="24"/>
      <c r="F38" s="24"/>
      <c r="G38" s="25"/>
      <c r="H38" s="136">
        <f>470+1030</f>
        <v>1500</v>
      </c>
      <c r="I38" s="27">
        <f t="shared" si="3"/>
        <v>0</v>
      </c>
      <c r="J38" s="27"/>
      <c r="K38" s="16"/>
      <c r="L38" s="27"/>
      <c r="M38" s="27"/>
      <c r="N38" s="27"/>
      <c r="O38" s="27"/>
      <c r="P38" s="27"/>
      <c r="Q38" s="27"/>
      <c r="R38" s="27"/>
      <c r="S38" s="27"/>
      <c r="T38" s="43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5"/>
      <c r="AJ38" s="58"/>
      <c r="AK38" s="55"/>
      <c r="AL38" s="66">
        <f t="shared" ref="AL38:AL50" si="5">SUM(L38:AK38)</f>
        <v>0</v>
      </c>
      <c r="AM38" s="28" t="str">
        <f t="shared" si="2"/>
        <v>OK</v>
      </c>
    </row>
    <row r="39" spans="1:39" customFormat="1" hidden="1">
      <c r="A39" s="17" t="s">
        <v>79</v>
      </c>
      <c r="B39" s="77">
        <v>10129</v>
      </c>
      <c r="C39" s="17" t="s">
        <v>57</v>
      </c>
      <c r="D39" s="69"/>
      <c r="E39" s="18"/>
      <c r="F39" s="18"/>
      <c r="G39" s="19"/>
      <c r="H39" s="135"/>
      <c r="I39" s="21">
        <f t="shared" si="3"/>
        <v>0</v>
      </c>
      <c r="J39" s="21"/>
      <c r="K39" s="16"/>
      <c r="L39" s="21"/>
      <c r="M39" s="21"/>
      <c r="N39" s="21"/>
      <c r="O39" s="21"/>
      <c r="P39" s="21"/>
      <c r="Q39" s="21"/>
      <c r="R39" s="21"/>
      <c r="S39" s="21"/>
      <c r="T39" s="42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4"/>
      <c r="AJ39" s="57"/>
      <c r="AK39" s="54"/>
      <c r="AL39" s="65">
        <f t="shared" si="5"/>
        <v>0</v>
      </c>
      <c r="AM39" s="22" t="str">
        <f t="shared" si="2"/>
        <v>OK</v>
      </c>
    </row>
    <row r="40" spans="1:39" customFormat="1" hidden="1">
      <c r="A40" s="68" t="s">
        <v>80</v>
      </c>
      <c r="B40" s="78">
        <v>10127</v>
      </c>
      <c r="C40" s="23" t="s">
        <v>58</v>
      </c>
      <c r="D40" s="24"/>
      <c r="E40" s="24"/>
      <c r="F40" s="24"/>
      <c r="G40" s="25"/>
      <c r="H40" s="136"/>
      <c r="I40" s="27">
        <f t="shared" si="3"/>
        <v>0</v>
      </c>
      <c r="J40" s="27"/>
      <c r="K40" s="16"/>
      <c r="L40" s="27"/>
      <c r="M40" s="27"/>
      <c r="N40" s="27"/>
      <c r="O40" s="27"/>
      <c r="P40" s="27"/>
      <c r="Q40" s="27"/>
      <c r="R40" s="27"/>
      <c r="S40" s="27"/>
      <c r="T40" s="43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5"/>
      <c r="AJ40" s="58"/>
      <c r="AK40" s="55"/>
      <c r="AL40" s="66">
        <f t="shared" si="5"/>
        <v>0</v>
      </c>
      <c r="AM40" s="28" t="str">
        <f t="shared" si="2"/>
        <v>OK</v>
      </c>
    </row>
    <row r="41" spans="1:39" customFormat="1" hidden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135"/>
      <c r="I41" s="21">
        <f t="shared" si="3"/>
        <v>0</v>
      </c>
      <c r="J41" s="21"/>
      <c r="K41" s="16"/>
      <c r="L41" s="21"/>
      <c r="M41" s="21"/>
      <c r="N41" s="21"/>
      <c r="O41" s="21"/>
      <c r="P41" s="21"/>
      <c r="Q41" s="21"/>
      <c r="R41" s="21"/>
      <c r="S41" s="21"/>
      <c r="T41" s="4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4"/>
      <c r="AJ41" s="57"/>
      <c r="AK41" s="54"/>
      <c r="AL41" s="65">
        <f t="shared" si="5"/>
        <v>0</v>
      </c>
      <c r="AM41" s="22" t="str">
        <f t="shared" si="2"/>
        <v>OK</v>
      </c>
    </row>
    <row r="42" spans="1:39" customFormat="1" hidden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136"/>
      <c r="I42" s="27">
        <f t="shared" si="3"/>
        <v>0</v>
      </c>
      <c r="J42" s="27"/>
      <c r="K42" s="16"/>
      <c r="L42" s="27"/>
      <c r="M42" s="27"/>
      <c r="N42" s="27"/>
      <c r="O42" s="27"/>
      <c r="P42" s="27"/>
      <c r="Q42" s="27"/>
      <c r="R42" s="27"/>
      <c r="S42" s="27"/>
      <c r="T42" s="43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5"/>
      <c r="AJ42" s="58"/>
      <c r="AK42" s="55"/>
      <c r="AL42" s="66">
        <f t="shared" si="5"/>
        <v>0</v>
      </c>
      <c r="AM42" s="28" t="str">
        <f t="shared" si="2"/>
        <v>OK</v>
      </c>
    </row>
    <row r="43" spans="1:39" customFormat="1" hidden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135"/>
      <c r="I43" s="21">
        <f t="shared" si="3"/>
        <v>0</v>
      </c>
      <c r="J43" s="21"/>
      <c r="K43" s="16"/>
      <c r="L43" s="21"/>
      <c r="M43" s="21"/>
      <c r="N43" s="21"/>
      <c r="O43" s="21"/>
      <c r="P43" s="21"/>
      <c r="Q43" s="21"/>
      <c r="R43" s="21"/>
      <c r="S43" s="21"/>
      <c r="T43" s="42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4"/>
      <c r="AJ43" s="57"/>
      <c r="AK43" s="54"/>
      <c r="AL43" s="65">
        <f t="shared" si="5"/>
        <v>0</v>
      </c>
      <c r="AM43" s="22" t="str">
        <f t="shared" si="2"/>
        <v>OK</v>
      </c>
    </row>
    <row r="44" spans="1:39" customFormat="1" hidden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136"/>
      <c r="I44" s="27">
        <f t="shared" si="3"/>
        <v>0</v>
      </c>
      <c r="J44" s="27"/>
      <c r="K44" s="16"/>
      <c r="L44" s="27"/>
      <c r="M44" s="27"/>
      <c r="N44" s="27"/>
      <c r="O44" s="27"/>
      <c r="P44" s="27"/>
      <c r="Q44" s="27"/>
      <c r="R44" s="27"/>
      <c r="S44" s="27"/>
      <c r="T44" s="43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5"/>
      <c r="AJ44" s="58"/>
      <c r="AK44" s="55"/>
      <c r="AL44" s="66">
        <f t="shared" si="5"/>
        <v>0</v>
      </c>
      <c r="AM44" s="28" t="str">
        <f t="shared" si="2"/>
        <v>OK</v>
      </c>
    </row>
    <row r="45" spans="1:39" customFormat="1" hidden="1">
      <c r="A45" s="17" t="s">
        <v>107</v>
      </c>
      <c r="B45" s="77">
        <v>13467</v>
      </c>
      <c r="C45" s="17" t="s">
        <v>87</v>
      </c>
      <c r="D45" s="69"/>
      <c r="E45" s="18"/>
      <c r="F45" s="18"/>
      <c r="G45" s="19"/>
      <c r="H45" s="135"/>
      <c r="I45" s="21">
        <f t="shared" si="3"/>
        <v>0</v>
      </c>
      <c r="J45" s="21"/>
      <c r="K45" s="16"/>
      <c r="L45" s="21"/>
      <c r="M45" s="21"/>
      <c r="N45" s="21"/>
      <c r="O45" s="21"/>
      <c r="P45" s="21"/>
      <c r="Q45" s="21"/>
      <c r="R45" s="21"/>
      <c r="S45" s="21"/>
      <c r="T45" s="4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4"/>
      <c r="AJ45" s="57"/>
      <c r="AK45" s="54"/>
      <c r="AL45" s="65">
        <f t="shared" si="5"/>
        <v>0</v>
      </c>
      <c r="AM45" s="22" t="str">
        <f t="shared" si="2"/>
        <v>OK</v>
      </c>
    </row>
    <row r="46" spans="1:39" customFormat="1" hidden="1">
      <c r="A46" s="68" t="s">
        <v>111</v>
      </c>
      <c r="B46" s="78">
        <v>15948</v>
      </c>
      <c r="C46" s="23" t="s">
        <v>87</v>
      </c>
      <c r="D46" s="24"/>
      <c r="E46" s="24"/>
      <c r="F46" s="24"/>
      <c r="G46" s="25"/>
      <c r="H46" s="136"/>
      <c r="I46" s="27">
        <f t="shared" si="3"/>
        <v>0</v>
      </c>
      <c r="J46" s="27"/>
      <c r="K46" s="16"/>
      <c r="L46" s="27"/>
      <c r="M46" s="27"/>
      <c r="N46" s="27"/>
      <c r="O46" s="27"/>
      <c r="P46" s="27"/>
      <c r="Q46" s="27"/>
      <c r="R46" s="27"/>
      <c r="S46" s="27"/>
      <c r="T46" s="43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5"/>
      <c r="AJ46" s="58"/>
      <c r="AK46" s="55"/>
      <c r="AL46" s="66">
        <f t="shared" si="5"/>
        <v>0</v>
      </c>
      <c r="AM46" s="28" t="str">
        <f t="shared" si="2"/>
        <v>OK</v>
      </c>
    </row>
    <row r="47" spans="1:39" customFormat="1" hidden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135"/>
      <c r="I47" s="21">
        <f t="shared" si="3"/>
        <v>0</v>
      </c>
      <c r="J47" s="21"/>
      <c r="K47" s="16"/>
      <c r="L47" s="21"/>
      <c r="M47" s="21"/>
      <c r="N47" s="21"/>
      <c r="O47" s="21"/>
      <c r="P47" s="21"/>
      <c r="Q47" s="21"/>
      <c r="R47" s="21"/>
      <c r="S47" s="21"/>
      <c r="T47" s="42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4"/>
      <c r="AJ47" s="57"/>
      <c r="AK47" s="54"/>
      <c r="AL47" s="65">
        <f t="shared" si="5"/>
        <v>0</v>
      </c>
      <c r="AM47" s="22" t="str">
        <f t="shared" si="2"/>
        <v>OK</v>
      </c>
    </row>
    <row r="48" spans="1:39" customFormat="1" hidden="1">
      <c r="A48" s="68" t="s">
        <v>121</v>
      </c>
      <c r="B48" s="78">
        <v>16598</v>
      </c>
      <c r="C48" s="23" t="s">
        <v>87</v>
      </c>
      <c r="D48" s="24"/>
      <c r="E48" s="24"/>
      <c r="F48" s="24"/>
      <c r="G48" s="25"/>
      <c r="H48" s="136"/>
      <c r="I48" s="27">
        <f t="shared" si="3"/>
        <v>0</v>
      </c>
      <c r="J48" s="27"/>
      <c r="K48" s="16"/>
      <c r="L48" s="27"/>
      <c r="M48" s="27"/>
      <c r="N48" s="27"/>
      <c r="O48" s="27"/>
      <c r="P48" s="27"/>
      <c r="Q48" s="27"/>
      <c r="R48" s="27"/>
      <c r="S48" s="27"/>
      <c r="T48" s="43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5"/>
      <c r="AJ48" s="58"/>
      <c r="AK48" s="55"/>
      <c r="AL48" s="66">
        <f t="shared" si="5"/>
        <v>0</v>
      </c>
      <c r="AM48" s="28" t="str">
        <f t="shared" si="2"/>
        <v>OK</v>
      </c>
    </row>
    <row r="49" spans="1:39" customFormat="1" hidden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135"/>
      <c r="I49" s="21">
        <f t="shared" si="3"/>
        <v>0</v>
      </c>
      <c r="J49" s="21"/>
      <c r="K49" s="16"/>
      <c r="L49" s="21"/>
      <c r="M49" s="21"/>
      <c r="N49" s="21"/>
      <c r="O49" s="21"/>
      <c r="P49" s="21"/>
      <c r="Q49" s="21"/>
      <c r="R49" s="21"/>
      <c r="S49" s="21"/>
      <c r="T49" s="4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4"/>
      <c r="AJ49" s="57"/>
      <c r="AK49" s="54"/>
      <c r="AL49" s="65">
        <f t="shared" si="5"/>
        <v>0</v>
      </c>
      <c r="AM49" s="22" t="str">
        <f t="shared" si="2"/>
        <v>OK</v>
      </c>
    </row>
    <row r="50" spans="1:39" customFormat="1" hidden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136"/>
      <c r="I50" s="27">
        <f t="shared" si="3"/>
        <v>0</v>
      </c>
      <c r="J50" s="27"/>
      <c r="K50" s="16"/>
      <c r="L50" s="27"/>
      <c r="M50" s="27"/>
      <c r="N50" s="27"/>
      <c r="O50" s="27"/>
      <c r="P50" s="27"/>
      <c r="Q50" s="27"/>
      <c r="R50" s="27"/>
      <c r="S50" s="27"/>
      <c r="T50" s="43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8"/>
      <c r="AK50" s="55"/>
      <c r="AL50" s="66">
        <f t="shared" si="5"/>
        <v>0</v>
      </c>
      <c r="AM50" s="28" t="str">
        <f t="shared" si="2"/>
        <v>OK</v>
      </c>
    </row>
    <row r="51" spans="1:39" customFormat="1" hidden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135"/>
      <c r="I51" s="21">
        <f t="shared" si="3"/>
        <v>0</v>
      </c>
      <c r="J51" s="21"/>
      <c r="K51" s="16"/>
      <c r="L51" s="21"/>
      <c r="M51" s="21"/>
      <c r="N51" s="21"/>
      <c r="O51" s="21"/>
      <c r="P51" s="21"/>
      <c r="Q51" s="21"/>
      <c r="R51" s="21"/>
      <c r="S51" s="21"/>
      <c r="T51" s="4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4"/>
      <c r="AJ51" s="57"/>
      <c r="AK51" s="54"/>
      <c r="AL51" s="65">
        <f>SUM(L51:AK51)</f>
        <v>0</v>
      </c>
      <c r="AM51" s="22" t="str">
        <f t="shared" si="2"/>
        <v>OK</v>
      </c>
    </row>
    <row r="52" spans="1:39" customFormat="1" hidden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136"/>
      <c r="I52" s="27">
        <f t="shared" si="3"/>
        <v>0</v>
      </c>
      <c r="J52" s="27"/>
      <c r="K52" s="16"/>
      <c r="L52" s="27"/>
      <c r="M52" s="27"/>
      <c r="N52" s="27"/>
      <c r="O52" s="27"/>
      <c r="P52" s="27"/>
      <c r="Q52" s="27"/>
      <c r="R52" s="27"/>
      <c r="S52" s="27"/>
      <c r="T52" s="43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5"/>
      <c r="AJ52" s="58"/>
      <c r="AK52" s="55"/>
      <c r="AL52" s="66">
        <f t="shared" ref="AL52:AL64" si="6">SUM(L52:AK52)</f>
        <v>0</v>
      </c>
      <c r="AM52" s="28" t="str">
        <f t="shared" si="2"/>
        <v>OK</v>
      </c>
    </row>
    <row r="53" spans="1:39" customFormat="1" hidden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135"/>
      <c r="I53" s="21">
        <f t="shared" si="3"/>
        <v>0</v>
      </c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42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4"/>
      <c r="AJ53" s="57"/>
      <c r="AK53" s="54"/>
      <c r="AL53" s="65">
        <f t="shared" si="6"/>
        <v>0</v>
      </c>
      <c r="AM53" s="22" t="str">
        <f t="shared" si="2"/>
        <v>OK</v>
      </c>
    </row>
    <row r="54" spans="1:39" customFormat="1" hidden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136"/>
      <c r="I54" s="27">
        <f t="shared" si="3"/>
        <v>0</v>
      </c>
      <c r="J54" s="27"/>
      <c r="K54" s="16"/>
      <c r="L54" s="27"/>
      <c r="M54" s="27"/>
      <c r="N54" s="27"/>
      <c r="O54" s="27"/>
      <c r="P54" s="27"/>
      <c r="Q54" s="27"/>
      <c r="R54" s="27"/>
      <c r="S54" s="27"/>
      <c r="T54" s="43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5"/>
      <c r="AJ54" s="58"/>
      <c r="AK54" s="55"/>
      <c r="AL54" s="66">
        <f t="shared" si="6"/>
        <v>0</v>
      </c>
      <c r="AM54" s="28" t="str">
        <f t="shared" si="2"/>
        <v>OK</v>
      </c>
    </row>
    <row r="55" spans="1:39" customFormat="1" hidden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135"/>
      <c r="I55" s="21">
        <f t="shared" si="3"/>
        <v>0</v>
      </c>
      <c r="J55" s="21"/>
      <c r="K55" s="16"/>
      <c r="L55" s="21"/>
      <c r="M55" s="21"/>
      <c r="N55" s="21"/>
      <c r="O55" s="21"/>
      <c r="P55" s="21"/>
      <c r="Q55" s="21"/>
      <c r="R55" s="21"/>
      <c r="S55" s="21"/>
      <c r="T55" s="42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4"/>
      <c r="AJ55" s="57"/>
      <c r="AK55" s="54"/>
      <c r="AL55" s="65">
        <f t="shared" si="6"/>
        <v>0</v>
      </c>
      <c r="AM55" s="22" t="str">
        <f t="shared" si="2"/>
        <v>OK</v>
      </c>
    </row>
    <row r="56" spans="1:39" customFormat="1" hidden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136"/>
      <c r="I56" s="27">
        <f t="shared" si="3"/>
        <v>0</v>
      </c>
      <c r="J56" s="27"/>
      <c r="K56" s="16"/>
      <c r="L56" s="27"/>
      <c r="M56" s="27"/>
      <c r="N56" s="27"/>
      <c r="O56" s="27"/>
      <c r="P56" s="27"/>
      <c r="Q56" s="27"/>
      <c r="R56" s="27"/>
      <c r="S56" s="27"/>
      <c r="T56" s="43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5"/>
      <c r="AJ56" s="58"/>
      <c r="AK56" s="55"/>
      <c r="AL56" s="66">
        <f t="shared" si="6"/>
        <v>0</v>
      </c>
      <c r="AM56" s="28" t="str">
        <f t="shared" si="2"/>
        <v>OK</v>
      </c>
    </row>
    <row r="57" spans="1:39" customFormat="1" hidden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135"/>
      <c r="I57" s="21">
        <f t="shared" si="3"/>
        <v>0</v>
      </c>
      <c r="J57" s="21"/>
      <c r="K57" s="16"/>
      <c r="L57" s="21"/>
      <c r="M57" s="21"/>
      <c r="N57" s="21"/>
      <c r="O57" s="21"/>
      <c r="P57" s="21"/>
      <c r="Q57" s="21"/>
      <c r="R57" s="21"/>
      <c r="S57" s="21"/>
      <c r="T57" s="42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4"/>
      <c r="AJ57" s="57"/>
      <c r="AK57" s="54"/>
      <c r="AL57" s="65">
        <f t="shared" si="6"/>
        <v>0</v>
      </c>
      <c r="AM57" s="22" t="str">
        <f t="shared" si="2"/>
        <v>OK</v>
      </c>
    </row>
    <row r="58" spans="1:39" customFormat="1" hidden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136"/>
      <c r="I58" s="27">
        <f t="shared" si="3"/>
        <v>0</v>
      </c>
      <c r="J58" s="27"/>
      <c r="K58" s="16"/>
      <c r="L58" s="27"/>
      <c r="M58" s="27"/>
      <c r="N58" s="27"/>
      <c r="O58" s="27"/>
      <c r="P58" s="27"/>
      <c r="Q58" s="27"/>
      <c r="R58" s="27"/>
      <c r="S58" s="27"/>
      <c r="T58" s="43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5"/>
      <c r="AJ58" s="58"/>
      <c r="AK58" s="55"/>
      <c r="AL58" s="66">
        <f t="shared" si="6"/>
        <v>0</v>
      </c>
      <c r="AM58" s="28" t="str">
        <f t="shared" si="2"/>
        <v>OK</v>
      </c>
    </row>
    <row r="59" spans="1:39" customFormat="1" hidden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135"/>
      <c r="I59" s="21">
        <f t="shared" si="3"/>
        <v>0</v>
      </c>
      <c r="J59" s="21"/>
      <c r="K59" s="16"/>
      <c r="L59" s="21"/>
      <c r="M59" s="21"/>
      <c r="N59" s="21"/>
      <c r="O59" s="21"/>
      <c r="P59" s="21"/>
      <c r="Q59" s="21"/>
      <c r="R59" s="21"/>
      <c r="S59" s="21"/>
      <c r="T59" s="4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4"/>
      <c r="AJ59" s="57"/>
      <c r="AK59" s="54"/>
      <c r="AL59" s="65">
        <f t="shared" si="6"/>
        <v>0</v>
      </c>
      <c r="AM59" s="22" t="str">
        <f t="shared" si="2"/>
        <v>OK</v>
      </c>
    </row>
    <row r="60" spans="1:39" customFormat="1" hidden="1">
      <c r="A60" s="68" t="s">
        <v>84</v>
      </c>
      <c r="B60" s="78">
        <v>11380</v>
      </c>
      <c r="C60" s="23" t="s">
        <v>60</v>
      </c>
      <c r="D60" s="24"/>
      <c r="E60" s="24"/>
      <c r="F60" s="24"/>
      <c r="G60" s="25"/>
      <c r="H60" s="136"/>
      <c r="I60" s="27">
        <f t="shared" si="3"/>
        <v>0</v>
      </c>
      <c r="J60" s="27"/>
      <c r="K60" s="16"/>
      <c r="L60" s="27"/>
      <c r="M60" s="27"/>
      <c r="N60" s="27"/>
      <c r="O60" s="27"/>
      <c r="P60" s="27"/>
      <c r="Q60" s="27"/>
      <c r="R60" s="27"/>
      <c r="S60" s="27"/>
      <c r="T60" s="43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5"/>
      <c r="AJ60" s="58"/>
      <c r="AK60" s="55"/>
      <c r="AL60" s="66">
        <f t="shared" si="6"/>
        <v>0</v>
      </c>
      <c r="AM60" s="28" t="str">
        <f t="shared" si="2"/>
        <v>OK</v>
      </c>
    </row>
    <row r="61" spans="1:39" customFormat="1" hidden="1">
      <c r="A61" s="80" t="s">
        <v>112</v>
      </c>
      <c r="B61" s="77">
        <v>18518</v>
      </c>
      <c r="C61" s="17" t="s">
        <v>87</v>
      </c>
      <c r="D61" s="69"/>
      <c r="E61" s="18"/>
      <c r="F61" s="18"/>
      <c r="G61" s="19"/>
      <c r="H61" s="135">
        <f>1008+1000</f>
        <v>2008</v>
      </c>
      <c r="I61" s="21">
        <f t="shared" si="3"/>
        <v>0</v>
      </c>
      <c r="J61" s="21"/>
      <c r="K61" s="16"/>
      <c r="L61" s="21"/>
      <c r="M61" s="21"/>
      <c r="N61" s="21"/>
      <c r="O61" s="21"/>
      <c r="P61" s="21"/>
      <c r="Q61" s="21"/>
      <c r="R61" s="21"/>
      <c r="S61" s="21"/>
      <c r="T61" s="4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4"/>
      <c r="AJ61" s="57"/>
      <c r="AK61" s="54"/>
      <c r="AL61" s="65">
        <f t="shared" si="6"/>
        <v>0</v>
      </c>
      <c r="AM61" s="22" t="str">
        <f t="shared" si="2"/>
        <v>OK</v>
      </c>
    </row>
    <row r="62" spans="1:39" customFormat="1" hidden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136">
        <f>1006+706</f>
        <v>1712</v>
      </c>
      <c r="I62" s="27">
        <f t="shared" si="3"/>
        <v>0</v>
      </c>
      <c r="J62" s="27"/>
      <c r="K62" s="16"/>
      <c r="L62" s="27"/>
      <c r="M62" s="27"/>
      <c r="N62" s="27"/>
      <c r="O62" s="27"/>
      <c r="P62" s="27"/>
      <c r="Q62" s="27"/>
      <c r="R62" s="27"/>
      <c r="S62" s="27"/>
      <c r="T62" s="43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5"/>
      <c r="AJ62" s="58"/>
      <c r="AK62" s="55"/>
      <c r="AL62" s="66">
        <f t="shared" si="6"/>
        <v>0</v>
      </c>
      <c r="AM62" s="28" t="str">
        <f t="shared" si="2"/>
        <v>OK</v>
      </c>
    </row>
    <row r="63" spans="1:39" customFormat="1" hidden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135"/>
      <c r="I63" s="21">
        <f t="shared" si="3"/>
        <v>0</v>
      </c>
      <c r="J63" s="21"/>
      <c r="K63" s="16"/>
      <c r="L63" s="21"/>
      <c r="M63" s="21"/>
      <c r="N63" s="21"/>
      <c r="O63" s="21"/>
      <c r="P63" s="21"/>
      <c r="Q63" s="21"/>
      <c r="R63" s="21"/>
      <c r="S63" s="21"/>
      <c r="T63" s="4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4"/>
      <c r="AJ63" s="57"/>
      <c r="AK63" s="54"/>
      <c r="AL63" s="65">
        <f t="shared" si="6"/>
        <v>0</v>
      </c>
      <c r="AM63" s="22" t="str">
        <f t="shared" si="2"/>
        <v>OK</v>
      </c>
    </row>
    <row r="64" spans="1:39" customFormat="1" hidden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136"/>
      <c r="I64" s="27">
        <f t="shared" si="3"/>
        <v>0</v>
      </c>
      <c r="J64" s="27"/>
      <c r="K64" s="16"/>
      <c r="L64" s="27"/>
      <c r="M64" s="27"/>
      <c r="N64" s="27"/>
      <c r="O64" s="27"/>
      <c r="P64" s="27"/>
      <c r="Q64" s="27"/>
      <c r="R64" s="27"/>
      <c r="S64" s="27"/>
      <c r="T64" s="43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5"/>
      <c r="AJ64" s="58"/>
      <c r="AK64" s="55"/>
      <c r="AL64" s="66">
        <f t="shared" si="6"/>
        <v>0</v>
      </c>
      <c r="AM64" s="28" t="str">
        <f t="shared" si="2"/>
        <v>OK</v>
      </c>
    </row>
    <row r="65" spans="1:39" customFormat="1" hidden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135"/>
      <c r="I65" s="21">
        <f t="shared" si="3"/>
        <v>0</v>
      </c>
      <c r="J65" s="21"/>
      <c r="K65" s="16"/>
      <c r="L65" s="21"/>
      <c r="M65" s="21"/>
      <c r="N65" s="21"/>
      <c r="O65" s="21"/>
      <c r="P65" s="21"/>
      <c r="Q65" s="21"/>
      <c r="R65" s="21"/>
      <c r="S65" s="21"/>
      <c r="T65" s="4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4"/>
      <c r="AJ65" s="57"/>
      <c r="AK65" s="54"/>
      <c r="AL65" s="65">
        <f t="shared" si="4"/>
        <v>0</v>
      </c>
      <c r="AM65" s="22" t="str">
        <f t="shared" si="2"/>
        <v>OK</v>
      </c>
    </row>
    <row r="66" spans="1:39" customFormat="1" hidden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136"/>
      <c r="I66" s="27">
        <f t="shared" si="3"/>
        <v>0</v>
      </c>
      <c r="J66" s="27"/>
      <c r="K66" s="16"/>
      <c r="L66" s="27"/>
      <c r="M66" s="27"/>
      <c r="N66" s="27"/>
      <c r="O66" s="27"/>
      <c r="P66" s="27"/>
      <c r="Q66" s="27"/>
      <c r="R66" s="27"/>
      <c r="S66" s="27"/>
      <c r="T66" s="43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5"/>
      <c r="AJ66" s="58"/>
      <c r="AK66" s="55"/>
      <c r="AL66" s="66">
        <f t="shared" si="4"/>
        <v>0</v>
      </c>
      <c r="AM66" s="28" t="str">
        <f t="shared" si="2"/>
        <v>OK</v>
      </c>
    </row>
    <row r="67" spans="1:39" customFormat="1" hidden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135">
        <v>1330</v>
      </c>
      <c r="I67" s="21">
        <f t="shared" si="3"/>
        <v>0</v>
      </c>
      <c r="J67" s="21"/>
      <c r="K67" s="16"/>
      <c r="L67" s="21"/>
      <c r="M67" s="21"/>
      <c r="N67" s="21"/>
      <c r="O67" s="21"/>
      <c r="P67" s="21"/>
      <c r="Q67" s="21"/>
      <c r="R67" s="21"/>
      <c r="S67" s="21"/>
      <c r="T67" s="4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4"/>
      <c r="AJ67" s="57"/>
      <c r="AK67" s="54"/>
      <c r="AL67" s="65">
        <f t="shared" si="4"/>
        <v>0</v>
      </c>
      <c r="AM67" s="22" t="str">
        <f t="shared" si="2"/>
        <v>OK</v>
      </c>
    </row>
    <row r="68" spans="1:39" customFormat="1" hidden="1">
      <c r="A68" s="81" t="s">
        <v>132</v>
      </c>
      <c r="B68" s="78">
        <v>20269</v>
      </c>
      <c r="C68" s="23" t="s">
        <v>131</v>
      </c>
      <c r="D68" s="24"/>
      <c r="E68" s="24"/>
      <c r="F68" s="24"/>
      <c r="G68" s="25"/>
      <c r="H68" s="136"/>
      <c r="I68" s="27">
        <f t="shared" si="3"/>
        <v>0</v>
      </c>
      <c r="J68" s="27"/>
      <c r="K68" s="16"/>
      <c r="L68" s="27"/>
      <c r="M68" s="27"/>
      <c r="N68" s="27"/>
      <c r="O68" s="27"/>
      <c r="P68" s="27"/>
      <c r="Q68" s="27"/>
      <c r="R68" s="27"/>
      <c r="S68" s="27"/>
      <c r="T68" s="43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5"/>
      <c r="AJ68" s="58"/>
      <c r="AK68" s="55"/>
      <c r="AL68" s="66">
        <f t="shared" si="4"/>
        <v>0</v>
      </c>
      <c r="AM68" s="28" t="str">
        <f t="shared" si="2"/>
        <v>OK</v>
      </c>
    </row>
    <row r="69" spans="1:39" customFormat="1" hidden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135"/>
      <c r="I69" s="21">
        <f t="shared" si="3"/>
        <v>0</v>
      </c>
      <c r="J69" s="21"/>
      <c r="K69" s="16"/>
      <c r="L69" s="21"/>
      <c r="M69" s="21"/>
      <c r="N69" s="21"/>
      <c r="O69" s="21"/>
      <c r="P69" s="21"/>
      <c r="Q69" s="21"/>
      <c r="R69" s="21"/>
      <c r="S69" s="21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7"/>
      <c r="AK69" s="54"/>
      <c r="AL69" s="65">
        <f t="shared" si="4"/>
        <v>0</v>
      </c>
      <c r="AM69" s="22" t="str">
        <f t="shared" si="2"/>
        <v>OK</v>
      </c>
    </row>
    <row r="70" spans="1:39" customFormat="1" ht="17.25" thickBot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136">
        <v>702</v>
      </c>
      <c r="I70" s="27">
        <f t="shared" si="3"/>
        <v>1</v>
      </c>
      <c r="J70" s="27"/>
      <c r="K70" s="16"/>
      <c r="L70" s="27">
        <v>1</v>
      </c>
      <c r="M70" s="27"/>
      <c r="N70" s="27"/>
      <c r="O70" s="27"/>
      <c r="P70" s="27"/>
      <c r="Q70" s="27"/>
      <c r="R70" s="27"/>
      <c r="S70" s="27"/>
      <c r="T70" s="43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5"/>
      <c r="AJ70" s="58"/>
      <c r="AK70" s="55"/>
      <c r="AL70" s="66">
        <f t="shared" si="4"/>
        <v>1</v>
      </c>
      <c r="AM70" s="28" t="str">
        <f t="shared" si="2"/>
        <v>OK</v>
      </c>
    </row>
    <row r="71" spans="1:39" customFormat="1" ht="17.25" hidden="1" thickBot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135"/>
      <c r="I71" s="21">
        <f t="shared" ref="I71:I96" si="7">SUM(L71:AK71)</f>
        <v>0</v>
      </c>
      <c r="J71" s="21"/>
      <c r="K71" s="16"/>
      <c r="L71" s="21"/>
      <c r="M71" s="21"/>
      <c r="N71" s="21"/>
      <c r="O71" s="21"/>
      <c r="P71" s="21"/>
      <c r="Q71" s="21"/>
      <c r="R71" s="21"/>
      <c r="S71" s="21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4"/>
      <c r="AJ71" s="57"/>
      <c r="AK71" s="54"/>
      <c r="AL71" s="65">
        <f t="shared" si="4"/>
        <v>0</v>
      </c>
      <c r="AM71" s="22" t="str">
        <f t="shared" si="2"/>
        <v>OK</v>
      </c>
    </row>
    <row r="72" spans="1:39" customFormat="1" ht="17.25" hidden="1" thickBot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136"/>
      <c r="I72" s="27">
        <f t="shared" si="7"/>
        <v>0</v>
      </c>
      <c r="J72" s="27"/>
      <c r="K72" s="16"/>
      <c r="L72" s="27"/>
      <c r="M72" s="27"/>
      <c r="N72" s="27"/>
      <c r="O72" s="27"/>
      <c r="P72" s="27"/>
      <c r="Q72" s="27"/>
      <c r="R72" s="27"/>
      <c r="S72" s="27"/>
      <c r="T72" s="43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5"/>
      <c r="AJ72" s="58"/>
      <c r="AK72" s="55"/>
      <c r="AL72" s="66">
        <f t="shared" si="4"/>
        <v>0</v>
      </c>
      <c r="AM72" s="28" t="str">
        <f t="shared" si="2"/>
        <v>OK</v>
      </c>
    </row>
    <row r="73" spans="1:39" customFormat="1" ht="17.25" hidden="1" thickBot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138"/>
      <c r="I73" s="101">
        <f t="shared" si="7"/>
        <v>0</v>
      </c>
      <c r="J73" s="21"/>
      <c r="K73" s="16"/>
      <c r="L73" s="21"/>
      <c r="M73" s="21"/>
      <c r="N73" s="21"/>
      <c r="O73" s="21"/>
      <c r="P73" s="21"/>
      <c r="Q73" s="21"/>
      <c r="R73" s="21"/>
      <c r="S73" s="21"/>
      <c r="T73" s="42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4"/>
      <c r="AJ73" s="57"/>
      <c r="AK73" s="54"/>
      <c r="AL73" s="65">
        <f t="shared" si="4"/>
        <v>0</v>
      </c>
      <c r="AM73" s="22" t="str">
        <f t="shared" si="2"/>
        <v>OK</v>
      </c>
    </row>
    <row r="74" spans="1:39" customFormat="1" ht="17.25" hidden="1" thickBot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139"/>
      <c r="I74" s="103">
        <f t="shared" si="7"/>
        <v>0</v>
      </c>
      <c r="J74" s="27"/>
      <c r="K74" s="16"/>
      <c r="L74" s="100"/>
      <c r="M74" s="100"/>
      <c r="N74" s="100"/>
      <c r="O74" s="100"/>
      <c r="P74" s="100"/>
      <c r="Q74" s="100"/>
      <c r="R74" s="100"/>
      <c r="S74" s="100"/>
      <c r="T74" s="109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1"/>
      <c r="AJ74" s="112"/>
      <c r="AK74" s="111"/>
      <c r="AL74" s="66">
        <f t="shared" si="4"/>
        <v>0</v>
      </c>
      <c r="AM74" s="28" t="str">
        <f t="shared" si="2"/>
        <v>OK</v>
      </c>
    </row>
    <row r="75" spans="1:39" ht="17.25" hidden="1" thickBot="1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40"/>
      <c r="I75" s="105">
        <f t="shared" si="7"/>
        <v>0</v>
      </c>
      <c r="J75" s="90"/>
      <c r="K75" s="91"/>
      <c r="L75" s="113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5"/>
      <c r="AL75" s="92">
        <f t="shared" ref="AL75:AL80" si="8">SUM(L75:AK75)</f>
        <v>0</v>
      </c>
      <c r="AM75" s="122" t="str">
        <f t="shared" ref="AM75:AM96" si="9">IF(AL75=I75,"OK","NG")</f>
        <v>OK</v>
      </c>
    </row>
    <row r="76" spans="1:39" ht="17.25" hidden="1" thickBot="1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139">
        <f>1680+1560</f>
        <v>3240</v>
      </c>
      <c r="I76" s="106">
        <f t="shared" si="7"/>
        <v>0</v>
      </c>
      <c r="J76" s="85"/>
      <c r="K76" s="16"/>
      <c r="L76" s="1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8"/>
      <c r="AL76" s="66">
        <f t="shared" si="8"/>
        <v>0</v>
      </c>
      <c r="AM76" s="28" t="str">
        <f t="shared" si="9"/>
        <v>OK</v>
      </c>
    </row>
    <row r="77" spans="1:39" ht="17.25" hidden="1" thickBot="1">
      <c r="A77" s="87" t="s">
        <v>165</v>
      </c>
      <c r="B77" s="93">
        <v>13007</v>
      </c>
      <c r="C77" s="94" t="s">
        <v>164</v>
      </c>
      <c r="D77" s="88"/>
      <c r="E77" s="88"/>
      <c r="F77" s="88"/>
      <c r="G77" s="89"/>
      <c r="H77" s="104"/>
      <c r="I77" s="105">
        <f t="shared" si="7"/>
        <v>0</v>
      </c>
      <c r="J77" s="90"/>
      <c r="K77" s="91"/>
      <c r="L77" s="113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5"/>
      <c r="AL77" s="92">
        <f t="shared" si="8"/>
        <v>0</v>
      </c>
      <c r="AM77" s="122" t="str">
        <f t="shared" si="9"/>
        <v>OK</v>
      </c>
    </row>
    <row r="78" spans="1:39" ht="17.25" hidden="1" thickBot="1">
      <c r="A78" s="68"/>
      <c r="B78" s="78"/>
      <c r="C78" s="95"/>
      <c r="D78" s="83"/>
      <c r="E78" s="83"/>
      <c r="F78" s="83"/>
      <c r="G78" s="84"/>
      <c r="H78" s="102"/>
      <c r="I78" s="106">
        <f t="shared" si="7"/>
        <v>0</v>
      </c>
      <c r="J78" s="85"/>
      <c r="K78" s="16"/>
      <c r="L78" s="1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66">
        <f t="shared" si="8"/>
        <v>0</v>
      </c>
      <c r="AM78" s="28" t="str">
        <f t="shared" si="9"/>
        <v>OK</v>
      </c>
    </row>
    <row r="79" spans="1:39" ht="17.25" hidden="1" thickBot="1">
      <c r="A79" s="87"/>
      <c r="B79" s="93"/>
      <c r="C79" s="94"/>
      <c r="D79" s="88"/>
      <c r="E79" s="88"/>
      <c r="F79" s="88"/>
      <c r="G79" s="89"/>
      <c r="H79" s="104"/>
      <c r="I79" s="105">
        <f t="shared" si="7"/>
        <v>0</v>
      </c>
      <c r="J79" s="90"/>
      <c r="K79" s="91"/>
      <c r="L79" s="113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5"/>
      <c r="AL79" s="92">
        <f t="shared" si="8"/>
        <v>0</v>
      </c>
      <c r="AM79" s="122" t="str">
        <f t="shared" si="9"/>
        <v>OK</v>
      </c>
    </row>
    <row r="80" spans="1:39" ht="17.25" hidden="1" thickBot="1">
      <c r="A80" s="68"/>
      <c r="B80" s="78"/>
      <c r="C80" s="95"/>
      <c r="D80" s="83"/>
      <c r="E80" s="83"/>
      <c r="F80" s="83"/>
      <c r="G80" s="84"/>
      <c r="H80" s="102"/>
      <c r="I80" s="106">
        <f t="shared" si="7"/>
        <v>0</v>
      </c>
      <c r="J80" s="85"/>
      <c r="K80" s="16"/>
      <c r="L80" s="116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66">
        <f t="shared" si="8"/>
        <v>0</v>
      </c>
      <c r="AM80" s="28" t="str">
        <f t="shared" si="9"/>
        <v>OK</v>
      </c>
    </row>
    <row r="81" spans="1:39" ht="17.25" hidden="1" thickBot="1">
      <c r="A81" s="87"/>
      <c r="B81" s="93"/>
      <c r="C81" s="94"/>
      <c r="D81" s="88"/>
      <c r="E81" s="88"/>
      <c r="F81" s="88"/>
      <c r="G81" s="89"/>
      <c r="H81" s="104"/>
      <c r="I81" s="105">
        <f t="shared" si="7"/>
        <v>0</v>
      </c>
      <c r="J81" s="90"/>
      <c r="K81" s="91"/>
      <c r="L81" s="113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5"/>
      <c r="AL81" s="92">
        <f t="shared" ref="AL81:AL96" si="10">SUM(L81:AK81)</f>
        <v>0</v>
      </c>
      <c r="AM81" s="122" t="str">
        <f t="shared" si="9"/>
        <v>OK</v>
      </c>
    </row>
    <row r="82" spans="1:39" ht="17.25" hidden="1" thickBot="1">
      <c r="A82" s="68"/>
      <c r="B82" s="78"/>
      <c r="C82" s="95"/>
      <c r="D82" s="83"/>
      <c r="E82" s="83"/>
      <c r="F82" s="83"/>
      <c r="G82" s="84"/>
      <c r="H82" s="102"/>
      <c r="I82" s="106">
        <f t="shared" si="7"/>
        <v>0</v>
      </c>
      <c r="J82" s="85"/>
      <c r="K82" s="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66">
        <f t="shared" si="10"/>
        <v>0</v>
      </c>
      <c r="AM82" s="28" t="str">
        <f t="shared" si="9"/>
        <v>OK</v>
      </c>
    </row>
    <row r="83" spans="1:39" ht="17.25" hidden="1" thickBot="1">
      <c r="A83" s="96"/>
      <c r="B83" s="93"/>
      <c r="C83" s="94"/>
      <c r="D83" s="88"/>
      <c r="E83" s="88"/>
      <c r="F83" s="88"/>
      <c r="G83" s="89"/>
      <c r="H83" s="104"/>
      <c r="I83" s="105">
        <f t="shared" si="7"/>
        <v>0</v>
      </c>
      <c r="J83" s="90"/>
      <c r="K83" s="91"/>
      <c r="L83" s="113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5"/>
      <c r="AL83" s="92">
        <f t="shared" si="10"/>
        <v>0</v>
      </c>
      <c r="AM83" s="122" t="str">
        <f t="shared" si="9"/>
        <v>OK</v>
      </c>
    </row>
    <row r="84" spans="1:39" ht="17.25" hidden="1" thickBot="1">
      <c r="A84" s="68"/>
      <c r="B84" s="78"/>
      <c r="C84" s="95"/>
      <c r="D84" s="83"/>
      <c r="E84" s="83"/>
      <c r="F84" s="83"/>
      <c r="G84" s="84"/>
      <c r="H84" s="102"/>
      <c r="I84" s="106">
        <f t="shared" si="7"/>
        <v>0</v>
      </c>
      <c r="J84" s="85"/>
      <c r="K84" s="16"/>
      <c r="L84" s="116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66">
        <f t="shared" si="10"/>
        <v>0</v>
      </c>
      <c r="AM84" s="28" t="str">
        <f t="shared" si="9"/>
        <v>OK</v>
      </c>
    </row>
    <row r="85" spans="1:39" ht="17.25" hidden="1" thickBot="1">
      <c r="A85" s="87"/>
      <c r="B85" s="93"/>
      <c r="C85" s="94"/>
      <c r="D85" s="88"/>
      <c r="E85" s="88"/>
      <c r="F85" s="88"/>
      <c r="G85" s="89"/>
      <c r="H85" s="104"/>
      <c r="I85" s="105">
        <f t="shared" si="7"/>
        <v>0</v>
      </c>
      <c r="J85" s="90"/>
      <c r="K85" s="91"/>
      <c r="L85" s="113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5"/>
      <c r="AL85" s="92">
        <f t="shared" si="10"/>
        <v>0</v>
      </c>
      <c r="AM85" s="122" t="str">
        <f t="shared" si="9"/>
        <v>OK</v>
      </c>
    </row>
    <row r="86" spans="1:39" ht="17.25" hidden="1" thickBot="1">
      <c r="A86" s="68"/>
      <c r="B86" s="78"/>
      <c r="C86" s="95"/>
      <c r="D86" s="83"/>
      <c r="E86" s="83"/>
      <c r="F86" s="83"/>
      <c r="G86" s="84"/>
      <c r="H86" s="102"/>
      <c r="I86" s="106">
        <f t="shared" si="7"/>
        <v>0</v>
      </c>
      <c r="J86" s="85"/>
      <c r="K86" s="16"/>
      <c r="L86" s="116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66">
        <f t="shared" si="10"/>
        <v>0</v>
      </c>
      <c r="AM86" s="28" t="str">
        <f t="shared" si="9"/>
        <v>OK</v>
      </c>
    </row>
    <row r="87" spans="1:39" ht="17.25" hidden="1" thickBot="1">
      <c r="A87" s="87"/>
      <c r="B87" s="93"/>
      <c r="C87" s="94"/>
      <c r="D87" s="88"/>
      <c r="E87" s="88"/>
      <c r="F87" s="88"/>
      <c r="G87" s="89"/>
      <c r="H87" s="104"/>
      <c r="I87" s="105">
        <f t="shared" si="7"/>
        <v>0</v>
      </c>
      <c r="J87" s="90"/>
      <c r="K87" s="91"/>
      <c r="L87" s="113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5"/>
      <c r="AL87" s="92">
        <f t="shared" si="10"/>
        <v>0</v>
      </c>
      <c r="AM87" s="122" t="str">
        <f t="shared" si="9"/>
        <v>OK</v>
      </c>
    </row>
    <row r="88" spans="1:39" ht="17.25" hidden="1" thickBot="1">
      <c r="A88" s="68"/>
      <c r="B88" s="78"/>
      <c r="C88" s="95"/>
      <c r="D88" s="83"/>
      <c r="E88" s="83"/>
      <c r="F88" s="83"/>
      <c r="G88" s="84"/>
      <c r="H88" s="102"/>
      <c r="I88" s="106">
        <f t="shared" si="7"/>
        <v>0</v>
      </c>
      <c r="J88" s="85"/>
      <c r="K88" s="16"/>
      <c r="L88" s="116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66">
        <f t="shared" si="10"/>
        <v>0</v>
      </c>
      <c r="AM88" s="28" t="str">
        <f t="shared" si="9"/>
        <v>OK</v>
      </c>
    </row>
    <row r="89" spans="1:39" ht="17.25" hidden="1" thickBot="1">
      <c r="A89" s="87"/>
      <c r="B89" s="93"/>
      <c r="C89" s="94"/>
      <c r="D89" s="88"/>
      <c r="E89" s="88"/>
      <c r="F89" s="88"/>
      <c r="G89" s="89"/>
      <c r="H89" s="104"/>
      <c r="I89" s="105">
        <f t="shared" si="7"/>
        <v>0</v>
      </c>
      <c r="J89" s="90"/>
      <c r="K89" s="91"/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5"/>
      <c r="AL89" s="92">
        <f t="shared" si="10"/>
        <v>0</v>
      </c>
      <c r="AM89" s="122" t="str">
        <f t="shared" si="9"/>
        <v>OK</v>
      </c>
    </row>
    <row r="90" spans="1:39" ht="17.25" hidden="1" thickBot="1">
      <c r="A90" s="68"/>
      <c r="B90" s="78"/>
      <c r="C90" s="95"/>
      <c r="D90" s="83"/>
      <c r="E90" s="83"/>
      <c r="F90" s="83"/>
      <c r="G90" s="84"/>
      <c r="H90" s="102"/>
      <c r="I90" s="106">
        <f t="shared" si="7"/>
        <v>0</v>
      </c>
      <c r="J90" s="85"/>
      <c r="K90" s="16"/>
      <c r="L90" s="116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66">
        <f t="shared" si="10"/>
        <v>0</v>
      </c>
      <c r="AM90" s="28" t="str">
        <f t="shared" si="9"/>
        <v>OK</v>
      </c>
    </row>
    <row r="91" spans="1:39" ht="17.25" hidden="1" thickBot="1">
      <c r="A91" s="87"/>
      <c r="B91" s="93"/>
      <c r="C91" s="94"/>
      <c r="D91" s="88"/>
      <c r="E91" s="88"/>
      <c r="F91" s="88"/>
      <c r="G91" s="89"/>
      <c r="H91" s="104"/>
      <c r="I91" s="105">
        <f t="shared" si="7"/>
        <v>0</v>
      </c>
      <c r="J91" s="90"/>
      <c r="K91" s="91"/>
      <c r="L91" s="113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5"/>
      <c r="AL91" s="92">
        <f t="shared" si="10"/>
        <v>0</v>
      </c>
      <c r="AM91" s="122" t="str">
        <f t="shared" si="9"/>
        <v>OK</v>
      </c>
    </row>
    <row r="92" spans="1:39" ht="17.25" hidden="1" thickBot="1">
      <c r="A92" s="68"/>
      <c r="B92" s="78"/>
      <c r="C92" s="95"/>
      <c r="D92" s="83"/>
      <c r="E92" s="83"/>
      <c r="F92" s="83"/>
      <c r="G92" s="84"/>
      <c r="H92" s="102"/>
      <c r="I92" s="106">
        <f t="shared" si="7"/>
        <v>0</v>
      </c>
      <c r="J92" s="85"/>
      <c r="K92" s="16"/>
      <c r="L92" s="116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66">
        <f t="shared" si="10"/>
        <v>0</v>
      </c>
      <c r="AM92" s="28" t="str">
        <f t="shared" si="9"/>
        <v>OK</v>
      </c>
    </row>
    <row r="93" spans="1:39" ht="17.25" hidden="1" thickBot="1">
      <c r="A93" s="87"/>
      <c r="B93" s="93"/>
      <c r="C93" s="94"/>
      <c r="D93" s="88"/>
      <c r="E93" s="88"/>
      <c r="F93" s="88"/>
      <c r="G93" s="89"/>
      <c r="H93" s="104"/>
      <c r="I93" s="105">
        <f t="shared" si="7"/>
        <v>0</v>
      </c>
      <c r="J93" s="90"/>
      <c r="K93" s="91"/>
      <c r="L93" s="113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5"/>
      <c r="AL93" s="92">
        <f t="shared" si="10"/>
        <v>0</v>
      </c>
      <c r="AM93" s="122" t="str">
        <f t="shared" si="9"/>
        <v>OK</v>
      </c>
    </row>
    <row r="94" spans="1:39" ht="17.25" hidden="1" thickBot="1">
      <c r="A94" s="68"/>
      <c r="B94" s="78"/>
      <c r="C94" s="95"/>
      <c r="D94" s="83"/>
      <c r="E94" s="83"/>
      <c r="F94" s="83"/>
      <c r="G94" s="84"/>
      <c r="H94" s="102"/>
      <c r="I94" s="106">
        <f t="shared" si="7"/>
        <v>0</v>
      </c>
      <c r="J94" s="85"/>
      <c r="K94" s="16"/>
      <c r="L94" s="116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66">
        <f t="shared" si="10"/>
        <v>0</v>
      </c>
      <c r="AM94" s="28" t="str">
        <f t="shared" si="9"/>
        <v>OK</v>
      </c>
    </row>
    <row r="95" spans="1:39" ht="17.25" hidden="1" thickBot="1">
      <c r="A95" s="87"/>
      <c r="B95" s="93"/>
      <c r="C95" s="94"/>
      <c r="D95" s="88"/>
      <c r="E95" s="88"/>
      <c r="F95" s="88"/>
      <c r="G95" s="89"/>
      <c r="H95" s="104"/>
      <c r="I95" s="105">
        <f t="shared" si="7"/>
        <v>0</v>
      </c>
      <c r="J95" s="90"/>
      <c r="K95" s="91"/>
      <c r="L95" s="113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5"/>
      <c r="AL95" s="92">
        <f t="shared" si="10"/>
        <v>0</v>
      </c>
      <c r="AM95" s="122" t="str">
        <f t="shared" si="9"/>
        <v>OK</v>
      </c>
    </row>
    <row r="96" spans="1:39" ht="17.25" hidden="1" thickBot="1">
      <c r="A96" s="97"/>
      <c r="B96" s="98"/>
      <c r="C96" s="99"/>
      <c r="D96" s="83"/>
      <c r="E96" s="83"/>
      <c r="F96" s="83"/>
      <c r="G96" s="84"/>
      <c r="H96" s="107"/>
      <c r="I96" s="108">
        <f t="shared" si="7"/>
        <v>0</v>
      </c>
      <c r="J96" s="85"/>
      <c r="K96" s="16"/>
      <c r="L96" s="119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1"/>
      <c r="AL96" s="66">
        <f t="shared" si="10"/>
        <v>0</v>
      </c>
      <c r="AM96" s="28" t="str">
        <f t="shared" si="9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27786</v>
      </c>
      <c r="I97" s="46">
        <f>SUM(I6:I96)</f>
        <v>9</v>
      </c>
      <c r="J97" s="47">
        <f>SUM(J6:J74)</f>
        <v>0</v>
      </c>
      <c r="K97" s="9"/>
      <c r="L97" s="45">
        <f>SUM(L6:L96)</f>
        <v>1</v>
      </c>
      <c r="M97" s="45">
        <f t="shared" ref="M97:AI97" si="11">SUM(M6:M96)</f>
        <v>0</v>
      </c>
      <c r="N97" s="45">
        <f t="shared" si="11"/>
        <v>0</v>
      </c>
      <c r="O97" s="45">
        <f t="shared" si="11"/>
        <v>0</v>
      </c>
      <c r="P97" s="45">
        <f t="shared" si="11"/>
        <v>0</v>
      </c>
      <c r="Q97" s="45">
        <f t="shared" si="11"/>
        <v>0</v>
      </c>
      <c r="R97" s="45">
        <f t="shared" si="11"/>
        <v>0</v>
      </c>
      <c r="S97" s="45">
        <f t="shared" si="11"/>
        <v>0</v>
      </c>
      <c r="T97" s="45">
        <f t="shared" si="11"/>
        <v>0</v>
      </c>
      <c r="U97" s="45">
        <f t="shared" si="11"/>
        <v>0</v>
      </c>
      <c r="V97" s="45">
        <f t="shared" si="11"/>
        <v>0</v>
      </c>
      <c r="W97" s="45">
        <f t="shared" si="11"/>
        <v>0</v>
      </c>
      <c r="X97" s="45">
        <f t="shared" si="11"/>
        <v>0</v>
      </c>
      <c r="Y97" s="45">
        <f t="shared" si="11"/>
        <v>5</v>
      </c>
      <c r="Z97" s="45">
        <f t="shared" si="11"/>
        <v>0</v>
      </c>
      <c r="AA97" s="45">
        <f t="shared" si="11"/>
        <v>0</v>
      </c>
      <c r="AB97" s="45">
        <f t="shared" si="11"/>
        <v>0</v>
      </c>
      <c r="AC97" s="45">
        <f t="shared" si="11"/>
        <v>3</v>
      </c>
      <c r="AD97" s="45">
        <f t="shared" si="11"/>
        <v>0</v>
      </c>
      <c r="AE97" s="45">
        <f t="shared" si="11"/>
        <v>0</v>
      </c>
      <c r="AF97" s="45">
        <f t="shared" si="11"/>
        <v>0</v>
      </c>
      <c r="AG97" s="45">
        <f t="shared" si="11"/>
        <v>0</v>
      </c>
      <c r="AH97" s="45">
        <f t="shared" si="11"/>
        <v>0</v>
      </c>
      <c r="AI97" s="45">
        <f t="shared" si="11"/>
        <v>0</v>
      </c>
      <c r="AJ97" s="49">
        <f>SUM(AJ6:AJ96)</f>
        <v>0</v>
      </c>
      <c r="AK97" s="61">
        <f>SUM(AK6:AK96)</f>
        <v>0</v>
      </c>
      <c r="AL97" s="67">
        <f>SUM(AL6:AL96)</f>
        <v>9</v>
      </c>
      <c r="AM97" s="48" t="str">
        <f>IF(AL97=SUM(I97),"OK","NG")</f>
        <v>OK</v>
      </c>
    </row>
    <row r="99" spans="1:39">
      <c r="L99" s="86"/>
    </row>
    <row r="112" spans="1:39">
      <c r="H112" s="86"/>
    </row>
    <row r="113" spans="8:8">
      <c r="H113" s="86"/>
    </row>
    <row r="114" spans="8:8">
      <c r="H114" s="86"/>
    </row>
    <row r="115" spans="8:8">
      <c r="H115" s="86"/>
    </row>
    <row r="116" spans="8:8">
      <c r="H116" s="86"/>
    </row>
    <row r="117" spans="8:8">
      <c r="H117" s="86"/>
    </row>
    <row r="118" spans="8:8">
      <c r="H118" s="86"/>
    </row>
    <row r="119" spans="8:8">
      <c r="H119" s="86"/>
    </row>
  </sheetData>
  <autoFilter ref="A5:AM97" xr:uid="{00000000-0001-0000-1900-000000000000}">
    <filterColumn colId="8">
      <filters>
        <filter val="1"/>
        <filter val="3"/>
        <filter val="9"/>
      </filters>
    </filterColumn>
  </autoFilter>
  <mergeCells count="37">
    <mergeCell ref="AM4:AM5"/>
    <mergeCell ref="AG4:AG5"/>
    <mergeCell ref="AH4:AH5"/>
    <mergeCell ref="AI4:AI5"/>
    <mergeCell ref="AJ4:AJ5"/>
    <mergeCell ref="AK4:AK5"/>
    <mergeCell ref="AL4:AL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B1:C1"/>
    <mergeCell ref="F1:G1"/>
    <mergeCell ref="H1:J3"/>
    <mergeCell ref="B2:C2"/>
    <mergeCell ref="AM2:AM3"/>
    <mergeCell ref="B3:C3"/>
  </mergeCells>
  <phoneticPr fontId="3" type="noConversion"/>
  <conditionalFormatting sqref="A4 AM6:AM97">
    <cfRule type="containsText" dxfId="21" priority="7" operator="containsText" text="NG">
      <formula>NOT(ISERROR(SEARCH("NG",A4)))</formula>
    </cfRule>
    <cfRule type="containsText" dxfId="20" priority="8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51" orientation="landscape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6" filterMode="1">
    <pageSetUpPr fitToPage="1"/>
  </sheetPr>
  <dimension ref="A1:AM99"/>
  <sheetViews>
    <sheetView showGridLines="0" topLeftCell="Q1" zoomScale="85" zoomScaleNormal="85" workbookViewId="0">
      <pane ySplit="5" topLeftCell="A48" activePane="bottomLeft" state="frozen"/>
      <selection activeCell="P19" sqref="P19"/>
      <selection pane="bottomLeft" activeCell="AA109" sqref="AA109"/>
    </sheetView>
  </sheetViews>
  <sheetFormatPr defaultColWidth="9" defaultRowHeight="16.5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16" width="8.75"/>
    <col min="17" max="20" width="9" customWidth="1"/>
    <col min="21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5" customHeight="1" thickBot="1">
      <c r="A1" s="37" t="s">
        <v>13</v>
      </c>
      <c r="B1" s="168">
        <f>H97</f>
        <v>5752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5" customHeight="1" thickBot="1">
      <c r="A2" s="37" t="s">
        <v>14</v>
      </c>
      <c r="B2" s="173">
        <f>I97</f>
        <v>1</v>
      </c>
      <c r="C2" s="174"/>
      <c r="D2" s="75"/>
      <c r="E2" s="71"/>
      <c r="F2" s="2"/>
      <c r="G2" s="2"/>
      <c r="H2" s="171"/>
      <c r="I2" s="171"/>
      <c r="J2" s="171"/>
      <c r="K2" s="3"/>
      <c r="L2" s="4">
        <f t="shared" ref="L2:AK2" si="0">SUBTOTAL(9,L6:L96)</f>
        <v>0</v>
      </c>
      <c r="M2" s="4">
        <f t="shared" si="0"/>
        <v>0</v>
      </c>
      <c r="N2" s="4">
        <f t="shared" si="0"/>
        <v>0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39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0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0</v>
      </c>
      <c r="AH2" s="5">
        <f t="shared" si="0"/>
        <v>0</v>
      </c>
      <c r="AI2" s="5">
        <f t="shared" si="0"/>
        <v>1</v>
      </c>
      <c r="AJ2" s="5">
        <f t="shared" si="0"/>
        <v>0</v>
      </c>
      <c r="AK2" s="59">
        <f t="shared" si="0"/>
        <v>0</v>
      </c>
      <c r="AL2" s="62">
        <f>SUBTOTAL(9,AL6:AL96)</f>
        <v>1</v>
      </c>
      <c r="AM2" s="175"/>
    </row>
    <row r="3" spans="1:39" customFormat="1" ht="22.5" customHeight="1" thickBot="1">
      <c r="A3" s="38" t="s">
        <v>15</v>
      </c>
      <c r="B3" s="177">
        <f>IF(ISERROR(B2/(B2+B1)*1000000),"",(B2/(B2+B1)*1000000))</f>
        <v>173.82235355466713</v>
      </c>
      <c r="C3" s="178"/>
      <c r="D3" s="73"/>
      <c r="E3" s="72"/>
      <c r="F3" s="32"/>
      <c r="G3" s="32"/>
      <c r="H3" s="172"/>
      <c r="I3" s="172"/>
      <c r="J3" s="172"/>
      <c r="K3" s="6"/>
      <c r="L3" s="7">
        <f t="shared" ref="L3:AK3" si="1">SUM(L6:L96)</f>
        <v>0</v>
      </c>
      <c r="M3" s="7">
        <f t="shared" si="1"/>
        <v>0</v>
      </c>
      <c r="N3" s="7">
        <f t="shared" si="1"/>
        <v>0</v>
      </c>
      <c r="O3" s="7">
        <f t="shared" si="1"/>
        <v>0</v>
      </c>
      <c r="P3" s="7">
        <f t="shared" si="1"/>
        <v>0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40">
        <f t="shared" si="1"/>
        <v>0</v>
      </c>
      <c r="U3" s="8">
        <f t="shared" si="1"/>
        <v>0</v>
      </c>
      <c r="V3" s="8">
        <f t="shared" si="1"/>
        <v>0</v>
      </c>
      <c r="W3" s="8">
        <f t="shared" si="1"/>
        <v>0</v>
      </c>
      <c r="X3" s="8">
        <f t="shared" si="1"/>
        <v>0</v>
      </c>
      <c r="Y3" s="8">
        <f t="shared" si="1"/>
        <v>0</v>
      </c>
      <c r="Z3" s="8">
        <f t="shared" si="1"/>
        <v>0</v>
      </c>
      <c r="AA3" s="8">
        <f t="shared" si="1"/>
        <v>0</v>
      </c>
      <c r="AB3" s="8">
        <f t="shared" si="1"/>
        <v>0</v>
      </c>
      <c r="AC3" s="8">
        <f t="shared" si="1"/>
        <v>0</v>
      </c>
      <c r="AD3" s="8">
        <f t="shared" si="1"/>
        <v>0</v>
      </c>
      <c r="AE3" s="8">
        <f t="shared" si="1"/>
        <v>0</v>
      </c>
      <c r="AF3" s="8">
        <f t="shared" si="1"/>
        <v>0</v>
      </c>
      <c r="AG3" s="8">
        <f t="shared" si="1"/>
        <v>0</v>
      </c>
      <c r="AH3" s="8">
        <f t="shared" si="1"/>
        <v>0</v>
      </c>
      <c r="AI3" s="8">
        <f t="shared" si="1"/>
        <v>1</v>
      </c>
      <c r="AJ3" s="8">
        <f t="shared" si="1"/>
        <v>0</v>
      </c>
      <c r="AK3" s="60">
        <f t="shared" si="1"/>
        <v>0</v>
      </c>
      <c r="AL3" s="63">
        <f>SUM(AL6:AL96)</f>
        <v>1</v>
      </c>
      <c r="AM3" s="176"/>
    </row>
    <row r="4" spans="1:39" customFormat="1" ht="43.5" customHeight="1">
      <c r="A4" s="163" t="str">
        <f>AM97</f>
        <v>OK</v>
      </c>
      <c r="B4" s="163"/>
      <c r="C4" s="163"/>
      <c r="D4" s="164"/>
      <c r="E4" s="165" t="s">
        <v>16</v>
      </c>
      <c r="F4" s="165"/>
      <c r="G4" s="165"/>
      <c r="H4" s="165" t="s">
        <v>17</v>
      </c>
      <c r="I4" s="165"/>
      <c r="J4" s="165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1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56" t="s">
        <v>12</v>
      </c>
      <c r="AL4" s="158" t="s">
        <v>36</v>
      </c>
      <c r="AM4" s="149" t="s">
        <v>37</v>
      </c>
    </row>
    <row r="5" spans="1:39" customFormat="1" ht="33.75" thickBot="1">
      <c r="A5" s="34" t="s">
        <v>3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137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6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3"/>
      <c r="AJ5" s="155"/>
      <c r="AK5" s="157"/>
      <c r="AL5" s="159"/>
      <c r="AM5" s="150"/>
    </row>
    <row r="6" spans="1:39" customFormat="1" hidden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34"/>
      <c r="I6" s="15">
        <f>SUM(L6:AK6)</f>
        <v>0</v>
      </c>
      <c r="J6" s="15"/>
      <c r="K6" s="16"/>
      <c r="L6" s="15"/>
      <c r="M6" s="15"/>
      <c r="N6" s="15"/>
      <c r="O6" s="15"/>
      <c r="P6" s="15"/>
      <c r="Q6" s="15"/>
      <c r="R6" s="15"/>
      <c r="S6" s="15"/>
      <c r="T6" s="41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3"/>
      <c r="AJ6" s="56"/>
      <c r="AK6" s="53"/>
      <c r="AL6" s="64">
        <f>SUM(L6:AK6)</f>
        <v>0</v>
      </c>
      <c r="AM6" s="31" t="str">
        <f t="shared" ref="AM6:AM74" si="2">IF(AL6=I6,"OK","NG")</f>
        <v>OK</v>
      </c>
    </row>
    <row r="7" spans="1:39" customFormat="1" hidden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135"/>
      <c r="I7" s="21">
        <f t="shared" ref="I7:I70" si="3">SUM(L7:AK7)</f>
        <v>0</v>
      </c>
      <c r="J7" s="21"/>
      <c r="K7" s="16"/>
      <c r="L7" s="21"/>
      <c r="M7" s="21"/>
      <c r="N7" s="21"/>
      <c r="O7" s="21"/>
      <c r="P7" s="21"/>
      <c r="Q7" s="21"/>
      <c r="R7" s="21"/>
      <c r="S7" s="21"/>
      <c r="T7" s="42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4"/>
      <c r="AJ7" s="57"/>
      <c r="AK7" s="54"/>
      <c r="AL7" s="65">
        <f t="shared" ref="AL7:AL74" si="4">SUM(L7:AK7)</f>
        <v>0</v>
      </c>
      <c r="AM7" s="22" t="str">
        <f t="shared" si="2"/>
        <v>OK</v>
      </c>
    </row>
    <row r="8" spans="1:39" customFormat="1" hidden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36"/>
      <c r="I8" s="27">
        <f t="shared" si="3"/>
        <v>0</v>
      </c>
      <c r="J8" s="27"/>
      <c r="K8" s="16"/>
      <c r="L8" s="27"/>
      <c r="M8" s="27"/>
      <c r="N8" s="27"/>
      <c r="O8" s="27"/>
      <c r="P8" s="27"/>
      <c r="Q8" s="27"/>
      <c r="R8" s="27"/>
      <c r="S8" s="27"/>
      <c r="T8" s="4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5"/>
      <c r="AJ8" s="58"/>
      <c r="AK8" s="55"/>
      <c r="AL8" s="66">
        <f t="shared" si="4"/>
        <v>0</v>
      </c>
      <c r="AM8" s="28" t="str">
        <f t="shared" si="2"/>
        <v>OK</v>
      </c>
    </row>
    <row r="9" spans="1:39" customFormat="1" hidden="1">
      <c r="A9" s="17" t="s">
        <v>68</v>
      </c>
      <c r="B9" s="77">
        <v>10897</v>
      </c>
      <c r="C9" s="17" t="s">
        <v>62</v>
      </c>
      <c r="D9" s="69"/>
      <c r="E9" s="18"/>
      <c r="F9" s="18"/>
      <c r="G9" s="19"/>
      <c r="H9" s="135"/>
      <c r="I9" s="21">
        <f t="shared" si="3"/>
        <v>0</v>
      </c>
      <c r="J9" s="21"/>
      <c r="K9" s="16"/>
      <c r="L9" s="21"/>
      <c r="M9" s="21"/>
      <c r="N9" s="21"/>
      <c r="O9" s="21"/>
      <c r="P9" s="21"/>
      <c r="Q9" s="21"/>
      <c r="R9" s="21"/>
      <c r="S9" s="21"/>
      <c r="T9" s="42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4"/>
      <c r="AJ9" s="57"/>
      <c r="AK9" s="54"/>
      <c r="AL9" s="65">
        <f t="shared" si="4"/>
        <v>0</v>
      </c>
      <c r="AM9" s="22" t="str">
        <f t="shared" si="2"/>
        <v>OK</v>
      </c>
    </row>
    <row r="10" spans="1:39" customFormat="1" hidden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36"/>
      <c r="I10" s="27">
        <f t="shared" si="3"/>
        <v>0</v>
      </c>
      <c r="J10" s="27"/>
      <c r="K10" s="16"/>
      <c r="L10" s="27"/>
      <c r="M10" s="27"/>
      <c r="N10" s="27"/>
      <c r="O10" s="27"/>
      <c r="P10" s="27"/>
      <c r="Q10" s="27"/>
      <c r="R10" s="27"/>
      <c r="S10" s="27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5"/>
      <c r="AJ10" s="58"/>
      <c r="AK10" s="55"/>
      <c r="AL10" s="66">
        <f t="shared" si="4"/>
        <v>0</v>
      </c>
      <c r="AM10" s="28" t="str">
        <f t="shared" si="2"/>
        <v>OK</v>
      </c>
    </row>
    <row r="11" spans="1:39" customFormat="1" hidden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135"/>
      <c r="I11" s="21">
        <f t="shared" si="3"/>
        <v>0</v>
      </c>
      <c r="J11" s="21"/>
      <c r="K11" s="16"/>
      <c r="L11" s="21"/>
      <c r="M11" s="21"/>
      <c r="N11" s="21"/>
      <c r="O11" s="21"/>
      <c r="P11" s="21"/>
      <c r="Q11" s="21"/>
      <c r="R11" s="21"/>
      <c r="S11" s="21"/>
      <c r="T11" s="42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4"/>
      <c r="AJ11" s="57"/>
      <c r="AK11" s="54"/>
      <c r="AL11" s="65">
        <f t="shared" si="4"/>
        <v>0</v>
      </c>
      <c r="AM11" s="22" t="str">
        <f t="shared" si="2"/>
        <v>OK</v>
      </c>
    </row>
    <row r="12" spans="1:39" customFormat="1" hidden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36"/>
      <c r="I12" s="27">
        <f t="shared" si="3"/>
        <v>0</v>
      </c>
      <c r="J12" s="27"/>
      <c r="K12" s="16"/>
      <c r="L12" s="27"/>
      <c r="M12" s="27"/>
      <c r="N12" s="27"/>
      <c r="O12" s="27"/>
      <c r="P12" s="27"/>
      <c r="Q12" s="27"/>
      <c r="R12" s="27"/>
      <c r="S12" s="27"/>
      <c r="T12" s="43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8"/>
      <c r="AK12" s="55"/>
      <c r="AL12" s="66">
        <f t="shared" si="4"/>
        <v>0</v>
      </c>
      <c r="AM12" s="28" t="str">
        <f t="shared" si="2"/>
        <v>OK</v>
      </c>
    </row>
    <row r="13" spans="1:39" customFormat="1" hidden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135"/>
      <c r="I13" s="21">
        <f t="shared" si="3"/>
        <v>0</v>
      </c>
      <c r="J13" s="21"/>
      <c r="K13" s="16"/>
      <c r="L13" s="21"/>
      <c r="M13" s="21"/>
      <c r="N13" s="21"/>
      <c r="O13" s="21"/>
      <c r="P13" s="21"/>
      <c r="Q13" s="21"/>
      <c r="R13" s="21"/>
      <c r="S13" s="21"/>
      <c r="T13" s="4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4"/>
      <c r="AJ13" s="57"/>
      <c r="AK13" s="54"/>
      <c r="AL13" s="65">
        <f t="shared" si="4"/>
        <v>0</v>
      </c>
      <c r="AM13" s="22" t="str">
        <f t="shared" si="2"/>
        <v>OK</v>
      </c>
    </row>
    <row r="14" spans="1:39" customFormat="1" hidden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36"/>
      <c r="I14" s="27">
        <f t="shared" si="3"/>
        <v>0</v>
      </c>
      <c r="J14" s="27"/>
      <c r="K14" s="16"/>
      <c r="L14" s="27"/>
      <c r="M14" s="27"/>
      <c r="N14" s="27"/>
      <c r="O14" s="27"/>
      <c r="P14" s="27"/>
      <c r="Q14" s="27"/>
      <c r="R14" s="27"/>
      <c r="S14" s="27"/>
      <c r="T14" s="43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5"/>
      <c r="AJ14" s="58"/>
      <c r="AK14" s="55"/>
      <c r="AL14" s="66">
        <f t="shared" si="4"/>
        <v>0</v>
      </c>
      <c r="AM14" s="28" t="str">
        <f t="shared" si="2"/>
        <v>OK</v>
      </c>
    </row>
    <row r="15" spans="1:39" customFormat="1" hidden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135"/>
      <c r="I15" s="21">
        <f t="shared" si="3"/>
        <v>0</v>
      </c>
      <c r="J15" s="21"/>
      <c r="K15" s="16"/>
      <c r="L15" s="21"/>
      <c r="M15" s="21"/>
      <c r="N15" s="21"/>
      <c r="O15" s="21"/>
      <c r="P15" s="21"/>
      <c r="Q15" s="21"/>
      <c r="R15" s="21"/>
      <c r="S15" s="21"/>
      <c r="T15" s="42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4"/>
      <c r="AJ15" s="57"/>
      <c r="AK15" s="54"/>
      <c r="AL15" s="65">
        <f t="shared" si="4"/>
        <v>0</v>
      </c>
      <c r="AM15" s="22" t="str">
        <f t="shared" si="2"/>
        <v>OK</v>
      </c>
    </row>
    <row r="16" spans="1:39" customFormat="1" hidden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36"/>
      <c r="I16" s="27">
        <f t="shared" si="3"/>
        <v>0</v>
      </c>
      <c r="J16" s="27"/>
      <c r="K16" s="16"/>
      <c r="L16" s="27"/>
      <c r="M16" s="27"/>
      <c r="N16" s="27"/>
      <c r="O16" s="27"/>
      <c r="P16" s="27"/>
      <c r="Q16" s="27"/>
      <c r="R16" s="27"/>
      <c r="S16" s="27"/>
      <c r="T16" s="43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8"/>
      <c r="AK16" s="55"/>
      <c r="AL16" s="66">
        <f t="shared" si="4"/>
        <v>0</v>
      </c>
      <c r="AM16" s="28" t="str">
        <f t="shared" si="2"/>
        <v>OK</v>
      </c>
    </row>
    <row r="17" spans="1:39" customFormat="1" hidden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135"/>
      <c r="I17" s="21">
        <f t="shared" si="3"/>
        <v>0</v>
      </c>
      <c r="J17" s="21"/>
      <c r="K17" s="16"/>
      <c r="L17" s="21"/>
      <c r="M17" s="21"/>
      <c r="N17" s="21"/>
      <c r="O17" s="21"/>
      <c r="P17" s="21"/>
      <c r="Q17" s="21"/>
      <c r="R17" s="21"/>
      <c r="S17" s="21"/>
      <c r="T17" s="42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4"/>
      <c r="AJ17" s="57"/>
      <c r="AK17" s="54"/>
      <c r="AL17" s="65">
        <f t="shared" si="4"/>
        <v>0</v>
      </c>
      <c r="AM17" s="22" t="str">
        <f t="shared" si="2"/>
        <v>OK</v>
      </c>
    </row>
    <row r="18" spans="1:39" customFormat="1" hidden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36"/>
      <c r="I18" s="27">
        <f t="shared" si="3"/>
        <v>0</v>
      </c>
      <c r="J18" s="27"/>
      <c r="K18" s="16"/>
      <c r="L18" s="27"/>
      <c r="M18" s="27"/>
      <c r="N18" s="27"/>
      <c r="O18" s="27"/>
      <c r="P18" s="27"/>
      <c r="Q18" s="27"/>
      <c r="R18" s="27"/>
      <c r="S18" s="27"/>
      <c r="T18" s="43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8"/>
      <c r="AK18" s="55"/>
      <c r="AL18" s="66">
        <f t="shared" si="4"/>
        <v>0</v>
      </c>
      <c r="AM18" s="28" t="str">
        <f t="shared" si="2"/>
        <v>OK</v>
      </c>
    </row>
    <row r="19" spans="1:39" customFormat="1" hidden="1">
      <c r="A19" s="17" t="s">
        <v>91</v>
      </c>
      <c r="B19" s="77">
        <v>14988</v>
      </c>
      <c r="C19" s="17" t="s">
        <v>64</v>
      </c>
      <c r="D19" s="69"/>
      <c r="E19" s="18"/>
      <c r="F19" s="18"/>
      <c r="G19" s="19"/>
      <c r="H19" s="135"/>
      <c r="I19" s="21">
        <f t="shared" si="3"/>
        <v>0</v>
      </c>
      <c r="J19" s="21"/>
      <c r="K19" s="16"/>
      <c r="L19" s="21"/>
      <c r="M19" s="21"/>
      <c r="N19" s="21"/>
      <c r="O19" s="21"/>
      <c r="P19" s="21"/>
      <c r="Q19" s="21"/>
      <c r="R19" s="21"/>
      <c r="S19" s="21"/>
      <c r="T19" s="42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4"/>
      <c r="AJ19" s="57"/>
      <c r="AK19" s="54"/>
      <c r="AL19" s="65">
        <f t="shared" si="4"/>
        <v>0</v>
      </c>
      <c r="AM19" s="22" t="str">
        <f t="shared" si="2"/>
        <v>OK</v>
      </c>
    </row>
    <row r="20" spans="1:39" customFormat="1" hidden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136"/>
      <c r="I20" s="27">
        <f t="shared" si="3"/>
        <v>0</v>
      </c>
      <c r="J20" s="27"/>
      <c r="K20" s="16"/>
      <c r="L20" s="27"/>
      <c r="M20" s="27"/>
      <c r="N20" s="27"/>
      <c r="O20" s="27"/>
      <c r="P20" s="27"/>
      <c r="Q20" s="27"/>
      <c r="R20" s="27"/>
      <c r="S20" s="27"/>
      <c r="T20" s="43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8"/>
      <c r="AK20" s="55"/>
      <c r="AL20" s="66">
        <f t="shared" si="4"/>
        <v>0</v>
      </c>
      <c r="AM20" s="28" t="str">
        <f t="shared" si="2"/>
        <v>OK</v>
      </c>
    </row>
    <row r="21" spans="1:39" customFormat="1" hidden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135"/>
      <c r="I21" s="21">
        <f t="shared" si="3"/>
        <v>0</v>
      </c>
      <c r="J21" s="21"/>
      <c r="K21" s="16"/>
      <c r="L21" s="21"/>
      <c r="M21" s="21"/>
      <c r="N21" s="21"/>
      <c r="O21" s="21"/>
      <c r="P21" s="21"/>
      <c r="Q21" s="21"/>
      <c r="R21" s="21"/>
      <c r="S21" s="21"/>
      <c r="T21" s="4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4"/>
      <c r="AJ21" s="57"/>
      <c r="AK21" s="54"/>
      <c r="AL21" s="65">
        <f t="shared" si="4"/>
        <v>0</v>
      </c>
      <c r="AM21" s="22" t="str">
        <f t="shared" si="2"/>
        <v>OK</v>
      </c>
    </row>
    <row r="22" spans="1:39" customFormat="1" hidden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36"/>
      <c r="I22" s="27">
        <f t="shared" si="3"/>
        <v>0</v>
      </c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43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5"/>
      <c r="AJ22" s="58"/>
      <c r="AK22" s="55"/>
      <c r="AL22" s="66">
        <f t="shared" si="4"/>
        <v>0</v>
      </c>
      <c r="AM22" s="28" t="str">
        <f t="shared" si="2"/>
        <v>OK</v>
      </c>
    </row>
    <row r="23" spans="1:39" customFormat="1" hidden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135"/>
      <c r="I23" s="21">
        <f t="shared" si="3"/>
        <v>0</v>
      </c>
      <c r="J23" s="21"/>
      <c r="K23" s="16"/>
      <c r="L23" s="21"/>
      <c r="M23" s="21"/>
      <c r="N23" s="21"/>
      <c r="O23" s="21"/>
      <c r="P23" s="21"/>
      <c r="Q23" s="21"/>
      <c r="R23" s="21"/>
      <c r="S23" s="21"/>
      <c r="T23" s="42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7"/>
      <c r="AK23" s="54"/>
      <c r="AL23" s="65">
        <f>SUM(L23:AK23)</f>
        <v>0</v>
      </c>
      <c r="AM23" s="22" t="str">
        <f t="shared" si="2"/>
        <v>OK</v>
      </c>
    </row>
    <row r="24" spans="1:39" customFormat="1" hidden="1">
      <c r="A24" s="68" t="s">
        <v>44</v>
      </c>
      <c r="B24" s="78">
        <v>10163</v>
      </c>
      <c r="C24" s="23" t="s">
        <v>45</v>
      </c>
      <c r="D24" s="24"/>
      <c r="E24" s="24"/>
      <c r="F24" s="24"/>
      <c r="G24" s="25"/>
      <c r="H24" s="136"/>
      <c r="I24" s="27">
        <f t="shared" si="3"/>
        <v>0</v>
      </c>
      <c r="J24" s="27"/>
      <c r="K24" s="16"/>
      <c r="L24" s="27"/>
      <c r="M24" s="27"/>
      <c r="N24" s="27"/>
      <c r="O24" s="27"/>
      <c r="P24" s="27"/>
      <c r="Q24" s="27"/>
      <c r="R24" s="27"/>
      <c r="S24" s="27"/>
      <c r="T24" s="43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5"/>
      <c r="AJ24" s="58"/>
      <c r="AK24" s="55"/>
      <c r="AL24" s="66">
        <f t="shared" si="4"/>
        <v>0</v>
      </c>
      <c r="AM24" s="28" t="str">
        <f t="shared" si="2"/>
        <v>OK</v>
      </c>
    </row>
    <row r="25" spans="1:39" customFormat="1" hidden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135"/>
      <c r="I25" s="21">
        <f t="shared" si="3"/>
        <v>0</v>
      </c>
      <c r="J25" s="21"/>
      <c r="K25" s="16"/>
      <c r="L25" s="21"/>
      <c r="M25" s="21"/>
      <c r="N25" s="21"/>
      <c r="O25" s="21"/>
      <c r="P25" s="21"/>
      <c r="Q25" s="21"/>
      <c r="R25" s="21"/>
      <c r="S25" s="21"/>
      <c r="T25" s="42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4"/>
      <c r="AJ25" s="57"/>
      <c r="AK25" s="54"/>
      <c r="AL25" s="65">
        <f t="shared" si="4"/>
        <v>0</v>
      </c>
      <c r="AM25" s="22" t="str">
        <f t="shared" si="2"/>
        <v>OK</v>
      </c>
    </row>
    <row r="26" spans="1:39" customFormat="1" hidden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36"/>
      <c r="I26" s="27">
        <f t="shared" si="3"/>
        <v>0</v>
      </c>
      <c r="J26" s="27"/>
      <c r="K26" s="16"/>
      <c r="L26" s="27"/>
      <c r="M26" s="27"/>
      <c r="N26" s="27"/>
      <c r="O26" s="27"/>
      <c r="P26" s="27"/>
      <c r="Q26" s="27"/>
      <c r="R26" s="27"/>
      <c r="S26" s="27"/>
      <c r="T26" s="43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8"/>
      <c r="AK26" s="55"/>
      <c r="AL26" s="66">
        <f t="shared" si="4"/>
        <v>0</v>
      </c>
      <c r="AM26" s="28" t="str">
        <f t="shared" si="2"/>
        <v>OK</v>
      </c>
    </row>
    <row r="27" spans="1:39" customFormat="1" hidden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135"/>
      <c r="I27" s="21">
        <f t="shared" si="3"/>
        <v>0</v>
      </c>
      <c r="J27" s="21"/>
      <c r="K27" s="16"/>
      <c r="L27" s="21"/>
      <c r="M27" s="21"/>
      <c r="N27" s="21"/>
      <c r="O27" s="21"/>
      <c r="P27" s="21"/>
      <c r="Q27" s="21"/>
      <c r="R27" s="21"/>
      <c r="S27" s="21"/>
      <c r="T27" s="4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7"/>
      <c r="AK27" s="54"/>
      <c r="AL27" s="65">
        <f t="shared" si="4"/>
        <v>0</v>
      </c>
      <c r="AM27" s="22" t="str">
        <f t="shared" si="2"/>
        <v>OK</v>
      </c>
    </row>
    <row r="28" spans="1:39" customFormat="1" hidden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136"/>
      <c r="I28" s="27">
        <f t="shared" si="3"/>
        <v>0</v>
      </c>
      <c r="J28" s="27"/>
      <c r="K28" s="16"/>
      <c r="L28" s="27"/>
      <c r="M28" s="27"/>
      <c r="N28" s="27"/>
      <c r="O28" s="27"/>
      <c r="P28" s="27"/>
      <c r="Q28" s="27"/>
      <c r="R28" s="27"/>
      <c r="S28" s="27"/>
      <c r="T28" s="43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5"/>
      <c r="AJ28" s="58"/>
      <c r="AK28" s="55"/>
      <c r="AL28" s="66">
        <f t="shared" si="4"/>
        <v>0</v>
      </c>
      <c r="AM28" s="28" t="str">
        <f t="shared" si="2"/>
        <v>OK</v>
      </c>
    </row>
    <row r="29" spans="1:39" customFormat="1" hidden="1">
      <c r="A29" s="80" t="s">
        <v>71</v>
      </c>
      <c r="B29" s="77">
        <v>10151</v>
      </c>
      <c r="C29" s="17" t="s">
        <v>51</v>
      </c>
      <c r="D29" s="69"/>
      <c r="E29" s="18"/>
      <c r="F29" s="18"/>
      <c r="G29" s="19"/>
      <c r="H29" s="135"/>
      <c r="I29" s="21">
        <f t="shared" si="3"/>
        <v>0</v>
      </c>
      <c r="J29" s="21"/>
      <c r="K29" s="16"/>
      <c r="L29" s="21"/>
      <c r="M29" s="21"/>
      <c r="N29" s="21"/>
      <c r="O29" s="21"/>
      <c r="P29" s="21"/>
      <c r="Q29" s="21"/>
      <c r="R29" s="21"/>
      <c r="S29" s="21"/>
      <c r="T29" s="42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4"/>
      <c r="AJ29" s="57"/>
      <c r="AK29" s="54"/>
      <c r="AL29" s="65">
        <f t="shared" si="4"/>
        <v>0</v>
      </c>
      <c r="AM29" s="22" t="str">
        <f t="shared" si="2"/>
        <v>OK</v>
      </c>
    </row>
    <row r="30" spans="1:39" customFormat="1" hidden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137"/>
      <c r="I30" s="27">
        <f t="shared" si="3"/>
        <v>0</v>
      </c>
      <c r="J30" s="27"/>
      <c r="K30" s="16"/>
      <c r="L30" s="27"/>
      <c r="M30" s="27"/>
      <c r="N30" s="27"/>
      <c r="O30" s="27"/>
      <c r="P30" s="27"/>
      <c r="Q30" s="27"/>
      <c r="R30" s="27"/>
      <c r="S30" s="27"/>
      <c r="T30" s="43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5"/>
      <c r="AJ30" s="58"/>
      <c r="AK30" s="55"/>
      <c r="AL30" s="66">
        <f t="shared" si="4"/>
        <v>0</v>
      </c>
      <c r="AM30" s="28" t="str">
        <f t="shared" si="2"/>
        <v>OK</v>
      </c>
    </row>
    <row r="31" spans="1:39" customFormat="1" hidden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135"/>
      <c r="I31" s="21">
        <f t="shared" si="3"/>
        <v>0</v>
      </c>
      <c r="J31" s="21"/>
      <c r="K31" s="16"/>
      <c r="L31" s="21"/>
      <c r="M31" s="21"/>
      <c r="N31" s="21"/>
      <c r="O31" s="21"/>
      <c r="P31" s="21"/>
      <c r="Q31" s="21"/>
      <c r="R31" s="21"/>
      <c r="S31" s="21"/>
      <c r="T31" s="4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7"/>
      <c r="AK31" s="54"/>
      <c r="AL31" s="65">
        <f t="shared" si="4"/>
        <v>0</v>
      </c>
      <c r="AM31" s="22" t="str">
        <f t="shared" si="2"/>
        <v>OK</v>
      </c>
    </row>
    <row r="32" spans="1:39" customFormat="1" hidden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136"/>
      <c r="I32" s="27">
        <f t="shared" si="3"/>
        <v>0</v>
      </c>
      <c r="J32" s="27"/>
      <c r="K32" s="16"/>
      <c r="L32" s="27"/>
      <c r="M32" s="27"/>
      <c r="N32" s="27"/>
      <c r="O32" s="27"/>
      <c r="P32" s="27"/>
      <c r="Q32" s="27"/>
      <c r="R32" s="27"/>
      <c r="S32" s="27"/>
      <c r="T32" s="43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5"/>
      <c r="AJ32" s="58"/>
      <c r="AK32" s="55"/>
      <c r="AL32" s="66">
        <f t="shared" si="4"/>
        <v>0</v>
      </c>
      <c r="AM32" s="28" t="str">
        <f t="shared" si="2"/>
        <v>OK</v>
      </c>
    </row>
    <row r="33" spans="1:39" customFormat="1" hidden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135"/>
      <c r="I33" s="21">
        <f t="shared" si="3"/>
        <v>0</v>
      </c>
      <c r="J33" s="21"/>
      <c r="K33" s="16"/>
      <c r="L33" s="21"/>
      <c r="M33" s="21"/>
      <c r="N33" s="21"/>
      <c r="O33" s="21"/>
      <c r="P33" s="21"/>
      <c r="Q33" s="21"/>
      <c r="R33" s="21"/>
      <c r="S33" s="21"/>
      <c r="T33" s="42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4"/>
      <c r="AJ33" s="57"/>
      <c r="AK33" s="54"/>
      <c r="AL33" s="65">
        <f t="shared" si="4"/>
        <v>0</v>
      </c>
      <c r="AM33" s="22" t="str">
        <f t="shared" si="2"/>
        <v>OK</v>
      </c>
    </row>
    <row r="34" spans="1:39" customFormat="1" hidden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136"/>
      <c r="I34" s="27">
        <f t="shared" si="3"/>
        <v>0</v>
      </c>
      <c r="J34" s="27"/>
      <c r="K34" s="16"/>
      <c r="L34" s="27"/>
      <c r="M34" s="27"/>
      <c r="N34" s="27"/>
      <c r="O34" s="27"/>
      <c r="P34" s="27"/>
      <c r="Q34" s="27"/>
      <c r="R34" s="27"/>
      <c r="S34" s="27"/>
      <c r="T34" s="43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5"/>
      <c r="AJ34" s="58"/>
      <c r="AK34" s="55"/>
      <c r="AL34" s="66">
        <f t="shared" si="4"/>
        <v>0</v>
      </c>
      <c r="AM34" s="28" t="str">
        <f t="shared" si="2"/>
        <v>OK</v>
      </c>
    </row>
    <row r="35" spans="1:39" customFormat="1" hidden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135"/>
      <c r="I35" s="21">
        <f t="shared" si="3"/>
        <v>0</v>
      </c>
      <c r="J35" s="21"/>
      <c r="K35" s="16"/>
      <c r="L35" s="21"/>
      <c r="M35" s="21"/>
      <c r="N35" s="21"/>
      <c r="O35" s="21"/>
      <c r="P35" s="21"/>
      <c r="Q35" s="21"/>
      <c r="R35" s="21"/>
      <c r="S35" s="21"/>
      <c r="T35" s="42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4"/>
      <c r="AJ35" s="57"/>
      <c r="AK35" s="54"/>
      <c r="AL35" s="65">
        <f t="shared" si="4"/>
        <v>0</v>
      </c>
      <c r="AM35" s="22" t="str">
        <f t="shared" si="2"/>
        <v>OK</v>
      </c>
    </row>
    <row r="36" spans="1:39" customFormat="1" hidden="1">
      <c r="A36" s="68" t="s">
        <v>76</v>
      </c>
      <c r="B36" s="78">
        <v>10135</v>
      </c>
      <c r="C36" s="23" t="s">
        <v>56</v>
      </c>
      <c r="D36" s="24"/>
      <c r="E36" s="24"/>
      <c r="F36" s="24"/>
      <c r="G36" s="25"/>
      <c r="H36" s="136"/>
      <c r="I36" s="27">
        <f t="shared" si="3"/>
        <v>0</v>
      </c>
      <c r="J36" s="27"/>
      <c r="K36" s="16"/>
      <c r="L36" s="27"/>
      <c r="M36" s="27"/>
      <c r="N36" s="27"/>
      <c r="O36" s="27"/>
      <c r="P36" s="27"/>
      <c r="Q36" s="27"/>
      <c r="R36" s="27"/>
      <c r="S36" s="27"/>
      <c r="T36" s="43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5"/>
      <c r="AJ36" s="58"/>
      <c r="AK36" s="55"/>
      <c r="AL36" s="66">
        <f t="shared" si="4"/>
        <v>0</v>
      </c>
      <c r="AM36" s="28" t="str">
        <f t="shared" si="2"/>
        <v>OK</v>
      </c>
    </row>
    <row r="37" spans="1:39" customFormat="1" hidden="1">
      <c r="A37" s="80" t="s">
        <v>77</v>
      </c>
      <c r="B37" s="77">
        <v>10133</v>
      </c>
      <c r="C37" s="17" t="s">
        <v>55</v>
      </c>
      <c r="D37" s="69"/>
      <c r="E37" s="18"/>
      <c r="F37" s="18"/>
      <c r="G37" s="19"/>
      <c r="H37" s="135"/>
      <c r="I37" s="21">
        <f t="shared" si="3"/>
        <v>0</v>
      </c>
      <c r="J37" s="21"/>
      <c r="K37" s="16"/>
      <c r="L37" s="21"/>
      <c r="M37" s="21"/>
      <c r="N37" s="21"/>
      <c r="O37" s="21"/>
      <c r="P37" s="21"/>
      <c r="Q37" s="21"/>
      <c r="R37" s="21"/>
      <c r="S37" s="21"/>
      <c r="T37" s="42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4"/>
      <c r="AJ37" s="57"/>
      <c r="AK37" s="54"/>
      <c r="AL37" s="65">
        <f t="shared" si="4"/>
        <v>0</v>
      </c>
      <c r="AM37" s="22" t="str">
        <f t="shared" si="2"/>
        <v>OK</v>
      </c>
    </row>
    <row r="38" spans="1:39" customFormat="1" hidden="1">
      <c r="A38" s="68" t="s">
        <v>78</v>
      </c>
      <c r="B38" s="78">
        <v>10131</v>
      </c>
      <c r="C38" s="23" t="s">
        <v>56</v>
      </c>
      <c r="D38" s="24"/>
      <c r="E38" s="24"/>
      <c r="F38" s="24"/>
      <c r="G38" s="25"/>
      <c r="H38" s="136">
        <f>1030+300+910</f>
        <v>2240</v>
      </c>
      <c r="I38" s="27">
        <f t="shared" si="3"/>
        <v>0</v>
      </c>
      <c r="J38" s="27"/>
      <c r="K38" s="16"/>
      <c r="L38" s="27"/>
      <c r="M38" s="27"/>
      <c r="N38" s="27"/>
      <c r="O38" s="27"/>
      <c r="P38" s="27"/>
      <c r="Q38" s="27"/>
      <c r="R38" s="27"/>
      <c r="S38" s="27"/>
      <c r="T38" s="43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5"/>
      <c r="AJ38" s="58"/>
      <c r="AK38" s="55"/>
      <c r="AL38" s="66">
        <f t="shared" ref="AL38:AL50" si="5">SUM(L38:AK38)</f>
        <v>0</v>
      </c>
      <c r="AM38" s="28" t="str">
        <f t="shared" si="2"/>
        <v>OK</v>
      </c>
    </row>
    <row r="39" spans="1:39" customFormat="1" hidden="1">
      <c r="A39" s="17" t="s">
        <v>79</v>
      </c>
      <c r="B39" s="77">
        <v>10129</v>
      </c>
      <c r="C39" s="17" t="s">
        <v>57</v>
      </c>
      <c r="D39" s="69"/>
      <c r="E39" s="18"/>
      <c r="F39" s="18"/>
      <c r="G39" s="19"/>
      <c r="H39" s="135"/>
      <c r="I39" s="21">
        <f t="shared" si="3"/>
        <v>0</v>
      </c>
      <c r="J39" s="21"/>
      <c r="K39" s="16"/>
      <c r="L39" s="21"/>
      <c r="M39" s="21"/>
      <c r="N39" s="21"/>
      <c r="O39" s="21"/>
      <c r="P39" s="21"/>
      <c r="Q39" s="21"/>
      <c r="R39" s="21"/>
      <c r="S39" s="21"/>
      <c r="T39" s="42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4"/>
      <c r="AJ39" s="57"/>
      <c r="AK39" s="54"/>
      <c r="AL39" s="65">
        <f t="shared" si="5"/>
        <v>0</v>
      </c>
      <c r="AM39" s="22" t="str">
        <f t="shared" si="2"/>
        <v>OK</v>
      </c>
    </row>
    <row r="40" spans="1:39" customFormat="1" hidden="1">
      <c r="A40" s="68" t="s">
        <v>80</v>
      </c>
      <c r="B40" s="78">
        <v>10127</v>
      </c>
      <c r="C40" s="23" t="s">
        <v>58</v>
      </c>
      <c r="D40" s="24"/>
      <c r="E40" s="24"/>
      <c r="F40" s="24"/>
      <c r="G40" s="25"/>
      <c r="H40" s="136"/>
      <c r="I40" s="27">
        <f t="shared" si="3"/>
        <v>0</v>
      </c>
      <c r="J40" s="27"/>
      <c r="K40" s="16"/>
      <c r="L40" s="27"/>
      <c r="M40" s="27"/>
      <c r="N40" s="27"/>
      <c r="O40" s="27"/>
      <c r="P40" s="27"/>
      <c r="Q40" s="27"/>
      <c r="R40" s="27"/>
      <c r="S40" s="27"/>
      <c r="T40" s="43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5"/>
      <c r="AJ40" s="58"/>
      <c r="AK40" s="55"/>
      <c r="AL40" s="66">
        <f t="shared" si="5"/>
        <v>0</v>
      </c>
      <c r="AM40" s="28" t="str">
        <f t="shared" si="2"/>
        <v>OK</v>
      </c>
    </row>
    <row r="41" spans="1:39" customFormat="1" hidden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135"/>
      <c r="I41" s="21">
        <f t="shared" si="3"/>
        <v>0</v>
      </c>
      <c r="J41" s="21"/>
      <c r="K41" s="16"/>
      <c r="L41" s="21"/>
      <c r="M41" s="21"/>
      <c r="N41" s="21"/>
      <c r="O41" s="21"/>
      <c r="P41" s="21"/>
      <c r="Q41" s="21"/>
      <c r="R41" s="21"/>
      <c r="S41" s="21"/>
      <c r="T41" s="4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4"/>
      <c r="AJ41" s="57"/>
      <c r="AK41" s="54"/>
      <c r="AL41" s="65">
        <f t="shared" si="5"/>
        <v>0</v>
      </c>
      <c r="AM41" s="22" t="str">
        <f t="shared" si="2"/>
        <v>OK</v>
      </c>
    </row>
    <row r="42" spans="1:39" customFormat="1" hidden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136"/>
      <c r="I42" s="27">
        <f t="shared" si="3"/>
        <v>0</v>
      </c>
      <c r="J42" s="27"/>
      <c r="K42" s="16"/>
      <c r="L42" s="27"/>
      <c r="M42" s="27"/>
      <c r="N42" s="27"/>
      <c r="O42" s="27"/>
      <c r="P42" s="27"/>
      <c r="Q42" s="27"/>
      <c r="R42" s="27"/>
      <c r="S42" s="27"/>
      <c r="T42" s="43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5"/>
      <c r="AJ42" s="58"/>
      <c r="AK42" s="55"/>
      <c r="AL42" s="66">
        <f t="shared" si="5"/>
        <v>0</v>
      </c>
      <c r="AM42" s="28" t="str">
        <f t="shared" si="2"/>
        <v>OK</v>
      </c>
    </row>
    <row r="43" spans="1:39" customFormat="1" hidden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135"/>
      <c r="I43" s="21">
        <f t="shared" si="3"/>
        <v>0</v>
      </c>
      <c r="J43" s="21"/>
      <c r="K43" s="16"/>
      <c r="L43" s="21"/>
      <c r="M43" s="21"/>
      <c r="N43" s="21"/>
      <c r="O43" s="21"/>
      <c r="P43" s="21"/>
      <c r="Q43" s="21"/>
      <c r="R43" s="21"/>
      <c r="S43" s="21"/>
      <c r="T43" s="42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4"/>
      <c r="AJ43" s="57"/>
      <c r="AK43" s="54"/>
      <c r="AL43" s="65">
        <f t="shared" si="5"/>
        <v>0</v>
      </c>
      <c r="AM43" s="22" t="str">
        <f t="shared" si="2"/>
        <v>OK</v>
      </c>
    </row>
    <row r="44" spans="1:39" customFormat="1" hidden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136"/>
      <c r="I44" s="27">
        <f t="shared" si="3"/>
        <v>0</v>
      </c>
      <c r="J44" s="27"/>
      <c r="K44" s="16"/>
      <c r="L44" s="27"/>
      <c r="M44" s="27"/>
      <c r="N44" s="27"/>
      <c r="O44" s="27"/>
      <c r="P44" s="27"/>
      <c r="Q44" s="27"/>
      <c r="R44" s="27"/>
      <c r="S44" s="27"/>
      <c r="T44" s="43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5"/>
      <c r="AJ44" s="58"/>
      <c r="AK44" s="55"/>
      <c r="AL44" s="66">
        <f t="shared" si="5"/>
        <v>0</v>
      </c>
      <c r="AM44" s="28" t="str">
        <f t="shared" si="2"/>
        <v>OK</v>
      </c>
    </row>
    <row r="45" spans="1:39" customFormat="1" hidden="1">
      <c r="A45" s="17" t="s">
        <v>107</v>
      </c>
      <c r="B45" s="77">
        <v>13467</v>
      </c>
      <c r="C45" s="17" t="s">
        <v>87</v>
      </c>
      <c r="D45" s="69"/>
      <c r="E45" s="18"/>
      <c r="F45" s="18"/>
      <c r="G45" s="19"/>
      <c r="H45" s="135"/>
      <c r="I45" s="21">
        <f t="shared" si="3"/>
        <v>0</v>
      </c>
      <c r="J45" s="21"/>
      <c r="K45" s="16"/>
      <c r="L45" s="21"/>
      <c r="M45" s="21"/>
      <c r="N45" s="21"/>
      <c r="O45" s="21"/>
      <c r="P45" s="21"/>
      <c r="Q45" s="21"/>
      <c r="R45" s="21"/>
      <c r="S45" s="21"/>
      <c r="T45" s="4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4"/>
      <c r="AJ45" s="57"/>
      <c r="AK45" s="54"/>
      <c r="AL45" s="65">
        <f t="shared" si="5"/>
        <v>0</v>
      </c>
      <c r="AM45" s="22" t="str">
        <f t="shared" si="2"/>
        <v>OK</v>
      </c>
    </row>
    <row r="46" spans="1:39" customFormat="1" hidden="1">
      <c r="A46" s="68" t="s">
        <v>111</v>
      </c>
      <c r="B46" s="78">
        <v>15948</v>
      </c>
      <c r="C46" s="23" t="s">
        <v>87</v>
      </c>
      <c r="D46" s="24"/>
      <c r="E46" s="24"/>
      <c r="F46" s="24"/>
      <c r="G46" s="25"/>
      <c r="H46" s="136"/>
      <c r="I46" s="27">
        <f t="shared" si="3"/>
        <v>0</v>
      </c>
      <c r="J46" s="27"/>
      <c r="K46" s="16"/>
      <c r="L46" s="27"/>
      <c r="M46" s="27"/>
      <c r="N46" s="27"/>
      <c r="O46" s="27"/>
      <c r="P46" s="27"/>
      <c r="Q46" s="27"/>
      <c r="R46" s="27"/>
      <c r="S46" s="27"/>
      <c r="T46" s="43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5"/>
      <c r="AJ46" s="58"/>
      <c r="AK46" s="55"/>
      <c r="AL46" s="66">
        <f t="shared" si="5"/>
        <v>0</v>
      </c>
      <c r="AM46" s="28" t="str">
        <f t="shared" si="2"/>
        <v>OK</v>
      </c>
    </row>
    <row r="47" spans="1:39" customFormat="1" hidden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135"/>
      <c r="I47" s="21">
        <f t="shared" si="3"/>
        <v>0</v>
      </c>
      <c r="J47" s="21"/>
      <c r="K47" s="16"/>
      <c r="L47" s="21"/>
      <c r="M47" s="21"/>
      <c r="N47" s="21"/>
      <c r="O47" s="21"/>
      <c r="P47" s="21"/>
      <c r="Q47" s="21"/>
      <c r="R47" s="21"/>
      <c r="S47" s="21"/>
      <c r="T47" s="42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4"/>
      <c r="AJ47" s="57"/>
      <c r="AK47" s="54"/>
      <c r="AL47" s="65">
        <f t="shared" si="5"/>
        <v>0</v>
      </c>
      <c r="AM47" s="22" t="str">
        <f t="shared" si="2"/>
        <v>OK</v>
      </c>
    </row>
    <row r="48" spans="1:39" customFormat="1" ht="17.25" thickBot="1">
      <c r="A48" s="68" t="s">
        <v>121</v>
      </c>
      <c r="B48" s="78">
        <v>16598</v>
      </c>
      <c r="C48" s="23" t="s">
        <v>87</v>
      </c>
      <c r="D48" s="24"/>
      <c r="E48" s="24"/>
      <c r="F48" s="24"/>
      <c r="G48" s="25"/>
      <c r="H48" s="136">
        <f>1006+300</f>
        <v>1306</v>
      </c>
      <c r="I48" s="27">
        <f t="shared" si="3"/>
        <v>1</v>
      </c>
      <c r="J48" s="27"/>
      <c r="K48" s="16"/>
      <c r="L48" s="27"/>
      <c r="M48" s="27"/>
      <c r="N48" s="27"/>
      <c r="O48" s="27"/>
      <c r="P48" s="27"/>
      <c r="Q48" s="27"/>
      <c r="R48" s="27"/>
      <c r="S48" s="27"/>
      <c r="T48" s="43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5">
        <v>1</v>
      </c>
      <c r="AJ48" s="58"/>
      <c r="AK48" s="55"/>
      <c r="AL48" s="66">
        <f t="shared" si="5"/>
        <v>1</v>
      </c>
      <c r="AM48" s="28" t="str">
        <f t="shared" si="2"/>
        <v>OK</v>
      </c>
    </row>
    <row r="49" spans="1:39" customFormat="1" ht="17.25" hidden="1" thickBot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135"/>
      <c r="I49" s="21">
        <f t="shared" si="3"/>
        <v>0</v>
      </c>
      <c r="J49" s="21"/>
      <c r="K49" s="16"/>
      <c r="L49" s="21"/>
      <c r="M49" s="21"/>
      <c r="N49" s="21"/>
      <c r="O49" s="21"/>
      <c r="P49" s="21"/>
      <c r="Q49" s="21"/>
      <c r="R49" s="21"/>
      <c r="S49" s="21"/>
      <c r="T49" s="4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4"/>
      <c r="AJ49" s="57"/>
      <c r="AK49" s="54"/>
      <c r="AL49" s="65">
        <f t="shared" si="5"/>
        <v>0</v>
      </c>
      <c r="AM49" s="22" t="str">
        <f t="shared" si="2"/>
        <v>OK</v>
      </c>
    </row>
    <row r="50" spans="1:39" customFormat="1" ht="17.25" hidden="1" thickBot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136"/>
      <c r="I50" s="27">
        <f t="shared" si="3"/>
        <v>0</v>
      </c>
      <c r="J50" s="27"/>
      <c r="K50" s="16"/>
      <c r="L50" s="27"/>
      <c r="M50" s="27"/>
      <c r="N50" s="27"/>
      <c r="O50" s="27"/>
      <c r="P50" s="27"/>
      <c r="Q50" s="27"/>
      <c r="R50" s="27"/>
      <c r="S50" s="27"/>
      <c r="T50" s="43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8"/>
      <c r="AK50" s="55"/>
      <c r="AL50" s="66">
        <f t="shared" si="5"/>
        <v>0</v>
      </c>
      <c r="AM50" s="28" t="str">
        <f t="shared" si="2"/>
        <v>OK</v>
      </c>
    </row>
    <row r="51" spans="1:39" customFormat="1" ht="17.25" hidden="1" thickBot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135"/>
      <c r="I51" s="21">
        <f t="shared" si="3"/>
        <v>0</v>
      </c>
      <c r="J51" s="21"/>
      <c r="K51" s="16"/>
      <c r="L51" s="21"/>
      <c r="M51" s="21"/>
      <c r="N51" s="21"/>
      <c r="O51" s="21"/>
      <c r="P51" s="21"/>
      <c r="Q51" s="21"/>
      <c r="R51" s="21"/>
      <c r="S51" s="21"/>
      <c r="T51" s="4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4"/>
      <c r="AJ51" s="57"/>
      <c r="AK51" s="54"/>
      <c r="AL51" s="65">
        <f>SUM(L51:AK51)</f>
        <v>0</v>
      </c>
      <c r="AM51" s="22" t="str">
        <f t="shared" si="2"/>
        <v>OK</v>
      </c>
    </row>
    <row r="52" spans="1:39" customFormat="1" ht="17.25" hidden="1" thickBot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136"/>
      <c r="I52" s="27">
        <f t="shared" si="3"/>
        <v>0</v>
      </c>
      <c r="J52" s="27"/>
      <c r="K52" s="16"/>
      <c r="L52" s="27"/>
      <c r="M52" s="27"/>
      <c r="N52" s="27"/>
      <c r="O52" s="27"/>
      <c r="P52" s="27"/>
      <c r="Q52" s="27"/>
      <c r="R52" s="27"/>
      <c r="S52" s="27"/>
      <c r="T52" s="43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5"/>
      <c r="AJ52" s="58"/>
      <c r="AK52" s="55"/>
      <c r="AL52" s="66">
        <f t="shared" ref="AL52:AL64" si="6">SUM(L52:AK52)</f>
        <v>0</v>
      </c>
      <c r="AM52" s="28" t="str">
        <f t="shared" si="2"/>
        <v>OK</v>
      </c>
    </row>
    <row r="53" spans="1:39" customFormat="1" ht="17.25" hidden="1" thickBot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135"/>
      <c r="I53" s="21">
        <f t="shared" si="3"/>
        <v>0</v>
      </c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42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4"/>
      <c r="AJ53" s="57"/>
      <c r="AK53" s="54"/>
      <c r="AL53" s="65">
        <f t="shared" si="6"/>
        <v>0</v>
      </c>
      <c r="AM53" s="22" t="str">
        <f t="shared" si="2"/>
        <v>OK</v>
      </c>
    </row>
    <row r="54" spans="1:39" customFormat="1" ht="17.25" hidden="1" thickBot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136"/>
      <c r="I54" s="27">
        <f t="shared" si="3"/>
        <v>0</v>
      </c>
      <c r="J54" s="27"/>
      <c r="K54" s="16"/>
      <c r="L54" s="27"/>
      <c r="M54" s="27"/>
      <c r="N54" s="27"/>
      <c r="O54" s="27"/>
      <c r="P54" s="27"/>
      <c r="Q54" s="27"/>
      <c r="R54" s="27"/>
      <c r="S54" s="27"/>
      <c r="T54" s="43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5"/>
      <c r="AJ54" s="58"/>
      <c r="AK54" s="55"/>
      <c r="AL54" s="66">
        <f t="shared" si="6"/>
        <v>0</v>
      </c>
      <c r="AM54" s="28" t="str">
        <f t="shared" si="2"/>
        <v>OK</v>
      </c>
    </row>
    <row r="55" spans="1:39" customFormat="1" ht="17.25" hidden="1" thickBot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135"/>
      <c r="I55" s="21">
        <f t="shared" si="3"/>
        <v>0</v>
      </c>
      <c r="J55" s="21"/>
      <c r="K55" s="16"/>
      <c r="L55" s="21"/>
      <c r="M55" s="21"/>
      <c r="N55" s="21"/>
      <c r="O55" s="21"/>
      <c r="P55" s="21"/>
      <c r="Q55" s="21"/>
      <c r="R55" s="21"/>
      <c r="S55" s="21"/>
      <c r="T55" s="42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4"/>
      <c r="AJ55" s="57"/>
      <c r="AK55" s="54"/>
      <c r="AL55" s="65">
        <f t="shared" si="6"/>
        <v>0</v>
      </c>
      <c r="AM55" s="22" t="str">
        <f t="shared" si="2"/>
        <v>OK</v>
      </c>
    </row>
    <row r="56" spans="1:39" customFormat="1" ht="17.25" hidden="1" thickBot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136"/>
      <c r="I56" s="27">
        <f t="shared" si="3"/>
        <v>0</v>
      </c>
      <c r="J56" s="27"/>
      <c r="K56" s="16"/>
      <c r="L56" s="27"/>
      <c r="M56" s="27"/>
      <c r="N56" s="27"/>
      <c r="O56" s="27"/>
      <c r="P56" s="27"/>
      <c r="Q56" s="27"/>
      <c r="R56" s="27"/>
      <c r="S56" s="27"/>
      <c r="T56" s="43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5"/>
      <c r="AJ56" s="58"/>
      <c r="AK56" s="55"/>
      <c r="AL56" s="66">
        <f t="shared" si="6"/>
        <v>0</v>
      </c>
      <c r="AM56" s="28" t="str">
        <f t="shared" si="2"/>
        <v>OK</v>
      </c>
    </row>
    <row r="57" spans="1:39" customFormat="1" ht="17.25" hidden="1" thickBot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135"/>
      <c r="I57" s="21">
        <f t="shared" si="3"/>
        <v>0</v>
      </c>
      <c r="J57" s="21"/>
      <c r="K57" s="16"/>
      <c r="L57" s="21"/>
      <c r="M57" s="21"/>
      <c r="N57" s="21"/>
      <c r="O57" s="21"/>
      <c r="P57" s="21"/>
      <c r="Q57" s="21"/>
      <c r="R57" s="21"/>
      <c r="S57" s="21"/>
      <c r="T57" s="42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4"/>
      <c r="AJ57" s="57"/>
      <c r="AK57" s="54"/>
      <c r="AL57" s="65">
        <f t="shared" si="6"/>
        <v>0</v>
      </c>
      <c r="AM57" s="22" t="str">
        <f t="shared" si="2"/>
        <v>OK</v>
      </c>
    </row>
    <row r="58" spans="1:39" customFormat="1" ht="17.25" hidden="1" thickBot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136"/>
      <c r="I58" s="27">
        <f t="shared" si="3"/>
        <v>0</v>
      </c>
      <c r="J58" s="27"/>
      <c r="K58" s="16"/>
      <c r="L58" s="27"/>
      <c r="M58" s="27"/>
      <c r="N58" s="27"/>
      <c r="O58" s="27"/>
      <c r="P58" s="27"/>
      <c r="Q58" s="27"/>
      <c r="R58" s="27"/>
      <c r="S58" s="27"/>
      <c r="T58" s="43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5"/>
      <c r="AJ58" s="58"/>
      <c r="AK58" s="55"/>
      <c r="AL58" s="66">
        <f t="shared" si="6"/>
        <v>0</v>
      </c>
      <c r="AM58" s="28" t="str">
        <f t="shared" si="2"/>
        <v>OK</v>
      </c>
    </row>
    <row r="59" spans="1:39" customFormat="1" ht="17.25" hidden="1" thickBot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135"/>
      <c r="I59" s="21">
        <f t="shared" si="3"/>
        <v>0</v>
      </c>
      <c r="J59" s="21"/>
      <c r="K59" s="16"/>
      <c r="L59" s="21"/>
      <c r="M59" s="21"/>
      <c r="N59" s="21"/>
      <c r="O59" s="21"/>
      <c r="P59" s="21"/>
      <c r="Q59" s="21"/>
      <c r="R59" s="21"/>
      <c r="S59" s="21"/>
      <c r="T59" s="4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4"/>
      <c r="AJ59" s="57"/>
      <c r="AK59" s="54"/>
      <c r="AL59" s="65">
        <f t="shared" si="6"/>
        <v>0</v>
      </c>
      <c r="AM59" s="22" t="str">
        <f t="shared" si="2"/>
        <v>OK</v>
      </c>
    </row>
    <row r="60" spans="1:39" customFormat="1" ht="17.25" hidden="1" thickBot="1">
      <c r="A60" s="68" t="s">
        <v>84</v>
      </c>
      <c r="B60" s="78">
        <v>11380</v>
      </c>
      <c r="C60" s="23" t="s">
        <v>60</v>
      </c>
      <c r="D60" s="24"/>
      <c r="E60" s="24"/>
      <c r="F60" s="24"/>
      <c r="G60" s="25"/>
      <c r="H60" s="136"/>
      <c r="I60" s="27">
        <f t="shared" si="3"/>
        <v>0</v>
      </c>
      <c r="J60" s="27"/>
      <c r="K60" s="16"/>
      <c r="L60" s="27"/>
      <c r="M60" s="27"/>
      <c r="N60" s="27"/>
      <c r="O60" s="27"/>
      <c r="P60" s="27"/>
      <c r="Q60" s="27"/>
      <c r="R60" s="27"/>
      <c r="S60" s="27"/>
      <c r="T60" s="43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5"/>
      <c r="AJ60" s="58"/>
      <c r="AK60" s="55"/>
      <c r="AL60" s="66">
        <f t="shared" si="6"/>
        <v>0</v>
      </c>
      <c r="AM60" s="28" t="str">
        <f t="shared" si="2"/>
        <v>OK</v>
      </c>
    </row>
    <row r="61" spans="1:39" customFormat="1" ht="17.25" hidden="1" thickBot="1">
      <c r="A61" s="80" t="s">
        <v>112</v>
      </c>
      <c r="B61" s="77">
        <v>18518</v>
      </c>
      <c r="C61" s="17" t="s">
        <v>87</v>
      </c>
      <c r="D61" s="69"/>
      <c r="E61" s="18"/>
      <c r="F61" s="18"/>
      <c r="G61" s="19"/>
      <c r="H61" s="135"/>
      <c r="I61" s="21">
        <f t="shared" si="3"/>
        <v>0</v>
      </c>
      <c r="J61" s="21"/>
      <c r="K61" s="16"/>
      <c r="L61" s="21"/>
      <c r="M61" s="21"/>
      <c r="N61" s="21"/>
      <c r="O61" s="21"/>
      <c r="P61" s="21"/>
      <c r="Q61" s="21"/>
      <c r="R61" s="21"/>
      <c r="S61" s="21"/>
      <c r="T61" s="4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4"/>
      <c r="AJ61" s="57"/>
      <c r="AK61" s="54"/>
      <c r="AL61" s="65">
        <f t="shared" si="6"/>
        <v>0</v>
      </c>
      <c r="AM61" s="22" t="str">
        <f t="shared" si="2"/>
        <v>OK</v>
      </c>
    </row>
    <row r="62" spans="1:39" customFormat="1" ht="17.25" hidden="1" thickBot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136">
        <v>806</v>
      </c>
      <c r="I62" s="27">
        <f t="shared" si="3"/>
        <v>0</v>
      </c>
      <c r="J62" s="27"/>
      <c r="K62" s="16"/>
      <c r="L62" s="27"/>
      <c r="M62" s="27"/>
      <c r="N62" s="27"/>
      <c r="O62" s="27"/>
      <c r="P62" s="27"/>
      <c r="Q62" s="27"/>
      <c r="R62" s="27"/>
      <c r="S62" s="27"/>
      <c r="T62" s="43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5"/>
      <c r="AJ62" s="58"/>
      <c r="AK62" s="55"/>
      <c r="AL62" s="66">
        <f t="shared" si="6"/>
        <v>0</v>
      </c>
      <c r="AM62" s="28" t="str">
        <f t="shared" si="2"/>
        <v>OK</v>
      </c>
    </row>
    <row r="63" spans="1:39" customFormat="1" ht="17.25" hidden="1" thickBot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135"/>
      <c r="I63" s="21">
        <f t="shared" si="3"/>
        <v>0</v>
      </c>
      <c r="J63" s="21"/>
      <c r="K63" s="16"/>
      <c r="L63" s="21"/>
      <c r="M63" s="21"/>
      <c r="N63" s="21"/>
      <c r="O63" s="21"/>
      <c r="P63" s="21"/>
      <c r="Q63" s="21"/>
      <c r="R63" s="21"/>
      <c r="S63" s="21"/>
      <c r="T63" s="4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4"/>
      <c r="AJ63" s="57"/>
      <c r="AK63" s="54"/>
      <c r="AL63" s="65">
        <f t="shared" si="6"/>
        <v>0</v>
      </c>
      <c r="AM63" s="22" t="str">
        <f t="shared" si="2"/>
        <v>OK</v>
      </c>
    </row>
    <row r="64" spans="1:39" customFormat="1" ht="17.25" hidden="1" thickBot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136"/>
      <c r="I64" s="27">
        <f t="shared" si="3"/>
        <v>0</v>
      </c>
      <c r="J64" s="27"/>
      <c r="K64" s="16"/>
      <c r="L64" s="27"/>
      <c r="M64" s="27"/>
      <c r="N64" s="27"/>
      <c r="O64" s="27"/>
      <c r="P64" s="27"/>
      <c r="Q64" s="27"/>
      <c r="R64" s="27"/>
      <c r="S64" s="27"/>
      <c r="T64" s="43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5"/>
      <c r="AJ64" s="58"/>
      <c r="AK64" s="55"/>
      <c r="AL64" s="66">
        <f t="shared" si="6"/>
        <v>0</v>
      </c>
      <c r="AM64" s="28" t="str">
        <f t="shared" si="2"/>
        <v>OK</v>
      </c>
    </row>
    <row r="65" spans="1:39" customFormat="1" ht="17.25" hidden="1" thickBot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135"/>
      <c r="I65" s="21">
        <f t="shared" si="3"/>
        <v>0</v>
      </c>
      <c r="J65" s="21"/>
      <c r="K65" s="16"/>
      <c r="L65" s="21"/>
      <c r="M65" s="21"/>
      <c r="N65" s="21"/>
      <c r="O65" s="21"/>
      <c r="P65" s="21"/>
      <c r="Q65" s="21"/>
      <c r="R65" s="21"/>
      <c r="S65" s="21"/>
      <c r="T65" s="4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4"/>
      <c r="AJ65" s="57"/>
      <c r="AK65" s="54"/>
      <c r="AL65" s="65">
        <f t="shared" si="4"/>
        <v>0</v>
      </c>
      <c r="AM65" s="22" t="str">
        <f t="shared" si="2"/>
        <v>OK</v>
      </c>
    </row>
    <row r="66" spans="1:39" customFormat="1" ht="17.25" hidden="1" thickBot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136"/>
      <c r="I66" s="27">
        <f t="shared" si="3"/>
        <v>0</v>
      </c>
      <c r="J66" s="27"/>
      <c r="K66" s="16"/>
      <c r="L66" s="27"/>
      <c r="M66" s="27"/>
      <c r="N66" s="27"/>
      <c r="O66" s="27"/>
      <c r="P66" s="27"/>
      <c r="Q66" s="27"/>
      <c r="R66" s="27"/>
      <c r="S66" s="27"/>
      <c r="T66" s="43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5"/>
      <c r="AJ66" s="58"/>
      <c r="AK66" s="55"/>
      <c r="AL66" s="66">
        <f t="shared" si="4"/>
        <v>0</v>
      </c>
      <c r="AM66" s="28" t="str">
        <f t="shared" si="2"/>
        <v>OK</v>
      </c>
    </row>
    <row r="67" spans="1:39" customFormat="1" ht="17.25" hidden="1" thickBot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135">
        <v>1400</v>
      </c>
      <c r="I67" s="21">
        <f t="shared" si="3"/>
        <v>0</v>
      </c>
      <c r="J67" s="21"/>
      <c r="K67" s="16"/>
      <c r="L67" s="21"/>
      <c r="M67" s="21"/>
      <c r="N67" s="21"/>
      <c r="O67" s="21"/>
      <c r="P67" s="21"/>
      <c r="Q67" s="21"/>
      <c r="R67" s="21"/>
      <c r="S67" s="21"/>
      <c r="T67" s="4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4"/>
      <c r="AJ67" s="57"/>
      <c r="AK67" s="54"/>
      <c r="AL67" s="65">
        <f t="shared" si="4"/>
        <v>0</v>
      </c>
      <c r="AM67" s="22" t="str">
        <f t="shared" si="2"/>
        <v>OK</v>
      </c>
    </row>
    <row r="68" spans="1:39" customFormat="1" ht="17.25" hidden="1" thickBot="1">
      <c r="A68" s="81" t="s">
        <v>132</v>
      </c>
      <c r="B68" s="78">
        <v>20269</v>
      </c>
      <c r="C68" s="23" t="s">
        <v>131</v>
      </c>
      <c r="D68" s="24"/>
      <c r="E68" s="24"/>
      <c r="F68" s="24"/>
      <c r="G68" s="25"/>
      <c r="H68" s="136"/>
      <c r="I68" s="27">
        <f t="shared" si="3"/>
        <v>0</v>
      </c>
      <c r="J68" s="27"/>
      <c r="K68" s="16"/>
      <c r="L68" s="27"/>
      <c r="M68" s="27"/>
      <c r="N68" s="27"/>
      <c r="O68" s="27"/>
      <c r="P68" s="27"/>
      <c r="Q68" s="27"/>
      <c r="R68" s="27"/>
      <c r="S68" s="27"/>
      <c r="T68" s="43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5"/>
      <c r="AJ68" s="58"/>
      <c r="AK68" s="55"/>
      <c r="AL68" s="66">
        <f t="shared" si="4"/>
        <v>0</v>
      </c>
      <c r="AM68" s="28" t="str">
        <f t="shared" si="2"/>
        <v>OK</v>
      </c>
    </row>
    <row r="69" spans="1:39" customFormat="1" ht="17.25" hidden="1" thickBot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135"/>
      <c r="I69" s="21">
        <f t="shared" si="3"/>
        <v>0</v>
      </c>
      <c r="J69" s="21"/>
      <c r="K69" s="16"/>
      <c r="L69" s="21"/>
      <c r="M69" s="21"/>
      <c r="N69" s="21"/>
      <c r="O69" s="21"/>
      <c r="P69" s="21"/>
      <c r="Q69" s="21"/>
      <c r="R69" s="21"/>
      <c r="S69" s="21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7"/>
      <c r="AK69" s="54"/>
      <c r="AL69" s="65">
        <f t="shared" si="4"/>
        <v>0</v>
      </c>
      <c r="AM69" s="22" t="str">
        <f t="shared" si="2"/>
        <v>OK</v>
      </c>
    </row>
    <row r="70" spans="1:39" customFormat="1" ht="17.25" hidden="1" thickBot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136"/>
      <c r="I70" s="27">
        <f t="shared" si="3"/>
        <v>0</v>
      </c>
      <c r="J70" s="27"/>
      <c r="K70" s="16"/>
      <c r="L70" s="27"/>
      <c r="M70" s="27"/>
      <c r="N70" s="27"/>
      <c r="O70" s="27"/>
      <c r="P70" s="27"/>
      <c r="Q70" s="27"/>
      <c r="R70" s="27"/>
      <c r="S70" s="27"/>
      <c r="T70" s="43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5"/>
      <c r="AJ70" s="58"/>
      <c r="AK70" s="55"/>
      <c r="AL70" s="66">
        <f t="shared" si="4"/>
        <v>0</v>
      </c>
      <c r="AM70" s="28" t="str">
        <f t="shared" si="2"/>
        <v>OK</v>
      </c>
    </row>
    <row r="71" spans="1:39" customFormat="1" ht="17.25" hidden="1" thickBot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135"/>
      <c r="I71" s="21">
        <f t="shared" ref="I71:I96" si="7">SUM(L71:AK71)</f>
        <v>0</v>
      </c>
      <c r="J71" s="21"/>
      <c r="K71" s="16"/>
      <c r="L71" s="21"/>
      <c r="M71" s="21"/>
      <c r="N71" s="21"/>
      <c r="O71" s="21"/>
      <c r="P71" s="21"/>
      <c r="Q71" s="21"/>
      <c r="R71" s="21"/>
      <c r="S71" s="21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4"/>
      <c r="AJ71" s="57"/>
      <c r="AK71" s="54"/>
      <c r="AL71" s="65">
        <f t="shared" si="4"/>
        <v>0</v>
      </c>
      <c r="AM71" s="22" t="str">
        <f t="shared" si="2"/>
        <v>OK</v>
      </c>
    </row>
    <row r="72" spans="1:39" customFormat="1" ht="17.25" hidden="1" thickBot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136"/>
      <c r="I72" s="27">
        <f t="shared" si="7"/>
        <v>0</v>
      </c>
      <c r="J72" s="27"/>
      <c r="K72" s="16"/>
      <c r="L72" s="27"/>
      <c r="M72" s="27"/>
      <c r="N72" s="27"/>
      <c r="O72" s="27"/>
      <c r="P72" s="27"/>
      <c r="Q72" s="27"/>
      <c r="R72" s="27"/>
      <c r="S72" s="27"/>
      <c r="T72" s="43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5"/>
      <c r="AJ72" s="58"/>
      <c r="AK72" s="55"/>
      <c r="AL72" s="66">
        <f t="shared" si="4"/>
        <v>0</v>
      </c>
      <c r="AM72" s="28" t="str">
        <f t="shared" si="2"/>
        <v>OK</v>
      </c>
    </row>
    <row r="73" spans="1:39" customFormat="1" ht="17.25" hidden="1" thickBot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138"/>
      <c r="I73" s="101">
        <f t="shared" si="7"/>
        <v>0</v>
      </c>
      <c r="J73" s="21"/>
      <c r="K73" s="16"/>
      <c r="L73" s="21"/>
      <c r="M73" s="21"/>
      <c r="N73" s="21"/>
      <c r="O73" s="21"/>
      <c r="P73" s="21"/>
      <c r="Q73" s="21"/>
      <c r="R73" s="21"/>
      <c r="S73" s="21"/>
      <c r="T73" s="42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4"/>
      <c r="AJ73" s="57"/>
      <c r="AK73" s="54"/>
      <c r="AL73" s="65">
        <f t="shared" si="4"/>
        <v>0</v>
      </c>
      <c r="AM73" s="22" t="str">
        <f t="shared" si="2"/>
        <v>OK</v>
      </c>
    </row>
    <row r="74" spans="1:39" customFormat="1" ht="17.25" hidden="1" thickBot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139"/>
      <c r="I74" s="103">
        <f t="shared" si="7"/>
        <v>0</v>
      </c>
      <c r="J74" s="27"/>
      <c r="K74" s="16"/>
      <c r="L74" s="100"/>
      <c r="M74" s="100"/>
      <c r="N74" s="100"/>
      <c r="O74" s="100"/>
      <c r="P74" s="100"/>
      <c r="Q74" s="100"/>
      <c r="R74" s="100"/>
      <c r="S74" s="100"/>
      <c r="T74" s="109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1"/>
      <c r="AJ74" s="112"/>
      <c r="AK74" s="111"/>
      <c r="AL74" s="66">
        <f t="shared" si="4"/>
        <v>0</v>
      </c>
      <c r="AM74" s="28" t="str">
        <f t="shared" si="2"/>
        <v>OK</v>
      </c>
    </row>
    <row r="75" spans="1:39" ht="17.25" hidden="1" thickBot="1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40"/>
      <c r="I75" s="105">
        <f t="shared" si="7"/>
        <v>0</v>
      </c>
      <c r="J75" s="90"/>
      <c r="K75" s="91"/>
      <c r="L75" s="113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5"/>
      <c r="AL75" s="92">
        <f t="shared" ref="AL75:AL80" si="8">SUM(L75:AK75)</f>
        <v>0</v>
      </c>
      <c r="AM75" s="122" t="str">
        <f t="shared" ref="AM75:AM96" si="9">IF(AL75=I75,"OK","NG")</f>
        <v>OK</v>
      </c>
    </row>
    <row r="76" spans="1:39" ht="17.25" hidden="1" thickBot="1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139"/>
      <c r="I76" s="106">
        <f t="shared" si="7"/>
        <v>0</v>
      </c>
      <c r="J76" s="85"/>
      <c r="K76" s="16"/>
      <c r="L76" s="1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8"/>
      <c r="AL76" s="66">
        <f t="shared" si="8"/>
        <v>0</v>
      </c>
      <c r="AM76" s="28" t="str">
        <f t="shared" si="9"/>
        <v>OK</v>
      </c>
    </row>
    <row r="77" spans="1:39" ht="17.25" hidden="1" thickBot="1">
      <c r="A77" s="87" t="s">
        <v>165</v>
      </c>
      <c r="B77" s="93">
        <v>13007</v>
      </c>
      <c r="C77" s="94" t="s">
        <v>164</v>
      </c>
      <c r="D77" s="88"/>
      <c r="E77" s="88"/>
      <c r="F77" s="88"/>
      <c r="G77" s="89"/>
      <c r="H77" s="104"/>
      <c r="I77" s="105">
        <f t="shared" si="7"/>
        <v>0</v>
      </c>
      <c r="J77" s="90"/>
      <c r="K77" s="91"/>
      <c r="L77" s="113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5"/>
      <c r="AL77" s="92">
        <f t="shared" si="8"/>
        <v>0</v>
      </c>
      <c r="AM77" s="122" t="str">
        <f t="shared" si="9"/>
        <v>OK</v>
      </c>
    </row>
    <row r="78" spans="1:39" ht="17.25" hidden="1" thickBot="1">
      <c r="A78" s="68"/>
      <c r="B78" s="78"/>
      <c r="C78" s="95"/>
      <c r="D78" s="83"/>
      <c r="E78" s="83"/>
      <c r="F78" s="83"/>
      <c r="G78" s="84"/>
      <c r="H78" s="102"/>
      <c r="I78" s="106">
        <f t="shared" si="7"/>
        <v>0</v>
      </c>
      <c r="J78" s="85"/>
      <c r="K78" s="16"/>
      <c r="L78" s="1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66">
        <f t="shared" si="8"/>
        <v>0</v>
      </c>
      <c r="AM78" s="28" t="str">
        <f t="shared" si="9"/>
        <v>OK</v>
      </c>
    </row>
    <row r="79" spans="1:39" ht="17.25" hidden="1" thickBot="1">
      <c r="A79" s="87"/>
      <c r="B79" s="93"/>
      <c r="C79" s="94"/>
      <c r="D79" s="88"/>
      <c r="E79" s="88"/>
      <c r="F79" s="88"/>
      <c r="G79" s="89"/>
      <c r="H79" s="104"/>
      <c r="I79" s="105">
        <f t="shared" si="7"/>
        <v>0</v>
      </c>
      <c r="J79" s="90"/>
      <c r="K79" s="91"/>
      <c r="L79" s="113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5"/>
      <c r="AL79" s="92">
        <f t="shared" si="8"/>
        <v>0</v>
      </c>
      <c r="AM79" s="122" t="str">
        <f t="shared" si="9"/>
        <v>OK</v>
      </c>
    </row>
    <row r="80" spans="1:39" ht="17.25" hidden="1" thickBot="1">
      <c r="A80" s="68"/>
      <c r="B80" s="78"/>
      <c r="C80" s="95"/>
      <c r="D80" s="83"/>
      <c r="E80" s="83"/>
      <c r="F80" s="83"/>
      <c r="G80" s="84"/>
      <c r="H80" s="102"/>
      <c r="I80" s="106">
        <f t="shared" si="7"/>
        <v>0</v>
      </c>
      <c r="J80" s="85"/>
      <c r="K80" s="16"/>
      <c r="L80" s="116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66">
        <f t="shared" si="8"/>
        <v>0</v>
      </c>
      <c r="AM80" s="28" t="str">
        <f t="shared" si="9"/>
        <v>OK</v>
      </c>
    </row>
    <row r="81" spans="1:39" ht="17.25" hidden="1" thickBot="1">
      <c r="A81" s="87"/>
      <c r="B81" s="93"/>
      <c r="C81" s="94"/>
      <c r="D81" s="88"/>
      <c r="E81" s="88"/>
      <c r="F81" s="88"/>
      <c r="G81" s="89"/>
      <c r="H81" s="104"/>
      <c r="I81" s="105">
        <f t="shared" si="7"/>
        <v>0</v>
      </c>
      <c r="J81" s="90"/>
      <c r="K81" s="91"/>
      <c r="L81" s="113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5"/>
      <c r="AL81" s="92">
        <f t="shared" ref="AL81:AL96" si="10">SUM(L81:AK81)</f>
        <v>0</v>
      </c>
      <c r="AM81" s="122" t="str">
        <f t="shared" si="9"/>
        <v>OK</v>
      </c>
    </row>
    <row r="82" spans="1:39" ht="17.25" hidden="1" thickBot="1">
      <c r="A82" s="68"/>
      <c r="B82" s="78"/>
      <c r="C82" s="95"/>
      <c r="D82" s="83"/>
      <c r="E82" s="83"/>
      <c r="F82" s="83"/>
      <c r="G82" s="84"/>
      <c r="H82" s="102"/>
      <c r="I82" s="106">
        <f t="shared" si="7"/>
        <v>0</v>
      </c>
      <c r="J82" s="85"/>
      <c r="K82" s="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66">
        <f t="shared" si="10"/>
        <v>0</v>
      </c>
      <c r="AM82" s="28" t="str">
        <f t="shared" si="9"/>
        <v>OK</v>
      </c>
    </row>
    <row r="83" spans="1:39" ht="17.25" hidden="1" thickBot="1">
      <c r="A83" s="96"/>
      <c r="B83" s="93"/>
      <c r="C83" s="94"/>
      <c r="D83" s="88"/>
      <c r="E83" s="88"/>
      <c r="F83" s="88"/>
      <c r="G83" s="89"/>
      <c r="H83" s="104"/>
      <c r="I83" s="105">
        <f t="shared" si="7"/>
        <v>0</v>
      </c>
      <c r="J83" s="90"/>
      <c r="K83" s="91"/>
      <c r="L83" s="113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5"/>
      <c r="AL83" s="92">
        <f t="shared" si="10"/>
        <v>0</v>
      </c>
      <c r="AM83" s="122" t="str">
        <f t="shared" si="9"/>
        <v>OK</v>
      </c>
    </row>
    <row r="84" spans="1:39" ht="17.25" hidden="1" thickBot="1">
      <c r="A84" s="68"/>
      <c r="B84" s="78"/>
      <c r="C84" s="95"/>
      <c r="D84" s="83"/>
      <c r="E84" s="83"/>
      <c r="F84" s="83"/>
      <c r="G84" s="84"/>
      <c r="H84" s="102"/>
      <c r="I84" s="106">
        <f t="shared" si="7"/>
        <v>0</v>
      </c>
      <c r="J84" s="85"/>
      <c r="K84" s="16"/>
      <c r="L84" s="116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66">
        <f t="shared" si="10"/>
        <v>0</v>
      </c>
      <c r="AM84" s="28" t="str">
        <f t="shared" si="9"/>
        <v>OK</v>
      </c>
    </row>
    <row r="85" spans="1:39" ht="17.25" hidden="1" thickBot="1">
      <c r="A85" s="87"/>
      <c r="B85" s="93"/>
      <c r="C85" s="94"/>
      <c r="D85" s="88"/>
      <c r="E85" s="88"/>
      <c r="F85" s="88"/>
      <c r="G85" s="89"/>
      <c r="H85" s="104"/>
      <c r="I85" s="105">
        <f t="shared" si="7"/>
        <v>0</v>
      </c>
      <c r="J85" s="90"/>
      <c r="K85" s="91"/>
      <c r="L85" s="113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5"/>
      <c r="AL85" s="92">
        <f t="shared" si="10"/>
        <v>0</v>
      </c>
      <c r="AM85" s="122" t="str">
        <f t="shared" si="9"/>
        <v>OK</v>
      </c>
    </row>
    <row r="86" spans="1:39" ht="17.25" hidden="1" thickBot="1">
      <c r="A86" s="68"/>
      <c r="B86" s="78"/>
      <c r="C86" s="95"/>
      <c r="D86" s="83"/>
      <c r="E86" s="83"/>
      <c r="F86" s="83"/>
      <c r="G86" s="84"/>
      <c r="H86" s="102"/>
      <c r="I86" s="106">
        <f t="shared" si="7"/>
        <v>0</v>
      </c>
      <c r="J86" s="85"/>
      <c r="K86" s="16"/>
      <c r="L86" s="116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66">
        <f t="shared" si="10"/>
        <v>0</v>
      </c>
      <c r="AM86" s="28" t="str">
        <f t="shared" si="9"/>
        <v>OK</v>
      </c>
    </row>
    <row r="87" spans="1:39" ht="17.25" hidden="1" thickBot="1">
      <c r="A87" s="87"/>
      <c r="B87" s="93"/>
      <c r="C87" s="94"/>
      <c r="D87" s="88"/>
      <c r="E87" s="88"/>
      <c r="F87" s="88"/>
      <c r="G87" s="89"/>
      <c r="H87" s="104"/>
      <c r="I87" s="105">
        <f t="shared" si="7"/>
        <v>0</v>
      </c>
      <c r="J87" s="90"/>
      <c r="K87" s="91"/>
      <c r="L87" s="113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5"/>
      <c r="AL87" s="92">
        <f t="shared" si="10"/>
        <v>0</v>
      </c>
      <c r="AM87" s="122" t="str">
        <f t="shared" si="9"/>
        <v>OK</v>
      </c>
    </row>
    <row r="88" spans="1:39" ht="17.25" hidden="1" thickBot="1">
      <c r="A88" s="68"/>
      <c r="B88" s="78"/>
      <c r="C88" s="95"/>
      <c r="D88" s="83"/>
      <c r="E88" s="83"/>
      <c r="F88" s="83"/>
      <c r="G88" s="84"/>
      <c r="H88" s="102"/>
      <c r="I88" s="106">
        <f t="shared" si="7"/>
        <v>0</v>
      </c>
      <c r="J88" s="85"/>
      <c r="K88" s="16"/>
      <c r="L88" s="116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66">
        <f t="shared" si="10"/>
        <v>0</v>
      </c>
      <c r="AM88" s="28" t="str">
        <f t="shared" si="9"/>
        <v>OK</v>
      </c>
    </row>
    <row r="89" spans="1:39" ht="17.25" hidden="1" thickBot="1">
      <c r="A89" s="87"/>
      <c r="B89" s="93"/>
      <c r="C89" s="94"/>
      <c r="D89" s="88"/>
      <c r="E89" s="88"/>
      <c r="F89" s="88"/>
      <c r="G89" s="89"/>
      <c r="H89" s="104"/>
      <c r="I89" s="105">
        <f t="shared" si="7"/>
        <v>0</v>
      </c>
      <c r="J89" s="90"/>
      <c r="K89" s="91"/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5"/>
      <c r="AL89" s="92">
        <f t="shared" si="10"/>
        <v>0</v>
      </c>
      <c r="AM89" s="122" t="str">
        <f t="shared" si="9"/>
        <v>OK</v>
      </c>
    </row>
    <row r="90" spans="1:39" ht="17.25" hidden="1" thickBot="1">
      <c r="A90" s="68"/>
      <c r="B90" s="78"/>
      <c r="C90" s="95"/>
      <c r="D90" s="83"/>
      <c r="E90" s="83"/>
      <c r="F90" s="83"/>
      <c r="G90" s="84"/>
      <c r="H90" s="102"/>
      <c r="I90" s="106">
        <f t="shared" si="7"/>
        <v>0</v>
      </c>
      <c r="J90" s="85"/>
      <c r="K90" s="16"/>
      <c r="L90" s="116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66">
        <f t="shared" si="10"/>
        <v>0</v>
      </c>
      <c r="AM90" s="28" t="str">
        <f t="shared" si="9"/>
        <v>OK</v>
      </c>
    </row>
    <row r="91" spans="1:39" ht="17.25" hidden="1" thickBot="1">
      <c r="A91" s="87"/>
      <c r="B91" s="93"/>
      <c r="C91" s="94"/>
      <c r="D91" s="88"/>
      <c r="E91" s="88"/>
      <c r="F91" s="88"/>
      <c r="G91" s="89"/>
      <c r="H91" s="104"/>
      <c r="I91" s="105">
        <f t="shared" si="7"/>
        <v>0</v>
      </c>
      <c r="J91" s="90"/>
      <c r="K91" s="91"/>
      <c r="L91" s="113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5"/>
      <c r="AL91" s="92">
        <f t="shared" si="10"/>
        <v>0</v>
      </c>
      <c r="AM91" s="122" t="str">
        <f t="shared" si="9"/>
        <v>OK</v>
      </c>
    </row>
    <row r="92" spans="1:39" ht="17.25" hidden="1" thickBot="1">
      <c r="A92" s="68"/>
      <c r="B92" s="78"/>
      <c r="C92" s="95"/>
      <c r="D92" s="83"/>
      <c r="E92" s="83"/>
      <c r="F92" s="83"/>
      <c r="G92" s="84"/>
      <c r="H92" s="102"/>
      <c r="I92" s="106">
        <f t="shared" si="7"/>
        <v>0</v>
      </c>
      <c r="J92" s="85"/>
      <c r="K92" s="16"/>
      <c r="L92" s="116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66">
        <f t="shared" si="10"/>
        <v>0</v>
      </c>
      <c r="AM92" s="28" t="str">
        <f t="shared" si="9"/>
        <v>OK</v>
      </c>
    </row>
    <row r="93" spans="1:39" ht="17.25" hidden="1" thickBot="1">
      <c r="A93" s="87"/>
      <c r="B93" s="93"/>
      <c r="C93" s="94"/>
      <c r="D93" s="88"/>
      <c r="E93" s="88"/>
      <c r="F93" s="88"/>
      <c r="G93" s="89"/>
      <c r="H93" s="104"/>
      <c r="I93" s="105">
        <f t="shared" si="7"/>
        <v>0</v>
      </c>
      <c r="J93" s="90"/>
      <c r="K93" s="91"/>
      <c r="L93" s="113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5"/>
      <c r="AL93" s="92">
        <f t="shared" si="10"/>
        <v>0</v>
      </c>
      <c r="AM93" s="122" t="str">
        <f t="shared" si="9"/>
        <v>OK</v>
      </c>
    </row>
    <row r="94" spans="1:39" ht="17.25" hidden="1" thickBot="1">
      <c r="A94" s="68"/>
      <c r="B94" s="78"/>
      <c r="C94" s="95"/>
      <c r="D94" s="83"/>
      <c r="E94" s="83"/>
      <c r="F94" s="83"/>
      <c r="G94" s="84"/>
      <c r="H94" s="102"/>
      <c r="I94" s="106">
        <f t="shared" si="7"/>
        <v>0</v>
      </c>
      <c r="J94" s="85"/>
      <c r="K94" s="16"/>
      <c r="L94" s="116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66">
        <f t="shared" si="10"/>
        <v>0</v>
      </c>
      <c r="AM94" s="28" t="str">
        <f t="shared" si="9"/>
        <v>OK</v>
      </c>
    </row>
    <row r="95" spans="1:39" ht="17.25" hidden="1" thickBot="1">
      <c r="A95" s="87"/>
      <c r="B95" s="93"/>
      <c r="C95" s="94"/>
      <c r="D95" s="88"/>
      <c r="E95" s="88"/>
      <c r="F95" s="88"/>
      <c r="G95" s="89"/>
      <c r="H95" s="104"/>
      <c r="I95" s="105">
        <f t="shared" si="7"/>
        <v>0</v>
      </c>
      <c r="J95" s="90"/>
      <c r="K95" s="91"/>
      <c r="L95" s="113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5"/>
      <c r="AL95" s="92">
        <f t="shared" si="10"/>
        <v>0</v>
      </c>
      <c r="AM95" s="122" t="str">
        <f t="shared" si="9"/>
        <v>OK</v>
      </c>
    </row>
    <row r="96" spans="1:39" ht="17.25" hidden="1" thickBot="1">
      <c r="A96" s="97"/>
      <c r="B96" s="98"/>
      <c r="C96" s="99"/>
      <c r="D96" s="83"/>
      <c r="E96" s="83"/>
      <c r="F96" s="83"/>
      <c r="G96" s="84"/>
      <c r="H96" s="107"/>
      <c r="I96" s="108">
        <f t="shared" si="7"/>
        <v>0</v>
      </c>
      <c r="J96" s="85"/>
      <c r="K96" s="16"/>
      <c r="L96" s="119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1"/>
      <c r="AL96" s="66">
        <f t="shared" si="10"/>
        <v>0</v>
      </c>
      <c r="AM96" s="28" t="str">
        <f t="shared" si="9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5752</v>
      </c>
      <c r="I97" s="46">
        <f>SUM(I6:I96)</f>
        <v>1</v>
      </c>
      <c r="J97" s="47">
        <f>SUM(J6:J74)</f>
        <v>0</v>
      </c>
      <c r="K97" s="9"/>
      <c r="L97" s="45">
        <f>SUM(L6:L96)</f>
        <v>0</v>
      </c>
      <c r="M97" s="45">
        <f t="shared" ref="M97:AI97" si="11">SUM(M6:M96)</f>
        <v>0</v>
      </c>
      <c r="N97" s="45">
        <f t="shared" si="11"/>
        <v>0</v>
      </c>
      <c r="O97" s="45">
        <f t="shared" si="11"/>
        <v>0</v>
      </c>
      <c r="P97" s="45">
        <f t="shared" si="11"/>
        <v>0</v>
      </c>
      <c r="Q97" s="45">
        <f t="shared" si="11"/>
        <v>0</v>
      </c>
      <c r="R97" s="45">
        <f t="shared" si="11"/>
        <v>0</v>
      </c>
      <c r="S97" s="45">
        <f t="shared" si="11"/>
        <v>0</v>
      </c>
      <c r="T97" s="45">
        <f t="shared" si="11"/>
        <v>0</v>
      </c>
      <c r="U97" s="45">
        <f t="shared" si="11"/>
        <v>0</v>
      </c>
      <c r="V97" s="45">
        <f t="shared" si="11"/>
        <v>0</v>
      </c>
      <c r="W97" s="45">
        <f t="shared" si="11"/>
        <v>0</v>
      </c>
      <c r="X97" s="45">
        <f t="shared" si="11"/>
        <v>0</v>
      </c>
      <c r="Y97" s="45">
        <f t="shared" si="11"/>
        <v>0</v>
      </c>
      <c r="Z97" s="45">
        <f t="shared" si="11"/>
        <v>0</v>
      </c>
      <c r="AA97" s="45">
        <f t="shared" si="11"/>
        <v>0</v>
      </c>
      <c r="AB97" s="45">
        <f t="shared" si="11"/>
        <v>0</v>
      </c>
      <c r="AC97" s="45">
        <f t="shared" si="11"/>
        <v>0</v>
      </c>
      <c r="AD97" s="45">
        <f t="shared" si="11"/>
        <v>0</v>
      </c>
      <c r="AE97" s="45">
        <f t="shared" si="11"/>
        <v>0</v>
      </c>
      <c r="AF97" s="45">
        <f t="shared" si="11"/>
        <v>0</v>
      </c>
      <c r="AG97" s="45">
        <f t="shared" si="11"/>
        <v>0</v>
      </c>
      <c r="AH97" s="45">
        <f t="shared" si="11"/>
        <v>0</v>
      </c>
      <c r="AI97" s="45">
        <f t="shared" si="11"/>
        <v>1</v>
      </c>
      <c r="AJ97" s="49">
        <f>SUM(AJ6:AJ96)</f>
        <v>0</v>
      </c>
      <c r="AK97" s="61">
        <f>SUM(AK6:AK96)</f>
        <v>0</v>
      </c>
      <c r="AL97" s="67">
        <f>SUM(AL6:AL96)</f>
        <v>1</v>
      </c>
      <c r="AM97" s="48" t="str">
        <f>IF(AL97=SUM(I97),"OK","NG")</f>
        <v>OK</v>
      </c>
    </row>
    <row r="99" spans="1:39">
      <c r="I99" s="86"/>
    </row>
  </sheetData>
  <autoFilter ref="A5:AM97" xr:uid="{00000000-0001-0000-1600-000000000000}">
    <filterColumn colId="8">
      <filters>
        <filter val="1"/>
      </filters>
    </filterColumn>
  </autoFilter>
  <mergeCells count="37">
    <mergeCell ref="AM4:AM5"/>
    <mergeCell ref="AG4:AG5"/>
    <mergeCell ref="AH4:AH5"/>
    <mergeCell ref="AI4:AI5"/>
    <mergeCell ref="AJ4:AJ5"/>
    <mergeCell ref="AK4:AK5"/>
    <mergeCell ref="AL4:AL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B1:C1"/>
    <mergeCell ref="F1:G1"/>
    <mergeCell ref="H1:J3"/>
    <mergeCell ref="B2:C2"/>
    <mergeCell ref="AM2:AM3"/>
    <mergeCell ref="B3:C3"/>
  </mergeCells>
  <phoneticPr fontId="3" type="noConversion"/>
  <conditionalFormatting sqref="A4">
    <cfRule type="containsText" dxfId="19" priority="9" operator="containsText" text="NG">
      <formula>NOT(ISERROR(SEARCH("NG",A4)))</formula>
    </cfRule>
    <cfRule type="containsText" dxfId="18" priority="10" operator="containsText" text="OK">
      <formula>NOT(ISERROR(SEARCH("OK",A4)))</formula>
    </cfRule>
    <cfRule type="containsText" dxfId="17" priority="11" operator="containsText" text="NG">
      <formula>NOT(ISERROR(SEARCH("NG",A4)))</formula>
    </cfRule>
    <cfRule type="containsText" dxfId="16" priority="12" operator="containsText" text="OK">
      <formula>NOT(ISERROR(SEARCH("OK",A4)))</formula>
    </cfRule>
  </conditionalFormatting>
  <conditionalFormatting sqref="AM6:AM97">
    <cfRule type="containsText" dxfId="15" priority="1" operator="containsText" text="NG">
      <formula>NOT(ISERROR(SEARCH("NG",AM6)))</formula>
    </cfRule>
    <cfRule type="containsText" dxfId="14" priority="2" operator="containsText" text="OK">
      <formula>NOT(ISERROR(SEARCH("OK",AM6)))</formula>
    </cfRule>
  </conditionalFormatting>
  <pageMargins left="0.70866141732283472" right="0.70866141732283472" top="0.74803149606299213" bottom="0.74803149606299213" header="0.31496062992125984" footer="0.31496062992125984"/>
  <pageSetup paperSize="8" scale="51" orientation="landscape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7">
    <pageSetUpPr fitToPage="1"/>
  </sheetPr>
  <dimension ref="A1:AM97"/>
  <sheetViews>
    <sheetView showGridLines="0" zoomScale="85" zoomScaleNormal="85" workbookViewId="0">
      <pane ySplit="5" topLeftCell="A6" activePane="bottomLeft" state="frozen"/>
      <selection activeCell="P19" sqref="P19"/>
      <selection pane="bottomLeft" activeCell="P19" sqref="P19"/>
    </sheetView>
  </sheetViews>
  <sheetFormatPr defaultColWidth="9" defaultRowHeight="16.5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15" width="8.75"/>
    <col min="16" max="16" width="11.375" bestFit="1" customWidth="1"/>
    <col min="17" max="20" width="9" customWidth="1"/>
    <col min="21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5" customHeight="1" thickBot="1">
      <c r="A1" s="37" t="s">
        <v>13</v>
      </c>
      <c r="B1" s="168">
        <f>H97</f>
        <v>0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5" customHeight="1" thickBot="1">
      <c r="A2" s="37" t="s">
        <v>14</v>
      </c>
      <c r="B2" s="173">
        <f>I97</f>
        <v>0</v>
      </c>
      <c r="C2" s="174"/>
      <c r="D2" s="75"/>
      <c r="E2" s="71"/>
      <c r="F2" s="2"/>
      <c r="G2" s="2"/>
      <c r="H2" s="171"/>
      <c r="I2" s="171"/>
      <c r="J2" s="171"/>
      <c r="K2" s="3"/>
      <c r="L2" s="4">
        <f t="shared" ref="L2:AK2" si="0">SUBTOTAL(9,L6:L96)</f>
        <v>0</v>
      </c>
      <c r="M2" s="4">
        <f t="shared" si="0"/>
        <v>0</v>
      </c>
      <c r="N2" s="4">
        <f t="shared" si="0"/>
        <v>0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39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0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0</v>
      </c>
      <c r="AH2" s="5">
        <f t="shared" si="0"/>
        <v>0</v>
      </c>
      <c r="AI2" s="5">
        <f t="shared" si="0"/>
        <v>0</v>
      </c>
      <c r="AJ2" s="5">
        <f t="shared" si="0"/>
        <v>0</v>
      </c>
      <c r="AK2" s="59">
        <f t="shared" si="0"/>
        <v>0</v>
      </c>
      <c r="AL2" s="62">
        <f>SUBTOTAL(9,AL6:AL96)</f>
        <v>0</v>
      </c>
      <c r="AM2" s="175"/>
    </row>
    <row r="3" spans="1:39" customFormat="1" ht="22.5" customHeight="1" thickBot="1">
      <c r="A3" s="38" t="s">
        <v>15</v>
      </c>
      <c r="B3" s="177" t="str">
        <f>IF(ISERROR(B2/(B2+B1)*1000000),"",(B2/(B2+B1)*1000000))</f>
        <v/>
      </c>
      <c r="C3" s="178"/>
      <c r="D3" s="73"/>
      <c r="E3" s="72"/>
      <c r="F3" s="32"/>
      <c r="G3" s="32"/>
      <c r="H3" s="172"/>
      <c r="I3" s="172"/>
      <c r="J3" s="172"/>
      <c r="K3" s="6"/>
      <c r="L3" s="7">
        <f t="shared" ref="L3:AK3" si="1">SUM(L6:L96)</f>
        <v>0</v>
      </c>
      <c r="M3" s="7">
        <f t="shared" si="1"/>
        <v>0</v>
      </c>
      <c r="N3" s="7">
        <f t="shared" si="1"/>
        <v>0</v>
      </c>
      <c r="O3" s="7">
        <f t="shared" si="1"/>
        <v>0</v>
      </c>
      <c r="P3" s="7">
        <f t="shared" si="1"/>
        <v>0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40">
        <f t="shared" si="1"/>
        <v>0</v>
      </c>
      <c r="U3" s="8">
        <f t="shared" si="1"/>
        <v>0</v>
      </c>
      <c r="V3" s="8">
        <f t="shared" si="1"/>
        <v>0</v>
      </c>
      <c r="W3" s="8">
        <f t="shared" si="1"/>
        <v>0</v>
      </c>
      <c r="X3" s="8">
        <f t="shared" si="1"/>
        <v>0</v>
      </c>
      <c r="Y3" s="8">
        <f t="shared" si="1"/>
        <v>0</v>
      </c>
      <c r="Z3" s="8">
        <f t="shared" si="1"/>
        <v>0</v>
      </c>
      <c r="AA3" s="8">
        <f t="shared" si="1"/>
        <v>0</v>
      </c>
      <c r="AB3" s="8">
        <f t="shared" si="1"/>
        <v>0</v>
      </c>
      <c r="AC3" s="8">
        <f t="shared" si="1"/>
        <v>0</v>
      </c>
      <c r="AD3" s="8">
        <f t="shared" si="1"/>
        <v>0</v>
      </c>
      <c r="AE3" s="8">
        <f t="shared" si="1"/>
        <v>0</v>
      </c>
      <c r="AF3" s="8">
        <f t="shared" si="1"/>
        <v>0</v>
      </c>
      <c r="AG3" s="8">
        <f t="shared" si="1"/>
        <v>0</v>
      </c>
      <c r="AH3" s="8">
        <f t="shared" si="1"/>
        <v>0</v>
      </c>
      <c r="AI3" s="8">
        <f t="shared" si="1"/>
        <v>0</v>
      </c>
      <c r="AJ3" s="8">
        <f t="shared" si="1"/>
        <v>0</v>
      </c>
      <c r="AK3" s="60">
        <f t="shared" si="1"/>
        <v>0</v>
      </c>
      <c r="AL3" s="63">
        <f>SUM(AL6:AL96)</f>
        <v>0</v>
      </c>
      <c r="AM3" s="176"/>
    </row>
    <row r="4" spans="1:39" customFormat="1" ht="43.5" customHeight="1">
      <c r="A4" s="163" t="str">
        <f>AM97</f>
        <v>OK</v>
      </c>
      <c r="B4" s="163"/>
      <c r="C4" s="163"/>
      <c r="D4" s="164"/>
      <c r="E4" s="165" t="s">
        <v>16</v>
      </c>
      <c r="F4" s="165"/>
      <c r="G4" s="165"/>
      <c r="H4" s="165" t="s">
        <v>17</v>
      </c>
      <c r="I4" s="165"/>
      <c r="J4" s="165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1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56" t="s">
        <v>12</v>
      </c>
      <c r="AL4" s="158" t="s">
        <v>36</v>
      </c>
      <c r="AM4" s="149" t="s">
        <v>37</v>
      </c>
    </row>
    <row r="5" spans="1:39" customFormat="1" ht="33.75" thickBot="1">
      <c r="A5" s="34" t="s">
        <v>3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139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6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3"/>
      <c r="AJ5" s="155"/>
      <c r="AK5" s="157"/>
      <c r="AL5" s="159"/>
      <c r="AM5" s="150"/>
    </row>
    <row r="6" spans="1:39" customFormat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34"/>
      <c r="I6" s="15">
        <f>SUM(L6:AK6)</f>
        <v>0</v>
      </c>
      <c r="J6" s="15"/>
      <c r="K6" s="16"/>
      <c r="L6" s="15"/>
      <c r="M6" s="15"/>
      <c r="N6" s="15"/>
      <c r="O6" s="15"/>
      <c r="P6" s="15"/>
      <c r="Q6" s="15"/>
      <c r="R6" s="15"/>
      <c r="S6" s="15"/>
      <c r="T6" s="41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3"/>
      <c r="AJ6" s="56"/>
      <c r="AK6" s="53"/>
      <c r="AL6" s="64">
        <f>SUM(L6:AK6)</f>
        <v>0</v>
      </c>
      <c r="AM6" s="31" t="str">
        <f t="shared" ref="AM6:AM74" si="2">IF(AL6=I6,"OK","NG")</f>
        <v>OK</v>
      </c>
    </row>
    <row r="7" spans="1:39" customFormat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135"/>
      <c r="I7" s="21">
        <f t="shared" ref="I7:I70" si="3">SUM(L7:AK7)</f>
        <v>0</v>
      </c>
      <c r="J7" s="21"/>
      <c r="K7" s="16"/>
      <c r="L7" s="21"/>
      <c r="M7" s="21"/>
      <c r="N7" s="21"/>
      <c r="O7" s="21"/>
      <c r="P7" s="21"/>
      <c r="Q7" s="21"/>
      <c r="R7" s="21"/>
      <c r="S7" s="21"/>
      <c r="T7" s="42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4"/>
      <c r="AJ7" s="57"/>
      <c r="AK7" s="54"/>
      <c r="AL7" s="65">
        <f t="shared" ref="AL7:AL74" si="4">SUM(L7:AK7)</f>
        <v>0</v>
      </c>
      <c r="AM7" s="22" t="str">
        <f t="shared" si="2"/>
        <v>OK</v>
      </c>
    </row>
    <row r="8" spans="1:39" customFormat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36"/>
      <c r="I8" s="27">
        <f t="shared" si="3"/>
        <v>0</v>
      </c>
      <c r="J8" s="27"/>
      <c r="K8" s="16"/>
      <c r="L8" s="27"/>
      <c r="M8" s="27"/>
      <c r="N8" s="27"/>
      <c r="O8" s="27"/>
      <c r="P8" s="27"/>
      <c r="Q8" s="27"/>
      <c r="R8" s="27"/>
      <c r="S8" s="27"/>
      <c r="T8" s="4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5"/>
      <c r="AJ8" s="58"/>
      <c r="AK8" s="55"/>
      <c r="AL8" s="66">
        <f t="shared" si="4"/>
        <v>0</v>
      </c>
      <c r="AM8" s="28" t="str">
        <f t="shared" si="2"/>
        <v>OK</v>
      </c>
    </row>
    <row r="9" spans="1:39" customFormat="1">
      <c r="A9" s="17" t="s">
        <v>68</v>
      </c>
      <c r="B9" s="77">
        <v>10897</v>
      </c>
      <c r="C9" s="17" t="s">
        <v>62</v>
      </c>
      <c r="D9" s="69"/>
      <c r="E9" s="18"/>
      <c r="F9" s="18"/>
      <c r="G9" s="19"/>
      <c r="H9" s="135"/>
      <c r="I9" s="21">
        <f t="shared" si="3"/>
        <v>0</v>
      </c>
      <c r="J9" s="21"/>
      <c r="K9" s="16"/>
      <c r="L9" s="21"/>
      <c r="M9" s="21"/>
      <c r="N9" s="21"/>
      <c r="O9" s="21"/>
      <c r="P9" s="21"/>
      <c r="Q9" s="21"/>
      <c r="R9" s="21"/>
      <c r="S9" s="21"/>
      <c r="T9" s="42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4"/>
      <c r="AJ9" s="57"/>
      <c r="AK9" s="54"/>
      <c r="AL9" s="65">
        <f t="shared" si="4"/>
        <v>0</v>
      </c>
      <c r="AM9" s="22" t="str">
        <f t="shared" si="2"/>
        <v>OK</v>
      </c>
    </row>
    <row r="10" spans="1:39" customFormat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36"/>
      <c r="I10" s="27">
        <f t="shared" si="3"/>
        <v>0</v>
      </c>
      <c r="J10" s="27"/>
      <c r="K10" s="16"/>
      <c r="L10" s="27"/>
      <c r="M10" s="27"/>
      <c r="N10" s="27"/>
      <c r="O10" s="27"/>
      <c r="P10" s="27"/>
      <c r="Q10" s="27"/>
      <c r="R10" s="27"/>
      <c r="S10" s="27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5"/>
      <c r="AJ10" s="58"/>
      <c r="AK10" s="55"/>
      <c r="AL10" s="66">
        <f t="shared" si="4"/>
        <v>0</v>
      </c>
      <c r="AM10" s="28" t="str">
        <f t="shared" si="2"/>
        <v>OK</v>
      </c>
    </row>
    <row r="11" spans="1:39" customFormat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135"/>
      <c r="I11" s="21">
        <f t="shared" si="3"/>
        <v>0</v>
      </c>
      <c r="J11" s="21"/>
      <c r="K11" s="16"/>
      <c r="L11" s="21"/>
      <c r="M11" s="21"/>
      <c r="N11" s="21"/>
      <c r="O11" s="21"/>
      <c r="P11" s="21"/>
      <c r="Q11" s="21"/>
      <c r="R11" s="21"/>
      <c r="S11" s="21"/>
      <c r="T11" s="42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4"/>
      <c r="AJ11" s="57"/>
      <c r="AK11" s="54"/>
      <c r="AL11" s="65">
        <f t="shared" si="4"/>
        <v>0</v>
      </c>
      <c r="AM11" s="22" t="str">
        <f t="shared" si="2"/>
        <v>OK</v>
      </c>
    </row>
    <row r="12" spans="1:39" customFormat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36"/>
      <c r="I12" s="27">
        <f t="shared" si="3"/>
        <v>0</v>
      </c>
      <c r="J12" s="27"/>
      <c r="K12" s="16"/>
      <c r="L12" s="27"/>
      <c r="M12" s="27"/>
      <c r="N12" s="27"/>
      <c r="O12" s="27"/>
      <c r="P12" s="27"/>
      <c r="Q12" s="27"/>
      <c r="R12" s="27"/>
      <c r="S12" s="27"/>
      <c r="T12" s="43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8"/>
      <c r="AK12" s="55"/>
      <c r="AL12" s="66">
        <f t="shared" si="4"/>
        <v>0</v>
      </c>
      <c r="AM12" s="28" t="str">
        <f t="shared" si="2"/>
        <v>OK</v>
      </c>
    </row>
    <row r="13" spans="1:39" customFormat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135"/>
      <c r="I13" s="21">
        <f t="shared" si="3"/>
        <v>0</v>
      </c>
      <c r="J13" s="21"/>
      <c r="K13" s="16"/>
      <c r="L13" s="21"/>
      <c r="M13" s="21"/>
      <c r="N13" s="21"/>
      <c r="O13" s="21"/>
      <c r="P13" s="21"/>
      <c r="Q13" s="21"/>
      <c r="R13" s="21"/>
      <c r="S13" s="21"/>
      <c r="T13" s="4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4"/>
      <c r="AJ13" s="57"/>
      <c r="AK13" s="54"/>
      <c r="AL13" s="65">
        <f t="shared" si="4"/>
        <v>0</v>
      </c>
      <c r="AM13" s="22" t="str">
        <f t="shared" si="2"/>
        <v>OK</v>
      </c>
    </row>
    <row r="14" spans="1:39" customFormat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36"/>
      <c r="I14" s="27">
        <f t="shared" si="3"/>
        <v>0</v>
      </c>
      <c r="J14" s="27"/>
      <c r="K14" s="16"/>
      <c r="L14" s="27"/>
      <c r="M14" s="27"/>
      <c r="N14" s="27"/>
      <c r="O14" s="27"/>
      <c r="P14" s="27"/>
      <c r="Q14" s="27"/>
      <c r="R14" s="27"/>
      <c r="S14" s="27"/>
      <c r="T14" s="43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5"/>
      <c r="AJ14" s="58"/>
      <c r="AK14" s="55"/>
      <c r="AL14" s="66">
        <f t="shared" si="4"/>
        <v>0</v>
      </c>
      <c r="AM14" s="28" t="str">
        <f t="shared" si="2"/>
        <v>OK</v>
      </c>
    </row>
    <row r="15" spans="1:39" customFormat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135"/>
      <c r="I15" s="21">
        <f t="shared" si="3"/>
        <v>0</v>
      </c>
      <c r="J15" s="21"/>
      <c r="K15" s="16"/>
      <c r="L15" s="21"/>
      <c r="M15" s="21"/>
      <c r="N15" s="21"/>
      <c r="O15" s="21"/>
      <c r="P15" s="21"/>
      <c r="Q15" s="21"/>
      <c r="R15" s="21"/>
      <c r="S15" s="21"/>
      <c r="T15" s="42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4"/>
      <c r="AJ15" s="57"/>
      <c r="AK15" s="54"/>
      <c r="AL15" s="65">
        <f t="shared" si="4"/>
        <v>0</v>
      </c>
      <c r="AM15" s="22" t="str">
        <f t="shared" si="2"/>
        <v>OK</v>
      </c>
    </row>
    <row r="16" spans="1:39" customFormat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36"/>
      <c r="I16" s="27">
        <f t="shared" si="3"/>
        <v>0</v>
      </c>
      <c r="J16" s="27"/>
      <c r="K16" s="16"/>
      <c r="L16" s="27"/>
      <c r="M16" s="27"/>
      <c r="N16" s="27"/>
      <c r="O16" s="27"/>
      <c r="P16" s="27"/>
      <c r="Q16" s="27"/>
      <c r="R16" s="27"/>
      <c r="S16" s="27"/>
      <c r="T16" s="43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8"/>
      <c r="AK16" s="55"/>
      <c r="AL16" s="66">
        <f t="shared" si="4"/>
        <v>0</v>
      </c>
      <c r="AM16" s="28" t="str">
        <f t="shared" si="2"/>
        <v>OK</v>
      </c>
    </row>
    <row r="17" spans="1:39" customFormat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135"/>
      <c r="I17" s="21">
        <f t="shared" si="3"/>
        <v>0</v>
      </c>
      <c r="J17" s="21"/>
      <c r="K17" s="16"/>
      <c r="L17" s="21"/>
      <c r="M17" s="21"/>
      <c r="N17" s="21"/>
      <c r="O17" s="21"/>
      <c r="P17" s="21"/>
      <c r="Q17" s="21"/>
      <c r="R17" s="21"/>
      <c r="S17" s="21"/>
      <c r="T17" s="42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4"/>
      <c r="AJ17" s="57"/>
      <c r="AK17" s="54"/>
      <c r="AL17" s="65">
        <f t="shared" si="4"/>
        <v>0</v>
      </c>
      <c r="AM17" s="22" t="str">
        <f t="shared" si="2"/>
        <v>OK</v>
      </c>
    </row>
    <row r="18" spans="1:39" customFormat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36"/>
      <c r="I18" s="27">
        <f t="shared" si="3"/>
        <v>0</v>
      </c>
      <c r="J18" s="27"/>
      <c r="K18" s="16"/>
      <c r="L18" s="27"/>
      <c r="M18" s="27"/>
      <c r="N18" s="27"/>
      <c r="O18" s="27"/>
      <c r="P18" s="27"/>
      <c r="Q18" s="27"/>
      <c r="R18" s="27"/>
      <c r="S18" s="27"/>
      <c r="T18" s="43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8"/>
      <c r="AK18" s="55"/>
      <c r="AL18" s="66">
        <f t="shared" si="4"/>
        <v>0</v>
      </c>
      <c r="AM18" s="28" t="str">
        <f t="shared" si="2"/>
        <v>OK</v>
      </c>
    </row>
    <row r="19" spans="1:39" customFormat="1">
      <c r="A19" s="17" t="s">
        <v>91</v>
      </c>
      <c r="B19" s="77">
        <v>14988</v>
      </c>
      <c r="C19" s="17" t="s">
        <v>64</v>
      </c>
      <c r="D19" s="69"/>
      <c r="E19" s="18"/>
      <c r="F19" s="18"/>
      <c r="G19" s="19"/>
      <c r="H19" s="135"/>
      <c r="I19" s="21">
        <f t="shared" si="3"/>
        <v>0</v>
      </c>
      <c r="J19" s="21"/>
      <c r="K19" s="16"/>
      <c r="L19" s="21"/>
      <c r="M19" s="21"/>
      <c r="N19" s="21"/>
      <c r="O19" s="21"/>
      <c r="P19" s="21"/>
      <c r="Q19" s="21"/>
      <c r="R19" s="21"/>
      <c r="S19" s="21"/>
      <c r="T19" s="42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4"/>
      <c r="AJ19" s="57"/>
      <c r="AK19" s="54"/>
      <c r="AL19" s="65">
        <f t="shared" si="4"/>
        <v>0</v>
      </c>
      <c r="AM19" s="22" t="str">
        <f t="shared" si="2"/>
        <v>OK</v>
      </c>
    </row>
    <row r="20" spans="1:39" customFormat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136"/>
      <c r="I20" s="27">
        <f t="shared" si="3"/>
        <v>0</v>
      </c>
      <c r="J20" s="27"/>
      <c r="K20" s="16"/>
      <c r="L20" s="27"/>
      <c r="M20" s="27"/>
      <c r="N20" s="27"/>
      <c r="O20" s="27"/>
      <c r="P20" s="27"/>
      <c r="Q20" s="27"/>
      <c r="R20" s="27"/>
      <c r="S20" s="27"/>
      <c r="T20" s="43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8"/>
      <c r="AK20" s="55"/>
      <c r="AL20" s="66">
        <f t="shared" si="4"/>
        <v>0</v>
      </c>
      <c r="AM20" s="28" t="str">
        <f t="shared" si="2"/>
        <v>OK</v>
      </c>
    </row>
    <row r="21" spans="1:39" customFormat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135"/>
      <c r="I21" s="21">
        <f t="shared" si="3"/>
        <v>0</v>
      </c>
      <c r="J21" s="21"/>
      <c r="K21" s="16"/>
      <c r="L21" s="21"/>
      <c r="M21" s="21"/>
      <c r="N21" s="21"/>
      <c r="O21" s="21"/>
      <c r="P21" s="21"/>
      <c r="Q21" s="21"/>
      <c r="R21" s="21"/>
      <c r="S21" s="21"/>
      <c r="T21" s="4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4"/>
      <c r="AJ21" s="57"/>
      <c r="AK21" s="54"/>
      <c r="AL21" s="65">
        <f t="shared" si="4"/>
        <v>0</v>
      </c>
      <c r="AM21" s="22" t="str">
        <f t="shared" si="2"/>
        <v>OK</v>
      </c>
    </row>
    <row r="22" spans="1:39" customFormat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36"/>
      <c r="I22" s="27">
        <f t="shared" si="3"/>
        <v>0</v>
      </c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43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5"/>
      <c r="AJ22" s="58"/>
      <c r="AK22" s="55"/>
      <c r="AL22" s="66">
        <f t="shared" si="4"/>
        <v>0</v>
      </c>
      <c r="AM22" s="28" t="str">
        <f t="shared" si="2"/>
        <v>OK</v>
      </c>
    </row>
    <row r="23" spans="1:39" customFormat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135"/>
      <c r="I23" s="21">
        <f t="shared" si="3"/>
        <v>0</v>
      </c>
      <c r="J23" s="21"/>
      <c r="K23" s="16"/>
      <c r="L23" s="21"/>
      <c r="M23" s="21"/>
      <c r="N23" s="21"/>
      <c r="O23" s="21"/>
      <c r="P23" s="21"/>
      <c r="Q23" s="21"/>
      <c r="R23" s="21"/>
      <c r="S23" s="21"/>
      <c r="T23" s="42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7"/>
      <c r="AK23" s="54"/>
      <c r="AL23" s="65">
        <f>SUM(L23:AK23)</f>
        <v>0</v>
      </c>
      <c r="AM23" s="22" t="str">
        <f t="shared" si="2"/>
        <v>OK</v>
      </c>
    </row>
    <row r="24" spans="1:39" customFormat="1">
      <c r="A24" s="68" t="s">
        <v>44</v>
      </c>
      <c r="B24" s="78">
        <v>10163</v>
      </c>
      <c r="C24" s="23" t="s">
        <v>45</v>
      </c>
      <c r="D24" s="24"/>
      <c r="E24" s="24"/>
      <c r="F24" s="24"/>
      <c r="G24" s="25"/>
      <c r="H24" s="136"/>
      <c r="I24" s="27">
        <f t="shared" si="3"/>
        <v>0</v>
      </c>
      <c r="J24" s="27"/>
      <c r="K24" s="16"/>
      <c r="L24" s="27"/>
      <c r="M24" s="27"/>
      <c r="N24" s="27"/>
      <c r="O24" s="27"/>
      <c r="P24" s="27"/>
      <c r="Q24" s="27"/>
      <c r="R24" s="27"/>
      <c r="S24" s="27"/>
      <c r="T24" s="43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5"/>
      <c r="AJ24" s="58"/>
      <c r="AK24" s="55"/>
      <c r="AL24" s="66">
        <f t="shared" si="4"/>
        <v>0</v>
      </c>
      <c r="AM24" s="28" t="str">
        <f t="shared" si="2"/>
        <v>OK</v>
      </c>
    </row>
    <row r="25" spans="1:39" customFormat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135"/>
      <c r="I25" s="21">
        <f t="shared" si="3"/>
        <v>0</v>
      </c>
      <c r="J25" s="21"/>
      <c r="K25" s="16"/>
      <c r="L25" s="21"/>
      <c r="M25" s="21"/>
      <c r="N25" s="21"/>
      <c r="O25" s="21"/>
      <c r="P25" s="21"/>
      <c r="Q25" s="21"/>
      <c r="R25" s="21"/>
      <c r="S25" s="21"/>
      <c r="T25" s="42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4"/>
      <c r="AJ25" s="57"/>
      <c r="AK25" s="54"/>
      <c r="AL25" s="65">
        <f t="shared" si="4"/>
        <v>0</v>
      </c>
      <c r="AM25" s="22" t="str">
        <f t="shared" si="2"/>
        <v>OK</v>
      </c>
    </row>
    <row r="26" spans="1:39" customFormat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36"/>
      <c r="I26" s="27">
        <f t="shared" si="3"/>
        <v>0</v>
      </c>
      <c r="J26" s="27"/>
      <c r="K26" s="16"/>
      <c r="L26" s="27"/>
      <c r="M26" s="27"/>
      <c r="N26" s="27"/>
      <c r="O26" s="27"/>
      <c r="P26" s="27"/>
      <c r="Q26" s="27"/>
      <c r="R26" s="27"/>
      <c r="S26" s="27"/>
      <c r="T26" s="43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8"/>
      <c r="AK26" s="55"/>
      <c r="AL26" s="66">
        <f t="shared" si="4"/>
        <v>0</v>
      </c>
      <c r="AM26" s="28" t="str">
        <f t="shared" si="2"/>
        <v>OK</v>
      </c>
    </row>
    <row r="27" spans="1:39" customFormat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135"/>
      <c r="I27" s="21">
        <f t="shared" si="3"/>
        <v>0</v>
      </c>
      <c r="J27" s="21"/>
      <c r="K27" s="16"/>
      <c r="L27" s="21"/>
      <c r="M27" s="21"/>
      <c r="N27" s="21"/>
      <c r="O27" s="21"/>
      <c r="P27" s="21"/>
      <c r="Q27" s="21"/>
      <c r="R27" s="21"/>
      <c r="S27" s="21"/>
      <c r="T27" s="4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7"/>
      <c r="AK27" s="54"/>
      <c r="AL27" s="65">
        <f t="shared" si="4"/>
        <v>0</v>
      </c>
      <c r="AM27" s="22" t="str">
        <f t="shared" si="2"/>
        <v>OK</v>
      </c>
    </row>
    <row r="28" spans="1:39" customFormat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136"/>
      <c r="I28" s="27">
        <f t="shared" si="3"/>
        <v>0</v>
      </c>
      <c r="J28" s="27"/>
      <c r="K28" s="16"/>
      <c r="L28" s="27"/>
      <c r="M28" s="27"/>
      <c r="N28" s="27"/>
      <c r="O28" s="27"/>
      <c r="P28" s="27"/>
      <c r="Q28" s="27"/>
      <c r="R28" s="27"/>
      <c r="S28" s="27"/>
      <c r="T28" s="43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5"/>
      <c r="AJ28" s="58"/>
      <c r="AK28" s="55"/>
      <c r="AL28" s="66">
        <f t="shared" si="4"/>
        <v>0</v>
      </c>
      <c r="AM28" s="28" t="str">
        <f t="shared" si="2"/>
        <v>OK</v>
      </c>
    </row>
    <row r="29" spans="1:39" customFormat="1">
      <c r="A29" s="80" t="s">
        <v>71</v>
      </c>
      <c r="B29" s="77">
        <v>10151</v>
      </c>
      <c r="C29" s="17" t="s">
        <v>51</v>
      </c>
      <c r="D29" s="69"/>
      <c r="E29" s="18"/>
      <c r="F29" s="18"/>
      <c r="G29" s="19"/>
      <c r="H29" s="135"/>
      <c r="I29" s="21">
        <f t="shared" si="3"/>
        <v>0</v>
      </c>
      <c r="J29" s="21"/>
      <c r="K29" s="16"/>
      <c r="L29" s="21"/>
      <c r="M29" s="21"/>
      <c r="N29" s="21"/>
      <c r="O29" s="21"/>
      <c r="P29" s="21"/>
      <c r="Q29" s="21"/>
      <c r="R29" s="21"/>
      <c r="S29" s="21"/>
      <c r="T29" s="42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4"/>
      <c r="AJ29" s="57"/>
      <c r="AK29" s="54"/>
      <c r="AL29" s="65">
        <f t="shared" si="4"/>
        <v>0</v>
      </c>
      <c r="AM29" s="22" t="str">
        <f t="shared" si="2"/>
        <v>OK</v>
      </c>
    </row>
    <row r="30" spans="1:39" customFormat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137"/>
      <c r="I30" s="27">
        <f t="shared" si="3"/>
        <v>0</v>
      </c>
      <c r="J30" s="27"/>
      <c r="K30" s="16"/>
      <c r="L30" s="27"/>
      <c r="M30" s="27"/>
      <c r="N30" s="27"/>
      <c r="O30" s="27"/>
      <c r="P30" s="27"/>
      <c r="Q30" s="27"/>
      <c r="R30" s="27"/>
      <c r="S30" s="27"/>
      <c r="T30" s="43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5"/>
      <c r="AJ30" s="58"/>
      <c r="AK30" s="55"/>
      <c r="AL30" s="66">
        <f t="shared" si="4"/>
        <v>0</v>
      </c>
      <c r="AM30" s="28" t="str">
        <f t="shared" si="2"/>
        <v>OK</v>
      </c>
    </row>
    <row r="31" spans="1:39" customFormat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135"/>
      <c r="I31" s="21">
        <f t="shared" si="3"/>
        <v>0</v>
      </c>
      <c r="J31" s="21"/>
      <c r="K31" s="16"/>
      <c r="L31" s="21"/>
      <c r="M31" s="21"/>
      <c r="N31" s="21"/>
      <c r="O31" s="21"/>
      <c r="P31" s="21"/>
      <c r="Q31" s="21"/>
      <c r="R31" s="21"/>
      <c r="S31" s="21"/>
      <c r="T31" s="4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7"/>
      <c r="AK31" s="54"/>
      <c r="AL31" s="65">
        <f t="shared" si="4"/>
        <v>0</v>
      </c>
      <c r="AM31" s="22" t="str">
        <f t="shared" si="2"/>
        <v>OK</v>
      </c>
    </row>
    <row r="32" spans="1:39" customFormat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136"/>
      <c r="I32" s="27">
        <f t="shared" si="3"/>
        <v>0</v>
      </c>
      <c r="J32" s="27"/>
      <c r="K32" s="16"/>
      <c r="L32" s="27"/>
      <c r="M32" s="27"/>
      <c r="N32" s="27"/>
      <c r="O32" s="27"/>
      <c r="P32" s="27"/>
      <c r="Q32" s="27"/>
      <c r="R32" s="27"/>
      <c r="S32" s="27"/>
      <c r="T32" s="43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5"/>
      <c r="AJ32" s="58"/>
      <c r="AK32" s="55"/>
      <c r="AL32" s="66">
        <f t="shared" si="4"/>
        <v>0</v>
      </c>
      <c r="AM32" s="28" t="str">
        <f t="shared" si="2"/>
        <v>OK</v>
      </c>
    </row>
    <row r="33" spans="1:39" customFormat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135"/>
      <c r="I33" s="21">
        <f t="shared" si="3"/>
        <v>0</v>
      </c>
      <c r="J33" s="21"/>
      <c r="K33" s="16"/>
      <c r="L33" s="21"/>
      <c r="M33" s="21"/>
      <c r="N33" s="21"/>
      <c r="O33" s="21"/>
      <c r="P33" s="21"/>
      <c r="Q33" s="21"/>
      <c r="R33" s="21"/>
      <c r="S33" s="21"/>
      <c r="T33" s="42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4"/>
      <c r="AJ33" s="57"/>
      <c r="AK33" s="54"/>
      <c r="AL33" s="65">
        <f t="shared" si="4"/>
        <v>0</v>
      </c>
      <c r="AM33" s="22" t="str">
        <f t="shared" si="2"/>
        <v>OK</v>
      </c>
    </row>
    <row r="34" spans="1:39" customFormat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136"/>
      <c r="I34" s="27">
        <f t="shared" si="3"/>
        <v>0</v>
      </c>
      <c r="J34" s="27"/>
      <c r="K34" s="16"/>
      <c r="L34" s="27"/>
      <c r="M34" s="27"/>
      <c r="N34" s="27"/>
      <c r="O34" s="27"/>
      <c r="P34" s="27"/>
      <c r="Q34" s="27"/>
      <c r="R34" s="27"/>
      <c r="S34" s="27"/>
      <c r="T34" s="43"/>
      <c r="U34" s="52"/>
      <c r="V34" s="52"/>
      <c r="W34" s="52"/>
      <c r="X34" s="52"/>
      <c r="Y34" s="52"/>
      <c r="Z34" s="52"/>
      <c r="AA34" s="52"/>
      <c r="AB34" s="52"/>
      <c r="AC34" s="147"/>
      <c r="AD34" s="52"/>
      <c r="AE34" s="52"/>
      <c r="AF34" s="52"/>
      <c r="AG34" s="52"/>
      <c r="AH34" s="52"/>
      <c r="AI34" s="55"/>
      <c r="AJ34" s="58"/>
      <c r="AK34" s="55"/>
      <c r="AL34" s="66">
        <f t="shared" si="4"/>
        <v>0</v>
      </c>
      <c r="AM34" s="28" t="str">
        <f t="shared" si="2"/>
        <v>OK</v>
      </c>
    </row>
    <row r="35" spans="1:39" customFormat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135"/>
      <c r="I35" s="21">
        <f t="shared" si="3"/>
        <v>0</v>
      </c>
      <c r="J35" s="21"/>
      <c r="K35" s="16"/>
      <c r="L35" s="21"/>
      <c r="M35" s="21"/>
      <c r="N35" s="21"/>
      <c r="O35" s="21"/>
      <c r="P35" s="21"/>
      <c r="Q35" s="21"/>
      <c r="R35" s="21"/>
      <c r="S35" s="21"/>
      <c r="T35" s="42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4"/>
      <c r="AJ35" s="57"/>
      <c r="AK35" s="54"/>
      <c r="AL35" s="65">
        <f t="shared" si="4"/>
        <v>0</v>
      </c>
      <c r="AM35" s="22" t="str">
        <f t="shared" si="2"/>
        <v>OK</v>
      </c>
    </row>
    <row r="36" spans="1:39" customFormat="1">
      <c r="A36" s="68" t="s">
        <v>76</v>
      </c>
      <c r="B36" s="78">
        <v>10135</v>
      </c>
      <c r="C36" s="23" t="s">
        <v>56</v>
      </c>
      <c r="D36" s="24"/>
      <c r="E36" s="24"/>
      <c r="F36" s="24"/>
      <c r="G36" s="25"/>
      <c r="H36" s="136"/>
      <c r="I36" s="27">
        <f t="shared" si="3"/>
        <v>0</v>
      </c>
      <c r="J36" s="27"/>
      <c r="K36" s="16"/>
      <c r="L36" s="27"/>
      <c r="M36" s="27"/>
      <c r="N36" s="27"/>
      <c r="O36" s="27"/>
      <c r="P36" s="27"/>
      <c r="Q36" s="27"/>
      <c r="R36" s="27"/>
      <c r="S36" s="27"/>
      <c r="T36" s="43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5"/>
      <c r="AJ36" s="58"/>
      <c r="AK36" s="55"/>
      <c r="AL36" s="66">
        <f t="shared" si="4"/>
        <v>0</v>
      </c>
      <c r="AM36" s="28" t="str">
        <f t="shared" si="2"/>
        <v>OK</v>
      </c>
    </row>
    <row r="37" spans="1:39" customFormat="1">
      <c r="A37" s="80" t="s">
        <v>77</v>
      </c>
      <c r="B37" s="77">
        <v>10133</v>
      </c>
      <c r="C37" s="17" t="s">
        <v>55</v>
      </c>
      <c r="D37" s="69"/>
      <c r="E37" s="18"/>
      <c r="F37" s="18"/>
      <c r="G37" s="19"/>
      <c r="H37" s="135"/>
      <c r="I37" s="21">
        <f t="shared" si="3"/>
        <v>0</v>
      </c>
      <c r="J37" s="21"/>
      <c r="K37" s="16"/>
      <c r="L37" s="21"/>
      <c r="M37" s="21"/>
      <c r="N37" s="21"/>
      <c r="O37" s="21"/>
      <c r="P37" s="21"/>
      <c r="Q37" s="21"/>
      <c r="R37" s="21"/>
      <c r="S37" s="21"/>
      <c r="T37" s="42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4"/>
      <c r="AJ37" s="57"/>
      <c r="AK37" s="54"/>
      <c r="AL37" s="65">
        <f t="shared" si="4"/>
        <v>0</v>
      </c>
      <c r="AM37" s="22" t="str">
        <f t="shared" si="2"/>
        <v>OK</v>
      </c>
    </row>
    <row r="38" spans="1:39" customFormat="1">
      <c r="A38" s="68" t="s">
        <v>78</v>
      </c>
      <c r="B38" s="78">
        <v>10131</v>
      </c>
      <c r="C38" s="23" t="s">
        <v>56</v>
      </c>
      <c r="D38" s="24"/>
      <c r="E38" s="24"/>
      <c r="F38" s="24"/>
      <c r="G38" s="25"/>
      <c r="H38" s="136"/>
      <c r="I38" s="27">
        <f t="shared" si="3"/>
        <v>0</v>
      </c>
      <c r="J38" s="27"/>
      <c r="K38" s="16"/>
      <c r="L38" s="27"/>
      <c r="M38" s="27"/>
      <c r="N38" s="27"/>
      <c r="O38" s="27"/>
      <c r="P38" s="27"/>
      <c r="Q38" s="27"/>
      <c r="R38" s="27"/>
      <c r="S38" s="27"/>
      <c r="T38" s="43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5"/>
      <c r="AJ38" s="58"/>
      <c r="AK38" s="55"/>
      <c r="AL38" s="66">
        <f t="shared" ref="AL38:AL50" si="5">SUM(L38:AK38)</f>
        <v>0</v>
      </c>
      <c r="AM38" s="28" t="str">
        <f t="shared" si="2"/>
        <v>OK</v>
      </c>
    </row>
    <row r="39" spans="1:39" customFormat="1">
      <c r="A39" s="17" t="s">
        <v>79</v>
      </c>
      <c r="B39" s="77">
        <v>10129</v>
      </c>
      <c r="C39" s="17" t="s">
        <v>57</v>
      </c>
      <c r="D39" s="69"/>
      <c r="E39" s="18"/>
      <c r="F39" s="18"/>
      <c r="G39" s="19"/>
      <c r="H39" s="135"/>
      <c r="I39" s="21">
        <f t="shared" si="3"/>
        <v>0</v>
      </c>
      <c r="J39" s="21"/>
      <c r="K39" s="16"/>
      <c r="L39" s="21"/>
      <c r="M39" s="21"/>
      <c r="N39" s="21"/>
      <c r="O39" s="21"/>
      <c r="P39" s="21"/>
      <c r="Q39" s="21"/>
      <c r="R39" s="21"/>
      <c r="S39" s="21"/>
      <c r="T39" s="42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4"/>
      <c r="AJ39" s="57"/>
      <c r="AK39" s="54"/>
      <c r="AL39" s="65">
        <f t="shared" si="5"/>
        <v>0</v>
      </c>
      <c r="AM39" s="22" t="str">
        <f t="shared" si="2"/>
        <v>OK</v>
      </c>
    </row>
    <row r="40" spans="1:39" customFormat="1">
      <c r="A40" s="68" t="s">
        <v>80</v>
      </c>
      <c r="B40" s="78">
        <v>10127</v>
      </c>
      <c r="C40" s="23" t="s">
        <v>58</v>
      </c>
      <c r="D40" s="24"/>
      <c r="E40" s="24"/>
      <c r="F40" s="24"/>
      <c r="G40" s="25"/>
      <c r="H40" s="136"/>
      <c r="I40" s="27">
        <f t="shared" si="3"/>
        <v>0</v>
      </c>
      <c r="J40" s="27"/>
      <c r="K40" s="16"/>
      <c r="L40" s="27"/>
      <c r="M40" s="27"/>
      <c r="N40" s="27"/>
      <c r="O40" s="27"/>
      <c r="P40" s="27"/>
      <c r="Q40" s="27"/>
      <c r="R40" s="27"/>
      <c r="S40" s="27"/>
      <c r="T40" s="43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5"/>
      <c r="AJ40" s="58"/>
      <c r="AK40" s="55"/>
      <c r="AL40" s="66">
        <f t="shared" si="5"/>
        <v>0</v>
      </c>
      <c r="AM40" s="28" t="str">
        <f t="shared" si="2"/>
        <v>OK</v>
      </c>
    </row>
    <row r="41" spans="1:39" customFormat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135"/>
      <c r="I41" s="21">
        <f t="shared" si="3"/>
        <v>0</v>
      </c>
      <c r="J41" s="21"/>
      <c r="K41" s="16"/>
      <c r="L41" s="21"/>
      <c r="M41" s="21"/>
      <c r="N41" s="21"/>
      <c r="O41" s="21"/>
      <c r="P41" s="21"/>
      <c r="Q41" s="21"/>
      <c r="R41" s="21"/>
      <c r="S41" s="21"/>
      <c r="T41" s="4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4"/>
      <c r="AJ41" s="57"/>
      <c r="AK41" s="54"/>
      <c r="AL41" s="65">
        <f t="shared" si="5"/>
        <v>0</v>
      </c>
      <c r="AM41" s="22" t="str">
        <f t="shared" si="2"/>
        <v>OK</v>
      </c>
    </row>
    <row r="42" spans="1:39" customFormat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136"/>
      <c r="I42" s="27">
        <f t="shared" si="3"/>
        <v>0</v>
      </c>
      <c r="J42" s="27"/>
      <c r="K42" s="16"/>
      <c r="L42" s="27"/>
      <c r="M42" s="27"/>
      <c r="N42" s="27"/>
      <c r="O42" s="27"/>
      <c r="P42" s="27"/>
      <c r="Q42" s="27"/>
      <c r="R42" s="27"/>
      <c r="S42" s="27"/>
      <c r="T42" s="43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5"/>
      <c r="AJ42" s="58"/>
      <c r="AK42" s="55"/>
      <c r="AL42" s="66">
        <f t="shared" si="5"/>
        <v>0</v>
      </c>
      <c r="AM42" s="28" t="str">
        <f t="shared" si="2"/>
        <v>OK</v>
      </c>
    </row>
    <row r="43" spans="1:39" customFormat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135"/>
      <c r="I43" s="21">
        <f t="shared" si="3"/>
        <v>0</v>
      </c>
      <c r="J43" s="21"/>
      <c r="K43" s="16"/>
      <c r="L43" s="21"/>
      <c r="M43" s="21"/>
      <c r="N43" s="21"/>
      <c r="O43" s="21"/>
      <c r="P43" s="21"/>
      <c r="Q43" s="21"/>
      <c r="R43" s="21"/>
      <c r="S43" s="21"/>
      <c r="T43" s="42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4"/>
      <c r="AJ43" s="57"/>
      <c r="AK43" s="54"/>
      <c r="AL43" s="65">
        <f t="shared" si="5"/>
        <v>0</v>
      </c>
      <c r="AM43" s="22" t="str">
        <f t="shared" si="2"/>
        <v>OK</v>
      </c>
    </row>
    <row r="44" spans="1:39" customFormat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136"/>
      <c r="I44" s="27">
        <f t="shared" si="3"/>
        <v>0</v>
      </c>
      <c r="J44" s="27"/>
      <c r="K44" s="16"/>
      <c r="L44" s="27"/>
      <c r="M44" s="27"/>
      <c r="N44" s="27"/>
      <c r="O44" s="27"/>
      <c r="P44" s="27"/>
      <c r="Q44" s="27"/>
      <c r="R44" s="27"/>
      <c r="S44" s="27"/>
      <c r="T44" s="43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5"/>
      <c r="AJ44" s="58"/>
      <c r="AK44" s="55"/>
      <c r="AL44" s="66">
        <f t="shared" si="5"/>
        <v>0</v>
      </c>
      <c r="AM44" s="28" t="str">
        <f t="shared" si="2"/>
        <v>OK</v>
      </c>
    </row>
    <row r="45" spans="1:39" customFormat="1">
      <c r="A45" s="17" t="s">
        <v>107</v>
      </c>
      <c r="B45" s="77">
        <v>13467</v>
      </c>
      <c r="C45" s="17" t="s">
        <v>87</v>
      </c>
      <c r="D45" s="69"/>
      <c r="E45" s="18"/>
      <c r="F45" s="18"/>
      <c r="G45" s="19"/>
      <c r="H45" s="135"/>
      <c r="I45" s="21">
        <f t="shared" si="3"/>
        <v>0</v>
      </c>
      <c r="J45" s="21"/>
      <c r="K45" s="16"/>
      <c r="L45" s="21"/>
      <c r="M45" s="21"/>
      <c r="N45" s="21"/>
      <c r="O45" s="21"/>
      <c r="P45" s="21"/>
      <c r="Q45" s="21"/>
      <c r="R45" s="21"/>
      <c r="S45" s="21"/>
      <c r="T45" s="4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4"/>
      <c r="AJ45" s="57"/>
      <c r="AK45" s="54"/>
      <c r="AL45" s="65">
        <f t="shared" si="5"/>
        <v>0</v>
      </c>
      <c r="AM45" s="22" t="str">
        <f t="shared" si="2"/>
        <v>OK</v>
      </c>
    </row>
    <row r="46" spans="1:39" customFormat="1">
      <c r="A46" s="68" t="s">
        <v>111</v>
      </c>
      <c r="B46" s="78">
        <v>15948</v>
      </c>
      <c r="C46" s="23" t="s">
        <v>87</v>
      </c>
      <c r="D46" s="24"/>
      <c r="E46" s="24"/>
      <c r="F46" s="24"/>
      <c r="G46" s="25"/>
      <c r="H46" s="136"/>
      <c r="I46" s="27">
        <f t="shared" si="3"/>
        <v>0</v>
      </c>
      <c r="J46" s="27"/>
      <c r="K46" s="16"/>
      <c r="L46" s="27"/>
      <c r="M46" s="27"/>
      <c r="N46" s="27"/>
      <c r="O46" s="27"/>
      <c r="P46" s="27"/>
      <c r="Q46" s="27"/>
      <c r="R46" s="27"/>
      <c r="S46" s="27"/>
      <c r="T46" s="43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5"/>
      <c r="AJ46" s="58"/>
      <c r="AK46" s="55"/>
      <c r="AL46" s="66">
        <f t="shared" si="5"/>
        <v>0</v>
      </c>
      <c r="AM46" s="28" t="str">
        <f t="shared" si="2"/>
        <v>OK</v>
      </c>
    </row>
    <row r="47" spans="1:39" customFormat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135"/>
      <c r="I47" s="21">
        <f t="shared" si="3"/>
        <v>0</v>
      </c>
      <c r="J47" s="21"/>
      <c r="K47" s="16"/>
      <c r="L47" s="21"/>
      <c r="M47" s="21"/>
      <c r="N47" s="21"/>
      <c r="O47" s="21"/>
      <c r="P47" s="21"/>
      <c r="Q47" s="21"/>
      <c r="R47" s="21"/>
      <c r="S47" s="21"/>
      <c r="T47" s="42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4"/>
      <c r="AJ47" s="57"/>
      <c r="AK47" s="54"/>
      <c r="AL47" s="65">
        <f t="shared" si="5"/>
        <v>0</v>
      </c>
      <c r="AM47" s="22" t="str">
        <f t="shared" si="2"/>
        <v>OK</v>
      </c>
    </row>
    <row r="48" spans="1:39" customFormat="1">
      <c r="A48" s="68" t="s">
        <v>121</v>
      </c>
      <c r="B48" s="78">
        <v>16598</v>
      </c>
      <c r="C48" s="23" t="s">
        <v>87</v>
      </c>
      <c r="D48" s="24"/>
      <c r="E48" s="24"/>
      <c r="F48" s="24"/>
      <c r="G48" s="25"/>
      <c r="H48" s="136"/>
      <c r="I48" s="27">
        <f t="shared" si="3"/>
        <v>0</v>
      </c>
      <c r="J48" s="27"/>
      <c r="K48" s="16"/>
      <c r="L48" s="27"/>
      <c r="M48" s="27"/>
      <c r="N48" s="27"/>
      <c r="O48" s="27"/>
      <c r="P48" s="27"/>
      <c r="Q48" s="27"/>
      <c r="R48" s="27"/>
      <c r="S48" s="27"/>
      <c r="T48" s="43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5"/>
      <c r="AJ48" s="58"/>
      <c r="AK48" s="55"/>
      <c r="AL48" s="66">
        <f t="shared" si="5"/>
        <v>0</v>
      </c>
      <c r="AM48" s="28" t="str">
        <f t="shared" si="2"/>
        <v>OK</v>
      </c>
    </row>
    <row r="49" spans="1:39" customFormat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135"/>
      <c r="I49" s="21">
        <f t="shared" si="3"/>
        <v>0</v>
      </c>
      <c r="J49" s="21"/>
      <c r="K49" s="16"/>
      <c r="L49" s="21"/>
      <c r="M49" s="21"/>
      <c r="N49" s="21"/>
      <c r="O49" s="21"/>
      <c r="P49" s="21"/>
      <c r="Q49" s="21"/>
      <c r="R49" s="21"/>
      <c r="S49" s="21"/>
      <c r="T49" s="4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4"/>
      <c r="AJ49" s="57"/>
      <c r="AK49" s="54"/>
      <c r="AL49" s="65">
        <f t="shared" si="5"/>
        <v>0</v>
      </c>
      <c r="AM49" s="22" t="str">
        <f t="shared" si="2"/>
        <v>OK</v>
      </c>
    </row>
    <row r="50" spans="1:39" customFormat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136"/>
      <c r="I50" s="27">
        <f t="shared" si="3"/>
        <v>0</v>
      </c>
      <c r="J50" s="27"/>
      <c r="K50" s="16"/>
      <c r="L50" s="27"/>
      <c r="M50" s="27"/>
      <c r="N50" s="27"/>
      <c r="O50" s="27"/>
      <c r="P50" s="27"/>
      <c r="Q50" s="27"/>
      <c r="R50" s="27"/>
      <c r="S50" s="27"/>
      <c r="T50" s="43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8"/>
      <c r="AK50" s="55"/>
      <c r="AL50" s="66">
        <f t="shared" si="5"/>
        <v>0</v>
      </c>
      <c r="AM50" s="28" t="str">
        <f t="shared" si="2"/>
        <v>OK</v>
      </c>
    </row>
    <row r="51" spans="1:39" customFormat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135"/>
      <c r="I51" s="21">
        <f t="shared" si="3"/>
        <v>0</v>
      </c>
      <c r="J51" s="21"/>
      <c r="K51" s="16"/>
      <c r="L51" s="21"/>
      <c r="M51" s="21"/>
      <c r="N51" s="21"/>
      <c r="O51" s="21"/>
      <c r="P51" s="21"/>
      <c r="Q51" s="21"/>
      <c r="R51" s="21"/>
      <c r="S51" s="21"/>
      <c r="T51" s="4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4"/>
      <c r="AJ51" s="57"/>
      <c r="AK51" s="54"/>
      <c r="AL51" s="65">
        <f>SUM(L51:AK51)</f>
        <v>0</v>
      </c>
      <c r="AM51" s="22" t="str">
        <f t="shared" si="2"/>
        <v>OK</v>
      </c>
    </row>
    <row r="52" spans="1:39" customFormat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136"/>
      <c r="I52" s="27">
        <f t="shared" si="3"/>
        <v>0</v>
      </c>
      <c r="J52" s="27"/>
      <c r="K52" s="16"/>
      <c r="L52" s="27"/>
      <c r="M52" s="27"/>
      <c r="N52" s="27"/>
      <c r="O52" s="27"/>
      <c r="P52" s="27"/>
      <c r="Q52" s="27"/>
      <c r="R52" s="27"/>
      <c r="S52" s="27"/>
      <c r="T52" s="43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5"/>
      <c r="AJ52" s="58"/>
      <c r="AK52" s="55"/>
      <c r="AL52" s="66">
        <f t="shared" ref="AL52:AL64" si="6">SUM(L52:AK52)</f>
        <v>0</v>
      </c>
      <c r="AM52" s="28" t="str">
        <f t="shared" si="2"/>
        <v>OK</v>
      </c>
    </row>
    <row r="53" spans="1:39" customFormat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135"/>
      <c r="I53" s="21">
        <f t="shared" si="3"/>
        <v>0</v>
      </c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42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4"/>
      <c r="AJ53" s="57"/>
      <c r="AK53" s="54"/>
      <c r="AL53" s="65">
        <f t="shared" si="6"/>
        <v>0</v>
      </c>
      <c r="AM53" s="22" t="str">
        <f t="shared" si="2"/>
        <v>OK</v>
      </c>
    </row>
    <row r="54" spans="1:39" customFormat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136"/>
      <c r="I54" s="27">
        <f t="shared" si="3"/>
        <v>0</v>
      </c>
      <c r="J54" s="27"/>
      <c r="K54" s="16"/>
      <c r="L54" s="27"/>
      <c r="M54" s="27"/>
      <c r="N54" s="27"/>
      <c r="O54" s="27"/>
      <c r="P54" s="27"/>
      <c r="Q54" s="27"/>
      <c r="R54" s="27"/>
      <c r="S54" s="27"/>
      <c r="T54" s="43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5"/>
      <c r="AJ54" s="58"/>
      <c r="AK54" s="55"/>
      <c r="AL54" s="66">
        <f t="shared" si="6"/>
        <v>0</v>
      </c>
      <c r="AM54" s="28" t="str">
        <f t="shared" si="2"/>
        <v>OK</v>
      </c>
    </row>
    <row r="55" spans="1:39" customFormat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135"/>
      <c r="I55" s="21">
        <f t="shared" si="3"/>
        <v>0</v>
      </c>
      <c r="J55" s="21"/>
      <c r="K55" s="16"/>
      <c r="L55" s="21"/>
      <c r="M55" s="21"/>
      <c r="N55" s="21"/>
      <c r="O55" s="21"/>
      <c r="P55" s="21"/>
      <c r="Q55" s="21"/>
      <c r="R55" s="21"/>
      <c r="S55" s="21"/>
      <c r="T55" s="42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4"/>
      <c r="AJ55" s="57"/>
      <c r="AK55" s="54"/>
      <c r="AL55" s="65">
        <f t="shared" si="6"/>
        <v>0</v>
      </c>
      <c r="AM55" s="22" t="str">
        <f t="shared" si="2"/>
        <v>OK</v>
      </c>
    </row>
    <row r="56" spans="1:39" customFormat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136"/>
      <c r="I56" s="27">
        <f t="shared" si="3"/>
        <v>0</v>
      </c>
      <c r="J56" s="27"/>
      <c r="K56" s="16"/>
      <c r="L56" s="27"/>
      <c r="M56" s="27"/>
      <c r="N56" s="27"/>
      <c r="O56" s="27"/>
      <c r="P56" s="27"/>
      <c r="Q56" s="27"/>
      <c r="R56" s="27"/>
      <c r="S56" s="27"/>
      <c r="T56" s="43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5"/>
      <c r="AJ56" s="58"/>
      <c r="AK56" s="55"/>
      <c r="AL56" s="66">
        <f t="shared" si="6"/>
        <v>0</v>
      </c>
      <c r="AM56" s="28" t="str">
        <f t="shared" si="2"/>
        <v>OK</v>
      </c>
    </row>
    <row r="57" spans="1:39" customFormat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135"/>
      <c r="I57" s="21">
        <f t="shared" si="3"/>
        <v>0</v>
      </c>
      <c r="J57" s="21"/>
      <c r="K57" s="16"/>
      <c r="L57" s="21"/>
      <c r="M57" s="21"/>
      <c r="N57" s="21"/>
      <c r="O57" s="21"/>
      <c r="P57" s="21"/>
      <c r="Q57" s="21"/>
      <c r="R57" s="21"/>
      <c r="S57" s="21"/>
      <c r="T57" s="42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4"/>
      <c r="AJ57" s="57"/>
      <c r="AK57" s="54"/>
      <c r="AL57" s="65">
        <f t="shared" si="6"/>
        <v>0</v>
      </c>
      <c r="AM57" s="22" t="str">
        <f t="shared" si="2"/>
        <v>OK</v>
      </c>
    </row>
    <row r="58" spans="1:39" customFormat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136"/>
      <c r="I58" s="27">
        <f t="shared" si="3"/>
        <v>0</v>
      </c>
      <c r="J58" s="27"/>
      <c r="K58" s="16"/>
      <c r="L58" s="27"/>
      <c r="M58" s="27"/>
      <c r="N58" s="27"/>
      <c r="O58" s="27"/>
      <c r="P58" s="27"/>
      <c r="Q58" s="27"/>
      <c r="R58" s="27"/>
      <c r="S58" s="27"/>
      <c r="T58" s="43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5"/>
      <c r="AJ58" s="58"/>
      <c r="AK58" s="55"/>
      <c r="AL58" s="66">
        <f t="shared" si="6"/>
        <v>0</v>
      </c>
      <c r="AM58" s="28" t="str">
        <f t="shared" si="2"/>
        <v>OK</v>
      </c>
    </row>
    <row r="59" spans="1:39" customFormat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135"/>
      <c r="I59" s="21">
        <f t="shared" si="3"/>
        <v>0</v>
      </c>
      <c r="J59" s="21"/>
      <c r="K59" s="16"/>
      <c r="L59" s="21"/>
      <c r="M59" s="21"/>
      <c r="N59" s="21"/>
      <c r="O59" s="21"/>
      <c r="P59" s="21"/>
      <c r="Q59" s="21"/>
      <c r="R59" s="21"/>
      <c r="S59" s="21"/>
      <c r="T59" s="4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4"/>
      <c r="AJ59" s="57"/>
      <c r="AK59" s="54"/>
      <c r="AL59" s="65">
        <f t="shared" si="6"/>
        <v>0</v>
      </c>
      <c r="AM59" s="22" t="str">
        <f t="shared" si="2"/>
        <v>OK</v>
      </c>
    </row>
    <row r="60" spans="1:39" customFormat="1">
      <c r="A60" s="68" t="s">
        <v>84</v>
      </c>
      <c r="B60" s="78">
        <v>11380</v>
      </c>
      <c r="C60" s="23" t="s">
        <v>60</v>
      </c>
      <c r="D60" s="24"/>
      <c r="E60" s="24"/>
      <c r="F60" s="24"/>
      <c r="G60" s="25"/>
      <c r="H60" s="136"/>
      <c r="I60" s="27">
        <f t="shared" si="3"/>
        <v>0</v>
      </c>
      <c r="J60" s="27"/>
      <c r="K60" s="16"/>
      <c r="L60" s="27"/>
      <c r="M60" s="27"/>
      <c r="N60" s="27"/>
      <c r="O60" s="27"/>
      <c r="P60" s="27"/>
      <c r="Q60" s="27"/>
      <c r="R60" s="27"/>
      <c r="S60" s="27"/>
      <c r="T60" s="43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5"/>
      <c r="AJ60" s="58"/>
      <c r="AK60" s="55"/>
      <c r="AL60" s="66">
        <f t="shared" si="6"/>
        <v>0</v>
      </c>
      <c r="AM60" s="28" t="str">
        <f t="shared" si="2"/>
        <v>OK</v>
      </c>
    </row>
    <row r="61" spans="1:39" customFormat="1">
      <c r="A61" s="80" t="s">
        <v>112</v>
      </c>
      <c r="B61" s="77">
        <v>18518</v>
      </c>
      <c r="C61" s="17" t="s">
        <v>87</v>
      </c>
      <c r="D61" s="69"/>
      <c r="E61" s="18"/>
      <c r="F61" s="18"/>
      <c r="G61" s="19"/>
      <c r="H61" s="135"/>
      <c r="I61" s="21">
        <f t="shared" si="3"/>
        <v>0</v>
      </c>
      <c r="J61" s="21"/>
      <c r="K61" s="16"/>
      <c r="L61" s="21"/>
      <c r="M61" s="21"/>
      <c r="N61" s="21"/>
      <c r="O61" s="21"/>
      <c r="P61" s="21"/>
      <c r="Q61" s="21"/>
      <c r="R61" s="21"/>
      <c r="S61" s="21"/>
      <c r="T61" s="4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4"/>
      <c r="AJ61" s="57"/>
      <c r="AK61" s="54"/>
      <c r="AL61" s="65">
        <f t="shared" si="6"/>
        <v>0</v>
      </c>
      <c r="AM61" s="22" t="str">
        <f t="shared" si="2"/>
        <v>OK</v>
      </c>
    </row>
    <row r="62" spans="1:39" customFormat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136"/>
      <c r="I62" s="27">
        <f t="shared" si="3"/>
        <v>0</v>
      </c>
      <c r="J62" s="27"/>
      <c r="K62" s="16"/>
      <c r="L62" s="27"/>
      <c r="M62" s="27"/>
      <c r="N62" s="27"/>
      <c r="O62" s="27"/>
      <c r="P62" s="27"/>
      <c r="Q62" s="27"/>
      <c r="R62" s="27"/>
      <c r="S62" s="27"/>
      <c r="T62" s="43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5"/>
      <c r="AJ62" s="58"/>
      <c r="AK62" s="55"/>
      <c r="AL62" s="66">
        <f t="shared" si="6"/>
        <v>0</v>
      </c>
      <c r="AM62" s="28" t="str">
        <f t="shared" si="2"/>
        <v>OK</v>
      </c>
    </row>
    <row r="63" spans="1:39" customFormat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135"/>
      <c r="I63" s="21">
        <f t="shared" si="3"/>
        <v>0</v>
      </c>
      <c r="J63" s="21"/>
      <c r="K63" s="16"/>
      <c r="L63" s="21"/>
      <c r="M63" s="21"/>
      <c r="N63" s="21"/>
      <c r="O63" s="21"/>
      <c r="P63" s="21"/>
      <c r="Q63" s="21"/>
      <c r="R63" s="21"/>
      <c r="S63" s="21"/>
      <c r="T63" s="4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4"/>
      <c r="AJ63" s="57"/>
      <c r="AK63" s="54"/>
      <c r="AL63" s="65">
        <f t="shared" si="6"/>
        <v>0</v>
      </c>
      <c r="AM63" s="22" t="str">
        <f t="shared" si="2"/>
        <v>OK</v>
      </c>
    </row>
    <row r="64" spans="1:39" customFormat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136"/>
      <c r="I64" s="27">
        <f t="shared" si="3"/>
        <v>0</v>
      </c>
      <c r="J64" s="27"/>
      <c r="K64" s="16"/>
      <c r="L64" s="27"/>
      <c r="M64" s="27"/>
      <c r="N64" s="27"/>
      <c r="O64" s="27"/>
      <c r="P64" s="27"/>
      <c r="Q64" s="27"/>
      <c r="R64" s="27"/>
      <c r="S64" s="27"/>
      <c r="T64" s="43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5"/>
      <c r="AJ64" s="58"/>
      <c r="AK64" s="55"/>
      <c r="AL64" s="66">
        <f t="shared" si="6"/>
        <v>0</v>
      </c>
      <c r="AM64" s="28" t="str">
        <f t="shared" si="2"/>
        <v>OK</v>
      </c>
    </row>
    <row r="65" spans="1:39" customFormat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135"/>
      <c r="I65" s="21">
        <f t="shared" si="3"/>
        <v>0</v>
      </c>
      <c r="J65" s="21"/>
      <c r="K65" s="16"/>
      <c r="L65" s="21"/>
      <c r="M65" s="21"/>
      <c r="N65" s="21"/>
      <c r="O65" s="21"/>
      <c r="P65" s="21"/>
      <c r="Q65" s="21"/>
      <c r="R65" s="21"/>
      <c r="S65" s="21"/>
      <c r="T65" s="4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4"/>
      <c r="AJ65" s="57"/>
      <c r="AK65" s="54"/>
      <c r="AL65" s="65">
        <f t="shared" si="4"/>
        <v>0</v>
      </c>
      <c r="AM65" s="22" t="str">
        <f t="shared" si="2"/>
        <v>OK</v>
      </c>
    </row>
    <row r="66" spans="1:39" customFormat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136"/>
      <c r="I66" s="27">
        <f t="shared" si="3"/>
        <v>0</v>
      </c>
      <c r="J66" s="27"/>
      <c r="K66" s="16"/>
      <c r="L66" s="27"/>
      <c r="M66" s="27"/>
      <c r="N66" s="27"/>
      <c r="O66" s="27"/>
      <c r="P66" s="27"/>
      <c r="Q66" s="27"/>
      <c r="R66" s="27"/>
      <c r="S66" s="27"/>
      <c r="T66" s="43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5"/>
      <c r="AJ66" s="58"/>
      <c r="AK66" s="55"/>
      <c r="AL66" s="66">
        <f t="shared" si="4"/>
        <v>0</v>
      </c>
      <c r="AM66" s="28" t="str">
        <f t="shared" si="2"/>
        <v>OK</v>
      </c>
    </row>
    <row r="67" spans="1:39" customFormat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135"/>
      <c r="I67" s="21">
        <f t="shared" si="3"/>
        <v>0</v>
      </c>
      <c r="J67" s="21"/>
      <c r="K67" s="16"/>
      <c r="L67" s="21"/>
      <c r="M67" s="21"/>
      <c r="N67" s="21"/>
      <c r="O67" s="21"/>
      <c r="P67" s="21"/>
      <c r="Q67" s="21"/>
      <c r="R67" s="21"/>
      <c r="S67" s="21"/>
      <c r="T67" s="4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4"/>
      <c r="AJ67" s="57"/>
      <c r="AK67" s="54"/>
      <c r="AL67" s="65">
        <f t="shared" si="4"/>
        <v>0</v>
      </c>
      <c r="AM67" s="22" t="str">
        <f t="shared" si="2"/>
        <v>OK</v>
      </c>
    </row>
    <row r="68" spans="1:39" customFormat="1">
      <c r="A68" s="81" t="s">
        <v>132</v>
      </c>
      <c r="B68" s="78">
        <v>20269</v>
      </c>
      <c r="C68" s="23" t="s">
        <v>131</v>
      </c>
      <c r="D68" s="24"/>
      <c r="E68" s="24"/>
      <c r="F68" s="24"/>
      <c r="G68" s="25"/>
      <c r="H68" s="136"/>
      <c r="I68" s="27">
        <f t="shared" si="3"/>
        <v>0</v>
      </c>
      <c r="J68" s="27"/>
      <c r="K68" s="16"/>
      <c r="L68" s="27"/>
      <c r="M68" s="27"/>
      <c r="N68" s="27"/>
      <c r="O68" s="27"/>
      <c r="P68" s="27"/>
      <c r="Q68" s="27"/>
      <c r="R68" s="27"/>
      <c r="S68" s="27"/>
      <c r="T68" s="43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5"/>
      <c r="AJ68" s="58"/>
      <c r="AK68" s="55"/>
      <c r="AL68" s="66">
        <f t="shared" si="4"/>
        <v>0</v>
      </c>
      <c r="AM68" s="28" t="str">
        <f t="shared" si="2"/>
        <v>OK</v>
      </c>
    </row>
    <row r="69" spans="1:39" customFormat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135"/>
      <c r="I69" s="21">
        <f t="shared" si="3"/>
        <v>0</v>
      </c>
      <c r="J69" s="21"/>
      <c r="K69" s="16"/>
      <c r="L69" s="21"/>
      <c r="M69" s="21"/>
      <c r="N69" s="21"/>
      <c r="O69" s="21"/>
      <c r="P69" s="21"/>
      <c r="Q69" s="21"/>
      <c r="R69" s="21"/>
      <c r="S69" s="21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7"/>
      <c r="AK69" s="54"/>
      <c r="AL69" s="65">
        <f t="shared" si="4"/>
        <v>0</v>
      </c>
      <c r="AM69" s="22" t="str">
        <f t="shared" si="2"/>
        <v>OK</v>
      </c>
    </row>
    <row r="70" spans="1:39" customFormat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136"/>
      <c r="I70" s="27">
        <f t="shared" si="3"/>
        <v>0</v>
      </c>
      <c r="J70" s="27"/>
      <c r="K70" s="16"/>
      <c r="L70" s="27"/>
      <c r="M70" s="27"/>
      <c r="N70" s="27"/>
      <c r="O70" s="27"/>
      <c r="P70" s="27"/>
      <c r="Q70" s="27"/>
      <c r="R70" s="27"/>
      <c r="S70" s="27"/>
      <c r="T70" s="43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5"/>
      <c r="AJ70" s="58"/>
      <c r="AK70" s="55"/>
      <c r="AL70" s="66">
        <f t="shared" si="4"/>
        <v>0</v>
      </c>
      <c r="AM70" s="28" t="str">
        <f t="shared" si="2"/>
        <v>OK</v>
      </c>
    </row>
    <row r="71" spans="1:39" customFormat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135"/>
      <c r="I71" s="21">
        <f t="shared" ref="I71:I96" si="7">SUM(L71:AK71)</f>
        <v>0</v>
      </c>
      <c r="J71" s="21"/>
      <c r="K71" s="16"/>
      <c r="L71" s="21"/>
      <c r="M71" s="21"/>
      <c r="N71" s="21"/>
      <c r="O71" s="21"/>
      <c r="P71" s="21"/>
      <c r="Q71" s="21"/>
      <c r="R71" s="21"/>
      <c r="S71" s="21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4"/>
      <c r="AJ71" s="57"/>
      <c r="AK71" s="54"/>
      <c r="AL71" s="65">
        <f t="shared" si="4"/>
        <v>0</v>
      </c>
      <c r="AM71" s="22" t="str">
        <f t="shared" si="2"/>
        <v>OK</v>
      </c>
    </row>
    <row r="72" spans="1:39" customFormat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136"/>
      <c r="I72" s="27">
        <f t="shared" si="7"/>
        <v>0</v>
      </c>
      <c r="J72" s="27"/>
      <c r="K72" s="16"/>
      <c r="L72" s="27"/>
      <c r="M72" s="27"/>
      <c r="N72" s="27"/>
      <c r="O72" s="27"/>
      <c r="P72" s="27"/>
      <c r="Q72" s="27"/>
      <c r="R72" s="27"/>
      <c r="S72" s="27"/>
      <c r="T72" s="43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5"/>
      <c r="AJ72" s="58"/>
      <c r="AK72" s="55"/>
      <c r="AL72" s="66">
        <f t="shared" si="4"/>
        <v>0</v>
      </c>
      <c r="AM72" s="28" t="str">
        <f t="shared" si="2"/>
        <v>OK</v>
      </c>
    </row>
    <row r="73" spans="1:39" customFormat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138"/>
      <c r="I73" s="101">
        <f t="shared" si="7"/>
        <v>0</v>
      </c>
      <c r="J73" s="21"/>
      <c r="K73" s="16"/>
      <c r="L73" s="21"/>
      <c r="M73" s="21"/>
      <c r="N73" s="21"/>
      <c r="O73" s="21"/>
      <c r="P73" s="21"/>
      <c r="Q73" s="21"/>
      <c r="R73" s="21"/>
      <c r="S73" s="21"/>
      <c r="T73" s="42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4"/>
      <c r="AJ73" s="57"/>
      <c r="AK73" s="54"/>
      <c r="AL73" s="65">
        <f t="shared" si="4"/>
        <v>0</v>
      </c>
      <c r="AM73" s="22" t="str">
        <f t="shared" si="2"/>
        <v>OK</v>
      </c>
    </row>
    <row r="74" spans="1:39" customFormat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139"/>
      <c r="I74" s="103">
        <f t="shared" si="7"/>
        <v>0</v>
      </c>
      <c r="J74" s="27"/>
      <c r="K74" s="16"/>
      <c r="L74" s="100"/>
      <c r="M74" s="100"/>
      <c r="N74" s="100"/>
      <c r="O74" s="100"/>
      <c r="P74" s="100"/>
      <c r="Q74" s="100"/>
      <c r="R74" s="100"/>
      <c r="S74" s="100"/>
      <c r="T74" s="109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1"/>
      <c r="AJ74" s="112"/>
      <c r="AK74" s="111"/>
      <c r="AL74" s="66">
        <f t="shared" si="4"/>
        <v>0</v>
      </c>
      <c r="AM74" s="28" t="str">
        <f t="shared" si="2"/>
        <v>OK</v>
      </c>
    </row>
    <row r="75" spans="1:39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40"/>
      <c r="I75" s="105">
        <f t="shared" si="7"/>
        <v>0</v>
      </c>
      <c r="J75" s="90"/>
      <c r="K75" s="91"/>
      <c r="L75" s="113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5"/>
      <c r="AL75" s="92">
        <f t="shared" ref="AL75:AL80" si="8">SUM(L75:AK75)</f>
        <v>0</v>
      </c>
      <c r="AM75" s="122" t="str">
        <f t="shared" ref="AM75:AM96" si="9">IF(AL75=I75,"OK","NG")</f>
        <v>OK</v>
      </c>
    </row>
    <row r="76" spans="1:39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139"/>
      <c r="I76" s="106">
        <f t="shared" si="7"/>
        <v>0</v>
      </c>
      <c r="J76" s="85"/>
      <c r="K76" s="16"/>
      <c r="L76" s="1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8"/>
      <c r="AL76" s="66">
        <f t="shared" si="8"/>
        <v>0</v>
      </c>
      <c r="AM76" s="28" t="str">
        <f t="shared" si="9"/>
        <v>OK</v>
      </c>
    </row>
    <row r="77" spans="1:39">
      <c r="A77" s="87" t="s">
        <v>165</v>
      </c>
      <c r="B77" s="93">
        <v>13007</v>
      </c>
      <c r="C77" s="94" t="s">
        <v>164</v>
      </c>
      <c r="D77" s="88"/>
      <c r="E77" s="88"/>
      <c r="F77" s="88"/>
      <c r="G77" s="89"/>
      <c r="H77" s="104"/>
      <c r="I77" s="105">
        <f t="shared" si="7"/>
        <v>0</v>
      </c>
      <c r="J77" s="90"/>
      <c r="K77" s="91"/>
      <c r="L77" s="113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5"/>
      <c r="AL77" s="92">
        <f t="shared" si="8"/>
        <v>0</v>
      </c>
      <c r="AM77" s="122" t="str">
        <f t="shared" si="9"/>
        <v>OK</v>
      </c>
    </row>
    <row r="78" spans="1:39">
      <c r="A78" s="68"/>
      <c r="B78" s="78"/>
      <c r="C78" s="95"/>
      <c r="D78" s="83"/>
      <c r="E78" s="83"/>
      <c r="F78" s="83"/>
      <c r="G78" s="84"/>
      <c r="H78" s="102"/>
      <c r="I78" s="106">
        <f t="shared" si="7"/>
        <v>0</v>
      </c>
      <c r="J78" s="85"/>
      <c r="K78" s="16"/>
      <c r="L78" s="1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66">
        <f t="shared" si="8"/>
        <v>0</v>
      </c>
      <c r="AM78" s="28" t="str">
        <f t="shared" si="9"/>
        <v>OK</v>
      </c>
    </row>
    <row r="79" spans="1:39">
      <c r="A79" s="87"/>
      <c r="B79" s="93"/>
      <c r="C79" s="94"/>
      <c r="D79" s="88"/>
      <c r="E79" s="88"/>
      <c r="F79" s="88"/>
      <c r="G79" s="89"/>
      <c r="H79" s="104"/>
      <c r="I79" s="105">
        <f t="shared" si="7"/>
        <v>0</v>
      </c>
      <c r="J79" s="90"/>
      <c r="K79" s="91"/>
      <c r="L79" s="113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5"/>
      <c r="AL79" s="92">
        <f t="shared" si="8"/>
        <v>0</v>
      </c>
      <c r="AM79" s="122" t="str">
        <f t="shared" si="9"/>
        <v>OK</v>
      </c>
    </row>
    <row r="80" spans="1:39">
      <c r="A80" s="68"/>
      <c r="B80" s="78"/>
      <c r="C80" s="95"/>
      <c r="D80" s="83"/>
      <c r="E80" s="83"/>
      <c r="F80" s="83"/>
      <c r="G80" s="84"/>
      <c r="H80" s="102"/>
      <c r="I80" s="106">
        <f t="shared" si="7"/>
        <v>0</v>
      </c>
      <c r="J80" s="85"/>
      <c r="K80" s="16"/>
      <c r="L80" s="116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66">
        <f t="shared" si="8"/>
        <v>0</v>
      </c>
      <c r="AM80" s="28" t="str">
        <f t="shared" si="9"/>
        <v>OK</v>
      </c>
    </row>
    <row r="81" spans="1:39">
      <c r="A81" s="87"/>
      <c r="B81" s="93"/>
      <c r="C81" s="94"/>
      <c r="D81" s="88"/>
      <c r="E81" s="88"/>
      <c r="F81" s="88"/>
      <c r="G81" s="89"/>
      <c r="H81" s="104"/>
      <c r="I81" s="105">
        <f t="shared" si="7"/>
        <v>0</v>
      </c>
      <c r="J81" s="90"/>
      <c r="K81" s="91"/>
      <c r="L81" s="113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5"/>
      <c r="AL81" s="92">
        <f t="shared" ref="AL81:AL96" si="10">SUM(L81:AK81)</f>
        <v>0</v>
      </c>
      <c r="AM81" s="122" t="str">
        <f t="shared" si="9"/>
        <v>OK</v>
      </c>
    </row>
    <row r="82" spans="1:39">
      <c r="A82" s="68"/>
      <c r="B82" s="78"/>
      <c r="C82" s="95"/>
      <c r="D82" s="83"/>
      <c r="E82" s="83"/>
      <c r="F82" s="83"/>
      <c r="G82" s="84"/>
      <c r="H82" s="102"/>
      <c r="I82" s="106">
        <f t="shared" si="7"/>
        <v>0</v>
      </c>
      <c r="J82" s="85"/>
      <c r="K82" s="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66">
        <f t="shared" si="10"/>
        <v>0</v>
      </c>
      <c r="AM82" s="28" t="str">
        <f t="shared" si="9"/>
        <v>OK</v>
      </c>
    </row>
    <row r="83" spans="1:39">
      <c r="A83" s="96"/>
      <c r="B83" s="93"/>
      <c r="C83" s="94"/>
      <c r="D83" s="88"/>
      <c r="E83" s="88"/>
      <c r="F83" s="88"/>
      <c r="G83" s="89"/>
      <c r="H83" s="104"/>
      <c r="I83" s="105">
        <f t="shared" si="7"/>
        <v>0</v>
      </c>
      <c r="J83" s="90"/>
      <c r="K83" s="91"/>
      <c r="L83" s="113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5"/>
      <c r="AL83" s="92">
        <f t="shared" si="10"/>
        <v>0</v>
      </c>
      <c r="AM83" s="122" t="str">
        <f t="shared" si="9"/>
        <v>OK</v>
      </c>
    </row>
    <row r="84" spans="1:39">
      <c r="A84" s="68"/>
      <c r="B84" s="78"/>
      <c r="C84" s="95"/>
      <c r="D84" s="83"/>
      <c r="E84" s="83"/>
      <c r="F84" s="83"/>
      <c r="G84" s="84"/>
      <c r="H84" s="102"/>
      <c r="I84" s="106">
        <f t="shared" si="7"/>
        <v>0</v>
      </c>
      <c r="J84" s="85"/>
      <c r="K84" s="16"/>
      <c r="L84" s="116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66">
        <f t="shared" si="10"/>
        <v>0</v>
      </c>
      <c r="AM84" s="28" t="str">
        <f t="shared" si="9"/>
        <v>OK</v>
      </c>
    </row>
    <row r="85" spans="1:39">
      <c r="A85" s="87"/>
      <c r="B85" s="93"/>
      <c r="C85" s="94"/>
      <c r="D85" s="88"/>
      <c r="E85" s="88"/>
      <c r="F85" s="88"/>
      <c r="G85" s="89"/>
      <c r="H85" s="104"/>
      <c r="I85" s="105">
        <f t="shared" si="7"/>
        <v>0</v>
      </c>
      <c r="J85" s="90"/>
      <c r="K85" s="91"/>
      <c r="L85" s="113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5"/>
      <c r="AL85" s="92">
        <f t="shared" si="10"/>
        <v>0</v>
      </c>
      <c r="AM85" s="122" t="str">
        <f t="shared" si="9"/>
        <v>OK</v>
      </c>
    </row>
    <row r="86" spans="1:39">
      <c r="A86" s="68"/>
      <c r="B86" s="78"/>
      <c r="C86" s="95"/>
      <c r="D86" s="83"/>
      <c r="E86" s="83"/>
      <c r="F86" s="83"/>
      <c r="G86" s="84"/>
      <c r="H86" s="102"/>
      <c r="I86" s="106">
        <f t="shared" si="7"/>
        <v>0</v>
      </c>
      <c r="J86" s="85"/>
      <c r="K86" s="16"/>
      <c r="L86" s="116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66">
        <f t="shared" si="10"/>
        <v>0</v>
      </c>
      <c r="AM86" s="28" t="str">
        <f t="shared" si="9"/>
        <v>OK</v>
      </c>
    </row>
    <row r="87" spans="1:39">
      <c r="A87" s="87"/>
      <c r="B87" s="93"/>
      <c r="C87" s="94"/>
      <c r="D87" s="88"/>
      <c r="E87" s="88"/>
      <c r="F87" s="88"/>
      <c r="G87" s="89"/>
      <c r="H87" s="104"/>
      <c r="I87" s="105">
        <f t="shared" si="7"/>
        <v>0</v>
      </c>
      <c r="J87" s="90"/>
      <c r="K87" s="91"/>
      <c r="L87" s="113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5"/>
      <c r="AL87" s="92">
        <f t="shared" si="10"/>
        <v>0</v>
      </c>
      <c r="AM87" s="122" t="str">
        <f t="shared" si="9"/>
        <v>OK</v>
      </c>
    </row>
    <row r="88" spans="1:39">
      <c r="A88" s="68"/>
      <c r="B88" s="78"/>
      <c r="C88" s="95"/>
      <c r="D88" s="83"/>
      <c r="E88" s="83"/>
      <c r="F88" s="83"/>
      <c r="G88" s="84"/>
      <c r="H88" s="102"/>
      <c r="I88" s="106">
        <f t="shared" si="7"/>
        <v>0</v>
      </c>
      <c r="J88" s="85"/>
      <c r="K88" s="16"/>
      <c r="L88" s="116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66">
        <f t="shared" si="10"/>
        <v>0</v>
      </c>
      <c r="AM88" s="28" t="str">
        <f t="shared" si="9"/>
        <v>OK</v>
      </c>
    </row>
    <row r="89" spans="1:39">
      <c r="A89" s="87"/>
      <c r="B89" s="93"/>
      <c r="C89" s="94"/>
      <c r="D89" s="88"/>
      <c r="E89" s="88"/>
      <c r="F89" s="88"/>
      <c r="G89" s="89"/>
      <c r="H89" s="104"/>
      <c r="I89" s="105">
        <f t="shared" si="7"/>
        <v>0</v>
      </c>
      <c r="J89" s="90"/>
      <c r="K89" s="91"/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5"/>
      <c r="AL89" s="92">
        <f t="shared" si="10"/>
        <v>0</v>
      </c>
      <c r="AM89" s="122" t="str">
        <f t="shared" si="9"/>
        <v>OK</v>
      </c>
    </row>
    <row r="90" spans="1:39">
      <c r="A90" s="68"/>
      <c r="B90" s="78"/>
      <c r="C90" s="95"/>
      <c r="D90" s="83"/>
      <c r="E90" s="83"/>
      <c r="F90" s="83"/>
      <c r="G90" s="84"/>
      <c r="H90" s="102"/>
      <c r="I90" s="106">
        <f t="shared" si="7"/>
        <v>0</v>
      </c>
      <c r="J90" s="85"/>
      <c r="K90" s="16"/>
      <c r="L90" s="116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66">
        <f t="shared" si="10"/>
        <v>0</v>
      </c>
      <c r="AM90" s="28" t="str">
        <f t="shared" si="9"/>
        <v>OK</v>
      </c>
    </row>
    <row r="91" spans="1:39">
      <c r="A91" s="87"/>
      <c r="B91" s="93"/>
      <c r="C91" s="94"/>
      <c r="D91" s="88"/>
      <c r="E91" s="88"/>
      <c r="F91" s="88"/>
      <c r="G91" s="89"/>
      <c r="H91" s="104"/>
      <c r="I91" s="105">
        <f t="shared" si="7"/>
        <v>0</v>
      </c>
      <c r="J91" s="90"/>
      <c r="K91" s="91"/>
      <c r="L91" s="113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5"/>
      <c r="AL91" s="92">
        <f t="shared" si="10"/>
        <v>0</v>
      </c>
      <c r="AM91" s="122" t="str">
        <f t="shared" si="9"/>
        <v>OK</v>
      </c>
    </row>
    <row r="92" spans="1:39">
      <c r="A92" s="68"/>
      <c r="B92" s="78"/>
      <c r="C92" s="95"/>
      <c r="D92" s="83"/>
      <c r="E92" s="83"/>
      <c r="F92" s="83"/>
      <c r="G92" s="84"/>
      <c r="H92" s="102"/>
      <c r="I92" s="106">
        <f t="shared" si="7"/>
        <v>0</v>
      </c>
      <c r="J92" s="85"/>
      <c r="K92" s="16"/>
      <c r="L92" s="116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66">
        <f t="shared" si="10"/>
        <v>0</v>
      </c>
      <c r="AM92" s="28" t="str">
        <f t="shared" si="9"/>
        <v>OK</v>
      </c>
    </row>
    <row r="93" spans="1:39">
      <c r="A93" s="87"/>
      <c r="B93" s="93"/>
      <c r="C93" s="94"/>
      <c r="D93" s="88"/>
      <c r="E93" s="88"/>
      <c r="F93" s="88"/>
      <c r="G93" s="89"/>
      <c r="H93" s="104"/>
      <c r="I93" s="105">
        <f t="shared" si="7"/>
        <v>0</v>
      </c>
      <c r="J93" s="90"/>
      <c r="K93" s="91"/>
      <c r="L93" s="113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5"/>
      <c r="AL93" s="92">
        <f t="shared" si="10"/>
        <v>0</v>
      </c>
      <c r="AM93" s="122" t="str">
        <f t="shared" si="9"/>
        <v>OK</v>
      </c>
    </row>
    <row r="94" spans="1:39">
      <c r="A94" s="68"/>
      <c r="B94" s="78"/>
      <c r="C94" s="95"/>
      <c r="D94" s="83"/>
      <c r="E94" s="83"/>
      <c r="F94" s="83"/>
      <c r="G94" s="84"/>
      <c r="H94" s="102"/>
      <c r="I94" s="106">
        <f t="shared" si="7"/>
        <v>0</v>
      </c>
      <c r="J94" s="85"/>
      <c r="K94" s="16"/>
      <c r="L94" s="116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66">
        <f t="shared" si="10"/>
        <v>0</v>
      </c>
      <c r="AM94" s="28" t="str">
        <f t="shared" si="9"/>
        <v>OK</v>
      </c>
    </row>
    <row r="95" spans="1:39">
      <c r="A95" s="87"/>
      <c r="B95" s="93"/>
      <c r="C95" s="94"/>
      <c r="D95" s="88"/>
      <c r="E95" s="88"/>
      <c r="F95" s="88"/>
      <c r="G95" s="89"/>
      <c r="H95" s="104"/>
      <c r="I95" s="105">
        <f t="shared" si="7"/>
        <v>0</v>
      </c>
      <c r="J95" s="90"/>
      <c r="K95" s="91"/>
      <c r="L95" s="113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5"/>
      <c r="AL95" s="92">
        <f t="shared" si="10"/>
        <v>0</v>
      </c>
      <c r="AM95" s="122" t="str">
        <f t="shared" si="9"/>
        <v>OK</v>
      </c>
    </row>
    <row r="96" spans="1:39" ht="17.25" thickBot="1">
      <c r="A96" s="97"/>
      <c r="B96" s="98"/>
      <c r="C96" s="99"/>
      <c r="D96" s="83"/>
      <c r="E96" s="83"/>
      <c r="F96" s="83"/>
      <c r="G96" s="84"/>
      <c r="H96" s="107"/>
      <c r="I96" s="108">
        <f t="shared" si="7"/>
        <v>0</v>
      </c>
      <c r="J96" s="85"/>
      <c r="K96" s="16"/>
      <c r="L96" s="119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1"/>
      <c r="AL96" s="66">
        <f t="shared" si="10"/>
        <v>0</v>
      </c>
      <c r="AM96" s="28" t="str">
        <f t="shared" si="9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0</v>
      </c>
      <c r="I97" s="46">
        <f>SUM(I6:I96)</f>
        <v>0</v>
      </c>
      <c r="J97" s="47">
        <f>SUM(J6:J74)</f>
        <v>0</v>
      </c>
      <c r="K97" s="9"/>
      <c r="L97" s="45">
        <f>SUM(L6:L96)</f>
        <v>0</v>
      </c>
      <c r="M97" s="45">
        <f t="shared" ref="M97:AI97" si="11">SUM(M6:M96)</f>
        <v>0</v>
      </c>
      <c r="N97" s="45">
        <f t="shared" si="11"/>
        <v>0</v>
      </c>
      <c r="O97" s="45">
        <f t="shared" si="11"/>
        <v>0</v>
      </c>
      <c r="P97" s="45">
        <f t="shared" si="11"/>
        <v>0</v>
      </c>
      <c r="Q97" s="45">
        <f t="shared" si="11"/>
        <v>0</v>
      </c>
      <c r="R97" s="45">
        <f t="shared" si="11"/>
        <v>0</v>
      </c>
      <c r="S97" s="45">
        <f t="shared" si="11"/>
        <v>0</v>
      </c>
      <c r="T97" s="45">
        <f t="shared" si="11"/>
        <v>0</v>
      </c>
      <c r="U97" s="45">
        <f t="shared" si="11"/>
        <v>0</v>
      </c>
      <c r="V97" s="45">
        <f t="shared" si="11"/>
        <v>0</v>
      </c>
      <c r="W97" s="45">
        <f t="shared" si="11"/>
        <v>0</v>
      </c>
      <c r="X97" s="45">
        <f t="shared" si="11"/>
        <v>0</v>
      </c>
      <c r="Y97" s="45">
        <f t="shared" si="11"/>
        <v>0</v>
      </c>
      <c r="Z97" s="45">
        <f t="shared" si="11"/>
        <v>0</v>
      </c>
      <c r="AA97" s="45">
        <f t="shared" si="11"/>
        <v>0</v>
      </c>
      <c r="AB97" s="45">
        <f t="shared" si="11"/>
        <v>0</v>
      </c>
      <c r="AC97" s="45">
        <f t="shared" si="11"/>
        <v>0</v>
      </c>
      <c r="AD97" s="45">
        <f t="shared" si="11"/>
        <v>0</v>
      </c>
      <c r="AE97" s="45">
        <f t="shared" si="11"/>
        <v>0</v>
      </c>
      <c r="AF97" s="45">
        <f t="shared" si="11"/>
        <v>0</v>
      </c>
      <c r="AG97" s="45">
        <f t="shared" si="11"/>
        <v>0</v>
      </c>
      <c r="AH97" s="45">
        <f t="shared" si="11"/>
        <v>0</v>
      </c>
      <c r="AI97" s="45">
        <f t="shared" si="11"/>
        <v>0</v>
      </c>
      <c r="AJ97" s="49">
        <f>SUM(AJ6:AJ96)</f>
        <v>0</v>
      </c>
      <c r="AK97" s="61">
        <f>SUM(AK6:AK96)</f>
        <v>0</v>
      </c>
      <c r="AL97" s="67">
        <f>SUM(AL6:AL96)</f>
        <v>0</v>
      </c>
      <c r="AM97" s="48" t="str">
        <f>IF(AL97=SUM(I97),"OK","NG")</f>
        <v>OK</v>
      </c>
    </row>
  </sheetData>
  <mergeCells count="37">
    <mergeCell ref="AM4:AM5"/>
    <mergeCell ref="AG4:AG5"/>
    <mergeCell ref="AH4:AH5"/>
    <mergeCell ref="AI4:AI5"/>
    <mergeCell ref="AJ4:AJ5"/>
    <mergeCell ref="AK4:AK5"/>
    <mergeCell ref="AL4:AL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B1:C1"/>
    <mergeCell ref="F1:G1"/>
    <mergeCell ref="H1:J3"/>
    <mergeCell ref="B2:C2"/>
    <mergeCell ref="AM2:AM3"/>
    <mergeCell ref="B3:C3"/>
  </mergeCells>
  <phoneticPr fontId="3" type="noConversion"/>
  <conditionalFormatting sqref="A4 AM6:AM97">
    <cfRule type="containsText" dxfId="13" priority="7" operator="containsText" text="NG">
      <formula>NOT(ISERROR(SEARCH("NG",A4)))</formula>
    </cfRule>
    <cfRule type="containsText" dxfId="12" priority="8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51" orientation="landscape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 filterMode="1">
    <pageSetUpPr fitToPage="1"/>
  </sheetPr>
  <dimension ref="A1:AM103"/>
  <sheetViews>
    <sheetView showGridLines="0" zoomScale="85" zoomScaleNormal="85" workbookViewId="0">
      <pane ySplit="5" topLeftCell="A28" activePane="bottomLeft" state="frozen"/>
      <selection activeCell="P19" sqref="P19"/>
      <selection pane="bottomLeft"/>
    </sheetView>
  </sheetViews>
  <sheetFormatPr defaultColWidth="9" defaultRowHeight="16.5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16" width="8.75"/>
    <col min="17" max="20" width="9" customWidth="1"/>
    <col min="21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5" customHeight="1" thickBot="1">
      <c r="A1" s="37" t="s">
        <v>13</v>
      </c>
      <c r="B1" s="168">
        <f>H97</f>
        <v>20100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4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5" customHeight="1" thickBot="1">
      <c r="A2" s="37" t="s">
        <v>14</v>
      </c>
      <c r="B2" s="173">
        <f>I97</f>
        <v>28</v>
      </c>
      <c r="C2" s="174"/>
      <c r="D2" s="75"/>
      <c r="E2" s="71"/>
      <c r="F2" s="2"/>
      <c r="G2" s="2"/>
      <c r="H2" s="171"/>
      <c r="I2" s="171"/>
      <c r="J2" s="171"/>
      <c r="K2" s="3"/>
      <c r="L2" s="4">
        <f t="shared" ref="L2:AK2" si="0">SUBTOTAL(9,L6:L96)</f>
        <v>14</v>
      </c>
      <c r="M2" s="4">
        <f t="shared" si="0"/>
        <v>0</v>
      </c>
      <c r="N2" s="4">
        <f t="shared" si="0"/>
        <v>0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39">
        <f t="shared" si="0"/>
        <v>0</v>
      </c>
      <c r="U2" s="5">
        <f t="shared" si="0"/>
        <v>0</v>
      </c>
      <c r="V2" s="5">
        <f t="shared" si="0"/>
        <v>1</v>
      </c>
      <c r="W2" s="5">
        <f t="shared" si="0"/>
        <v>0</v>
      </c>
      <c r="X2" s="5">
        <f t="shared" si="0"/>
        <v>0</v>
      </c>
      <c r="Y2" s="5">
        <f t="shared" si="0"/>
        <v>2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3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2</v>
      </c>
      <c r="AH2" s="5">
        <f t="shared" si="0"/>
        <v>0</v>
      </c>
      <c r="AI2" s="5">
        <f t="shared" si="0"/>
        <v>6</v>
      </c>
      <c r="AJ2" s="5">
        <f t="shared" si="0"/>
        <v>0</v>
      </c>
      <c r="AK2" s="59">
        <f t="shared" si="0"/>
        <v>0</v>
      </c>
      <c r="AL2" s="62">
        <f>SUBTOTAL(9,AL6:AL96)</f>
        <v>28</v>
      </c>
      <c r="AM2" s="175"/>
    </row>
    <row r="3" spans="1:39" customFormat="1" ht="22.5" customHeight="1" thickBot="1">
      <c r="A3" s="38" t="s">
        <v>15</v>
      </c>
      <c r="B3" s="177">
        <f>IF(ISERROR(B2/(B2+B1)*1000000),"",(B2/(B2+B1)*1000000))</f>
        <v>1391.0969793322733</v>
      </c>
      <c r="C3" s="178"/>
      <c r="D3" s="73"/>
      <c r="E3" s="72"/>
      <c r="F3" s="32"/>
      <c r="G3" s="32"/>
      <c r="H3" s="172"/>
      <c r="I3" s="172"/>
      <c r="J3" s="172"/>
      <c r="K3" s="6"/>
      <c r="L3" s="7">
        <f t="shared" ref="L3:AK3" si="1">SUM(L6:L96)</f>
        <v>14</v>
      </c>
      <c r="M3" s="7">
        <f t="shared" si="1"/>
        <v>0</v>
      </c>
      <c r="N3" s="7">
        <f t="shared" si="1"/>
        <v>0</v>
      </c>
      <c r="O3" s="7">
        <f t="shared" si="1"/>
        <v>0</v>
      </c>
      <c r="P3" s="7">
        <f t="shared" si="1"/>
        <v>0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40">
        <f t="shared" si="1"/>
        <v>0</v>
      </c>
      <c r="U3" s="8">
        <f t="shared" si="1"/>
        <v>0</v>
      </c>
      <c r="V3" s="8">
        <f t="shared" si="1"/>
        <v>1</v>
      </c>
      <c r="W3" s="8">
        <f t="shared" si="1"/>
        <v>0</v>
      </c>
      <c r="X3" s="8">
        <f t="shared" si="1"/>
        <v>0</v>
      </c>
      <c r="Y3" s="8">
        <f t="shared" si="1"/>
        <v>2</v>
      </c>
      <c r="Z3" s="8">
        <f t="shared" si="1"/>
        <v>0</v>
      </c>
      <c r="AA3" s="8">
        <f t="shared" si="1"/>
        <v>0</v>
      </c>
      <c r="AB3" s="8">
        <f t="shared" si="1"/>
        <v>0</v>
      </c>
      <c r="AC3" s="8">
        <f t="shared" si="1"/>
        <v>3</v>
      </c>
      <c r="AD3" s="8">
        <f t="shared" si="1"/>
        <v>0</v>
      </c>
      <c r="AE3" s="8">
        <f t="shared" si="1"/>
        <v>0</v>
      </c>
      <c r="AF3" s="8">
        <f t="shared" si="1"/>
        <v>0</v>
      </c>
      <c r="AG3" s="8">
        <f t="shared" si="1"/>
        <v>2</v>
      </c>
      <c r="AH3" s="8">
        <f t="shared" si="1"/>
        <v>0</v>
      </c>
      <c r="AI3" s="8">
        <f t="shared" si="1"/>
        <v>6</v>
      </c>
      <c r="AJ3" s="8">
        <f t="shared" si="1"/>
        <v>0</v>
      </c>
      <c r="AK3" s="60">
        <f t="shared" si="1"/>
        <v>0</v>
      </c>
      <c r="AL3" s="63">
        <f>SUM(AL6:AL96)</f>
        <v>28</v>
      </c>
      <c r="AM3" s="176"/>
    </row>
    <row r="4" spans="1:39" customFormat="1" ht="43.5" customHeight="1">
      <c r="A4" s="163" t="str">
        <f>AM97</f>
        <v>OK</v>
      </c>
      <c r="B4" s="163"/>
      <c r="C4" s="163"/>
      <c r="D4" s="164"/>
      <c r="E4" s="165" t="s">
        <v>16</v>
      </c>
      <c r="F4" s="165"/>
      <c r="G4" s="165"/>
      <c r="H4" s="165" t="s">
        <v>17</v>
      </c>
      <c r="I4" s="165"/>
      <c r="J4" s="165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1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56" t="s">
        <v>12</v>
      </c>
      <c r="AL4" s="158" t="s">
        <v>36</v>
      </c>
      <c r="AM4" s="149" t="s">
        <v>37</v>
      </c>
    </row>
    <row r="5" spans="1:39" customFormat="1" ht="33.75" thickBot="1">
      <c r="A5" s="34" t="s">
        <v>3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138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6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3"/>
      <c r="AJ5" s="155"/>
      <c r="AK5" s="157"/>
      <c r="AL5" s="159"/>
      <c r="AM5" s="150"/>
    </row>
    <row r="6" spans="1:39" customFormat="1" ht="16.5" hidden="1" customHeight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34"/>
      <c r="I6" s="15">
        <f>SUM(L6:AK6)</f>
        <v>0</v>
      </c>
      <c r="J6" s="15"/>
      <c r="K6" s="16"/>
      <c r="L6" s="15"/>
      <c r="M6" s="15"/>
      <c r="N6" s="15"/>
      <c r="O6" s="15"/>
      <c r="P6" s="15"/>
      <c r="Q6" s="15"/>
      <c r="R6" s="15"/>
      <c r="S6" s="15"/>
      <c r="T6" s="41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3"/>
      <c r="AJ6" s="56"/>
      <c r="AK6" s="53"/>
      <c r="AL6" s="64">
        <f>SUM(L6:AK6)</f>
        <v>0</v>
      </c>
      <c r="AM6" s="31" t="str">
        <f t="shared" ref="AM6:AM74" si="2">IF(AL6=I6,"OK","NG")</f>
        <v>OK</v>
      </c>
    </row>
    <row r="7" spans="1:39" customFormat="1" ht="16.5" hidden="1" customHeight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135"/>
      <c r="I7" s="21">
        <f t="shared" ref="I7:I70" si="3">SUM(L7:AK7)</f>
        <v>0</v>
      </c>
      <c r="J7" s="21"/>
      <c r="K7" s="16"/>
      <c r="L7" s="21"/>
      <c r="M7" s="21"/>
      <c r="N7" s="21"/>
      <c r="O7" s="21"/>
      <c r="P7" s="21"/>
      <c r="Q7" s="21"/>
      <c r="R7" s="21"/>
      <c r="S7" s="21"/>
      <c r="T7" s="42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4"/>
      <c r="AJ7" s="57"/>
      <c r="AK7" s="54"/>
      <c r="AL7" s="65">
        <f t="shared" ref="AL7:AL74" si="4">SUM(L7:AK7)</f>
        <v>0</v>
      </c>
      <c r="AM7" s="22" t="str">
        <f t="shared" si="2"/>
        <v>OK</v>
      </c>
    </row>
    <row r="8" spans="1:39" customFormat="1" ht="16.5" hidden="1" customHeight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36"/>
      <c r="I8" s="27">
        <f t="shared" si="3"/>
        <v>0</v>
      </c>
      <c r="J8" s="27"/>
      <c r="K8" s="16"/>
      <c r="L8" s="27"/>
      <c r="M8" s="27"/>
      <c r="N8" s="27"/>
      <c r="O8" s="27"/>
      <c r="P8" s="27"/>
      <c r="Q8" s="27"/>
      <c r="R8" s="27"/>
      <c r="S8" s="27"/>
      <c r="T8" s="4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5"/>
      <c r="AJ8" s="58"/>
      <c r="AK8" s="55"/>
      <c r="AL8" s="66">
        <f t="shared" si="4"/>
        <v>0</v>
      </c>
      <c r="AM8" s="28" t="str">
        <f t="shared" si="2"/>
        <v>OK</v>
      </c>
    </row>
    <row r="9" spans="1:39" customFormat="1" hidden="1">
      <c r="A9" s="17" t="s">
        <v>68</v>
      </c>
      <c r="B9" s="77">
        <v>10897</v>
      </c>
      <c r="C9" s="17" t="s">
        <v>62</v>
      </c>
      <c r="D9" s="69"/>
      <c r="E9" s="18"/>
      <c r="F9" s="18"/>
      <c r="G9" s="19"/>
      <c r="H9" s="135"/>
      <c r="I9" s="21">
        <f t="shared" si="3"/>
        <v>0</v>
      </c>
      <c r="J9" s="21"/>
      <c r="K9" s="16"/>
      <c r="L9" s="21"/>
      <c r="M9" s="21"/>
      <c r="N9" s="21"/>
      <c r="O9" s="21"/>
      <c r="P9" s="21"/>
      <c r="Q9" s="21"/>
      <c r="R9" s="21"/>
      <c r="S9" s="21"/>
      <c r="T9" s="42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4"/>
      <c r="AJ9" s="57"/>
      <c r="AK9" s="54"/>
      <c r="AL9" s="65">
        <f t="shared" si="4"/>
        <v>0</v>
      </c>
      <c r="AM9" s="22" t="str">
        <f t="shared" si="2"/>
        <v>OK</v>
      </c>
    </row>
    <row r="10" spans="1:39" customFormat="1" ht="16.5" hidden="1" customHeight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36"/>
      <c r="I10" s="27">
        <f t="shared" si="3"/>
        <v>0</v>
      </c>
      <c r="J10" s="27"/>
      <c r="K10" s="16"/>
      <c r="L10" s="27"/>
      <c r="M10" s="27"/>
      <c r="N10" s="27"/>
      <c r="O10" s="27"/>
      <c r="P10" s="27"/>
      <c r="Q10" s="27"/>
      <c r="R10" s="27"/>
      <c r="S10" s="27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5"/>
      <c r="AJ10" s="58"/>
      <c r="AK10" s="55"/>
      <c r="AL10" s="66">
        <f t="shared" si="4"/>
        <v>0</v>
      </c>
      <c r="AM10" s="28" t="str">
        <f t="shared" si="2"/>
        <v>OK</v>
      </c>
    </row>
    <row r="11" spans="1:39" customFormat="1" ht="16.5" hidden="1" customHeight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135"/>
      <c r="I11" s="21">
        <f t="shared" si="3"/>
        <v>0</v>
      </c>
      <c r="J11" s="21"/>
      <c r="K11" s="16"/>
      <c r="L11" s="21"/>
      <c r="M11" s="21"/>
      <c r="N11" s="21"/>
      <c r="O11" s="21"/>
      <c r="P11" s="21"/>
      <c r="Q11" s="21"/>
      <c r="R11" s="21"/>
      <c r="S11" s="21"/>
      <c r="T11" s="42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4"/>
      <c r="AJ11" s="57"/>
      <c r="AK11" s="54"/>
      <c r="AL11" s="65">
        <f t="shared" si="4"/>
        <v>0</v>
      </c>
      <c r="AM11" s="22" t="str">
        <f t="shared" si="2"/>
        <v>OK</v>
      </c>
    </row>
    <row r="12" spans="1:39" customFormat="1" ht="16.5" hidden="1" customHeight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36"/>
      <c r="I12" s="27">
        <f t="shared" si="3"/>
        <v>0</v>
      </c>
      <c r="J12" s="27"/>
      <c r="K12" s="16"/>
      <c r="L12" s="27"/>
      <c r="M12" s="27"/>
      <c r="N12" s="27"/>
      <c r="O12" s="27"/>
      <c r="P12" s="27"/>
      <c r="Q12" s="27"/>
      <c r="R12" s="27"/>
      <c r="S12" s="27"/>
      <c r="T12" s="43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8"/>
      <c r="AK12" s="55"/>
      <c r="AL12" s="66">
        <f t="shared" si="4"/>
        <v>0</v>
      </c>
      <c r="AM12" s="28" t="str">
        <f t="shared" si="2"/>
        <v>OK</v>
      </c>
    </row>
    <row r="13" spans="1:39" customFormat="1" ht="16.5" hidden="1" customHeight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135"/>
      <c r="I13" s="21">
        <f t="shared" si="3"/>
        <v>0</v>
      </c>
      <c r="J13" s="21"/>
      <c r="K13" s="16"/>
      <c r="L13" s="21"/>
      <c r="M13" s="21"/>
      <c r="N13" s="21"/>
      <c r="O13" s="21"/>
      <c r="P13" s="21"/>
      <c r="Q13" s="21"/>
      <c r="R13" s="21"/>
      <c r="S13" s="21"/>
      <c r="T13" s="4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4"/>
      <c r="AJ13" s="57"/>
      <c r="AK13" s="54"/>
      <c r="AL13" s="65">
        <f t="shared" si="4"/>
        <v>0</v>
      </c>
      <c r="AM13" s="22" t="str">
        <f t="shared" si="2"/>
        <v>OK</v>
      </c>
    </row>
    <row r="14" spans="1:39" customFormat="1" ht="16.5" hidden="1" customHeight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36"/>
      <c r="I14" s="27">
        <f t="shared" si="3"/>
        <v>0</v>
      </c>
      <c r="J14" s="27"/>
      <c r="K14" s="16"/>
      <c r="L14" s="27"/>
      <c r="M14" s="27"/>
      <c r="N14" s="27"/>
      <c r="O14" s="27"/>
      <c r="P14" s="27"/>
      <c r="Q14" s="27"/>
      <c r="R14" s="27"/>
      <c r="S14" s="27"/>
      <c r="T14" s="43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5"/>
      <c r="AJ14" s="58"/>
      <c r="AK14" s="55"/>
      <c r="AL14" s="66">
        <f t="shared" si="4"/>
        <v>0</v>
      </c>
      <c r="AM14" s="28" t="str">
        <f t="shared" si="2"/>
        <v>OK</v>
      </c>
    </row>
    <row r="15" spans="1:39" customFormat="1" hidden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135"/>
      <c r="I15" s="21">
        <f t="shared" si="3"/>
        <v>0</v>
      </c>
      <c r="J15" s="21"/>
      <c r="K15" s="16"/>
      <c r="L15" s="21"/>
      <c r="M15" s="21"/>
      <c r="N15" s="21"/>
      <c r="O15" s="21"/>
      <c r="P15" s="21"/>
      <c r="Q15" s="21"/>
      <c r="R15" s="21"/>
      <c r="S15" s="21"/>
      <c r="T15" s="42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4"/>
      <c r="AJ15" s="57"/>
      <c r="AK15" s="54"/>
      <c r="AL15" s="65">
        <f t="shared" si="4"/>
        <v>0</v>
      </c>
      <c r="AM15" s="22" t="str">
        <f t="shared" si="2"/>
        <v>OK</v>
      </c>
    </row>
    <row r="16" spans="1:39" customFormat="1" ht="16.5" hidden="1" customHeight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36"/>
      <c r="I16" s="27">
        <f t="shared" si="3"/>
        <v>0</v>
      </c>
      <c r="J16" s="27"/>
      <c r="K16" s="16"/>
      <c r="L16" s="27"/>
      <c r="M16" s="27"/>
      <c r="N16" s="27"/>
      <c r="O16" s="27"/>
      <c r="P16" s="27"/>
      <c r="Q16" s="27"/>
      <c r="R16" s="27"/>
      <c r="S16" s="27"/>
      <c r="T16" s="43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8"/>
      <c r="AK16" s="55"/>
      <c r="AL16" s="66">
        <f t="shared" si="4"/>
        <v>0</v>
      </c>
      <c r="AM16" s="28" t="str">
        <f t="shared" si="2"/>
        <v>OK</v>
      </c>
    </row>
    <row r="17" spans="1:39" customFormat="1" ht="16.5" hidden="1" customHeight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135"/>
      <c r="I17" s="21">
        <f t="shared" si="3"/>
        <v>0</v>
      </c>
      <c r="J17" s="21"/>
      <c r="K17" s="16"/>
      <c r="L17" s="21"/>
      <c r="M17" s="21"/>
      <c r="N17" s="21"/>
      <c r="O17" s="21"/>
      <c r="P17" s="21"/>
      <c r="Q17" s="21"/>
      <c r="R17" s="21"/>
      <c r="S17" s="21"/>
      <c r="T17" s="42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4"/>
      <c r="AJ17" s="57"/>
      <c r="AK17" s="54"/>
      <c r="AL17" s="65">
        <f t="shared" si="4"/>
        <v>0</v>
      </c>
      <c r="AM17" s="22" t="str">
        <f t="shared" si="2"/>
        <v>OK</v>
      </c>
    </row>
    <row r="18" spans="1:39" customFormat="1" ht="16.5" hidden="1" customHeight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36"/>
      <c r="I18" s="27">
        <f t="shared" si="3"/>
        <v>0</v>
      </c>
      <c r="J18" s="27"/>
      <c r="K18" s="16"/>
      <c r="L18" s="27"/>
      <c r="M18" s="27"/>
      <c r="N18" s="27"/>
      <c r="O18" s="27"/>
      <c r="P18" s="27"/>
      <c r="Q18" s="27"/>
      <c r="R18" s="27"/>
      <c r="S18" s="27"/>
      <c r="T18" s="43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8"/>
      <c r="AK18" s="55"/>
      <c r="AL18" s="66">
        <f t="shared" si="4"/>
        <v>0</v>
      </c>
      <c r="AM18" s="28" t="str">
        <f t="shared" si="2"/>
        <v>OK</v>
      </c>
    </row>
    <row r="19" spans="1:39" customFormat="1" hidden="1">
      <c r="A19" s="17" t="s">
        <v>91</v>
      </c>
      <c r="B19" s="77">
        <v>14988</v>
      </c>
      <c r="C19" s="17" t="s">
        <v>64</v>
      </c>
      <c r="D19" s="69"/>
      <c r="E19" s="18"/>
      <c r="F19" s="18"/>
      <c r="G19" s="19"/>
      <c r="H19" s="135"/>
      <c r="I19" s="21">
        <f t="shared" si="3"/>
        <v>0</v>
      </c>
      <c r="J19" s="21"/>
      <c r="K19" s="16"/>
      <c r="L19" s="21"/>
      <c r="M19" s="21"/>
      <c r="N19" s="21"/>
      <c r="O19" s="21"/>
      <c r="P19" s="21"/>
      <c r="Q19" s="21"/>
      <c r="R19" s="21"/>
      <c r="S19" s="21"/>
      <c r="T19" s="42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4"/>
      <c r="AJ19" s="57"/>
      <c r="AK19" s="54"/>
      <c r="AL19" s="65">
        <f t="shared" si="4"/>
        <v>0</v>
      </c>
      <c r="AM19" s="22" t="str">
        <f t="shared" si="2"/>
        <v>OK</v>
      </c>
    </row>
    <row r="20" spans="1:39" customFormat="1" ht="16.5" hidden="1" customHeight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136"/>
      <c r="I20" s="27">
        <f t="shared" si="3"/>
        <v>0</v>
      </c>
      <c r="J20" s="27"/>
      <c r="K20" s="16"/>
      <c r="L20" s="27"/>
      <c r="M20" s="27"/>
      <c r="N20" s="27"/>
      <c r="O20" s="27"/>
      <c r="P20" s="27"/>
      <c r="Q20" s="27"/>
      <c r="R20" s="27"/>
      <c r="S20" s="27"/>
      <c r="T20" s="43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8"/>
      <c r="AK20" s="55"/>
      <c r="AL20" s="66">
        <f t="shared" si="4"/>
        <v>0</v>
      </c>
      <c r="AM20" s="28" t="str">
        <f t="shared" si="2"/>
        <v>OK</v>
      </c>
    </row>
    <row r="21" spans="1:39" customFormat="1" ht="16.5" hidden="1" customHeight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135"/>
      <c r="I21" s="21">
        <f t="shared" si="3"/>
        <v>0</v>
      </c>
      <c r="J21" s="21"/>
      <c r="K21" s="16"/>
      <c r="L21" s="21"/>
      <c r="M21" s="21"/>
      <c r="N21" s="21"/>
      <c r="O21" s="21"/>
      <c r="P21" s="21"/>
      <c r="Q21" s="21"/>
      <c r="R21" s="21"/>
      <c r="S21" s="21"/>
      <c r="T21" s="4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4"/>
      <c r="AJ21" s="57"/>
      <c r="AK21" s="54"/>
      <c r="AL21" s="65">
        <f t="shared" si="4"/>
        <v>0</v>
      </c>
      <c r="AM21" s="22" t="str">
        <f t="shared" si="2"/>
        <v>OK</v>
      </c>
    </row>
    <row r="22" spans="1:39" customFormat="1" ht="16.5" hidden="1" customHeight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36"/>
      <c r="I22" s="27">
        <f t="shared" si="3"/>
        <v>0</v>
      </c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43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5"/>
      <c r="AJ22" s="58"/>
      <c r="AK22" s="55"/>
      <c r="AL22" s="66">
        <f t="shared" si="4"/>
        <v>0</v>
      </c>
      <c r="AM22" s="28" t="str">
        <f t="shared" si="2"/>
        <v>OK</v>
      </c>
    </row>
    <row r="23" spans="1:39" customFormat="1" ht="16.5" hidden="1" customHeight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135"/>
      <c r="I23" s="21">
        <f t="shared" si="3"/>
        <v>0</v>
      </c>
      <c r="J23" s="21"/>
      <c r="K23" s="16"/>
      <c r="L23" s="21"/>
      <c r="M23" s="21"/>
      <c r="N23" s="21"/>
      <c r="O23" s="21"/>
      <c r="P23" s="21"/>
      <c r="Q23" s="21"/>
      <c r="R23" s="21"/>
      <c r="S23" s="21"/>
      <c r="T23" s="42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7"/>
      <c r="AK23" s="54"/>
      <c r="AL23" s="65">
        <f>SUM(L23:AK23)</f>
        <v>0</v>
      </c>
      <c r="AM23" s="22" t="str">
        <f t="shared" si="2"/>
        <v>OK</v>
      </c>
    </row>
    <row r="24" spans="1:39" customFormat="1" hidden="1">
      <c r="A24" s="68" t="s">
        <v>44</v>
      </c>
      <c r="B24" s="78">
        <v>10163</v>
      </c>
      <c r="C24" s="23" t="s">
        <v>45</v>
      </c>
      <c r="D24" s="24"/>
      <c r="E24" s="24"/>
      <c r="F24" s="24"/>
      <c r="G24" s="25"/>
      <c r="H24" s="136">
        <v>1008</v>
      </c>
      <c r="I24" s="27">
        <f t="shared" si="3"/>
        <v>0</v>
      </c>
      <c r="J24" s="27"/>
      <c r="K24" s="16"/>
      <c r="L24" s="27"/>
      <c r="M24" s="27"/>
      <c r="N24" s="27"/>
      <c r="O24" s="27"/>
      <c r="P24" s="27"/>
      <c r="Q24" s="27"/>
      <c r="R24" s="27"/>
      <c r="S24" s="27"/>
      <c r="T24" s="43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5"/>
      <c r="AJ24" s="58"/>
      <c r="AK24" s="55"/>
      <c r="AL24" s="66">
        <f t="shared" si="4"/>
        <v>0</v>
      </c>
      <c r="AM24" s="28" t="str">
        <f t="shared" si="2"/>
        <v>OK</v>
      </c>
    </row>
    <row r="25" spans="1:39" customFormat="1" ht="16.5" hidden="1" customHeight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135"/>
      <c r="I25" s="21">
        <f t="shared" si="3"/>
        <v>0</v>
      </c>
      <c r="J25" s="21"/>
      <c r="K25" s="16"/>
      <c r="L25" s="21"/>
      <c r="M25" s="21"/>
      <c r="N25" s="21"/>
      <c r="O25" s="21"/>
      <c r="P25" s="21"/>
      <c r="Q25" s="21"/>
      <c r="R25" s="21"/>
      <c r="S25" s="21"/>
      <c r="T25" s="42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4"/>
      <c r="AJ25" s="57"/>
      <c r="AK25" s="54"/>
      <c r="AL25" s="65">
        <f t="shared" si="4"/>
        <v>0</v>
      </c>
      <c r="AM25" s="22" t="str">
        <f t="shared" si="2"/>
        <v>OK</v>
      </c>
    </row>
    <row r="26" spans="1:39" customFormat="1" ht="16.5" hidden="1" customHeight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36"/>
      <c r="I26" s="27">
        <f t="shared" si="3"/>
        <v>0</v>
      </c>
      <c r="J26" s="27"/>
      <c r="K26" s="16"/>
      <c r="L26" s="27"/>
      <c r="M26" s="27"/>
      <c r="N26" s="27"/>
      <c r="O26" s="27"/>
      <c r="P26" s="27"/>
      <c r="Q26" s="27"/>
      <c r="R26" s="27"/>
      <c r="S26" s="27"/>
      <c r="T26" s="43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8"/>
      <c r="AK26" s="55"/>
      <c r="AL26" s="66">
        <f t="shared" si="4"/>
        <v>0</v>
      </c>
      <c r="AM26" s="28" t="str">
        <f t="shared" si="2"/>
        <v>OK</v>
      </c>
    </row>
    <row r="27" spans="1:39" customFormat="1" ht="16.5" hidden="1" customHeight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135"/>
      <c r="I27" s="21">
        <f t="shared" si="3"/>
        <v>0</v>
      </c>
      <c r="J27" s="21"/>
      <c r="K27" s="16"/>
      <c r="L27" s="21"/>
      <c r="M27" s="21"/>
      <c r="N27" s="21"/>
      <c r="O27" s="21"/>
      <c r="P27" s="21"/>
      <c r="Q27" s="21"/>
      <c r="R27" s="21"/>
      <c r="S27" s="21"/>
      <c r="T27" s="4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7"/>
      <c r="AK27" s="54"/>
      <c r="AL27" s="65">
        <f t="shared" si="4"/>
        <v>0</v>
      </c>
      <c r="AM27" s="22" t="str">
        <f t="shared" si="2"/>
        <v>OK</v>
      </c>
    </row>
    <row r="28" spans="1:39" customFormat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136">
        <v>312</v>
      </c>
      <c r="I28" s="27">
        <f t="shared" si="3"/>
        <v>1</v>
      </c>
      <c r="J28" s="27"/>
      <c r="K28" s="16"/>
      <c r="L28" s="27"/>
      <c r="M28" s="27"/>
      <c r="N28" s="27"/>
      <c r="O28" s="27"/>
      <c r="P28" s="27"/>
      <c r="Q28" s="27"/>
      <c r="R28" s="27"/>
      <c r="S28" s="27"/>
      <c r="T28" s="43"/>
      <c r="U28" s="52"/>
      <c r="V28" s="52"/>
      <c r="W28" s="52"/>
      <c r="X28" s="52"/>
      <c r="Y28" s="52">
        <v>1</v>
      </c>
      <c r="Z28" s="52"/>
      <c r="AA28" s="52"/>
      <c r="AB28" s="52"/>
      <c r="AC28" s="52"/>
      <c r="AD28" s="52"/>
      <c r="AE28" s="52"/>
      <c r="AF28" s="52"/>
      <c r="AG28" s="52"/>
      <c r="AH28" s="52"/>
      <c r="AI28" s="55"/>
      <c r="AJ28" s="58"/>
      <c r="AK28" s="55"/>
      <c r="AL28" s="66">
        <f t="shared" si="4"/>
        <v>1</v>
      </c>
      <c r="AM28" s="28" t="str">
        <f t="shared" si="2"/>
        <v>OK</v>
      </c>
    </row>
    <row r="29" spans="1:39" customFormat="1" hidden="1">
      <c r="A29" s="80" t="s">
        <v>71</v>
      </c>
      <c r="B29" s="77">
        <v>10151</v>
      </c>
      <c r="C29" s="17" t="s">
        <v>51</v>
      </c>
      <c r="D29" s="69"/>
      <c r="E29" s="18"/>
      <c r="F29" s="18"/>
      <c r="G29" s="19"/>
      <c r="H29" s="135">
        <v>1320</v>
      </c>
      <c r="I29" s="21">
        <f t="shared" si="3"/>
        <v>0</v>
      </c>
      <c r="J29" s="21"/>
      <c r="K29" s="16"/>
      <c r="L29" s="21"/>
      <c r="M29" s="21"/>
      <c r="N29" s="21"/>
      <c r="O29" s="21"/>
      <c r="P29" s="21"/>
      <c r="Q29" s="21"/>
      <c r="R29" s="21"/>
      <c r="S29" s="21"/>
      <c r="T29" s="42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4"/>
      <c r="AJ29" s="57"/>
      <c r="AK29" s="54"/>
      <c r="AL29" s="65">
        <f t="shared" si="4"/>
        <v>0</v>
      </c>
      <c r="AM29" s="22" t="str">
        <f t="shared" si="2"/>
        <v>OK</v>
      </c>
    </row>
    <row r="30" spans="1:39" customFormat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137">
        <f>1026+1296</f>
        <v>2322</v>
      </c>
      <c r="I30" s="27">
        <f t="shared" si="3"/>
        <v>5</v>
      </c>
      <c r="J30" s="27"/>
      <c r="K30" s="16"/>
      <c r="L30" s="27">
        <v>1</v>
      </c>
      <c r="M30" s="27"/>
      <c r="N30" s="27"/>
      <c r="O30" s="27"/>
      <c r="P30" s="27"/>
      <c r="Q30" s="27"/>
      <c r="R30" s="27"/>
      <c r="S30" s="27"/>
      <c r="T30" s="43"/>
      <c r="U30" s="52"/>
      <c r="V30" s="52"/>
      <c r="W30" s="52"/>
      <c r="X30" s="52"/>
      <c r="Y30" s="52">
        <v>1</v>
      </c>
      <c r="Z30" s="52"/>
      <c r="AA30" s="52"/>
      <c r="AB30" s="52"/>
      <c r="AC30" s="52">
        <v>3</v>
      </c>
      <c r="AD30" s="52"/>
      <c r="AE30" s="52"/>
      <c r="AF30" s="52"/>
      <c r="AG30" s="52"/>
      <c r="AH30" s="52"/>
      <c r="AI30" s="55"/>
      <c r="AJ30" s="58"/>
      <c r="AK30" s="55"/>
      <c r="AL30" s="66">
        <f t="shared" si="4"/>
        <v>5</v>
      </c>
      <c r="AM30" s="28" t="str">
        <f t="shared" si="2"/>
        <v>OK</v>
      </c>
    </row>
    <row r="31" spans="1:39" customFormat="1" ht="16.5" hidden="1" customHeight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135"/>
      <c r="I31" s="21">
        <f t="shared" si="3"/>
        <v>0</v>
      </c>
      <c r="J31" s="21"/>
      <c r="K31" s="16"/>
      <c r="L31" s="21"/>
      <c r="M31" s="21"/>
      <c r="N31" s="21"/>
      <c r="O31" s="21"/>
      <c r="P31" s="21"/>
      <c r="Q31" s="21"/>
      <c r="R31" s="21"/>
      <c r="S31" s="21"/>
      <c r="T31" s="4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7"/>
      <c r="AK31" s="54"/>
      <c r="AL31" s="65">
        <f t="shared" si="4"/>
        <v>0</v>
      </c>
      <c r="AM31" s="22" t="str">
        <f t="shared" si="2"/>
        <v>OK</v>
      </c>
    </row>
    <row r="32" spans="1:39" customFormat="1" ht="16.5" hidden="1" customHeight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136"/>
      <c r="I32" s="27">
        <f t="shared" si="3"/>
        <v>0</v>
      </c>
      <c r="J32" s="27"/>
      <c r="K32" s="16"/>
      <c r="L32" s="27"/>
      <c r="M32" s="27"/>
      <c r="N32" s="27"/>
      <c r="O32" s="27"/>
      <c r="P32" s="27"/>
      <c r="Q32" s="27"/>
      <c r="R32" s="27"/>
      <c r="S32" s="27"/>
      <c r="T32" s="43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5"/>
      <c r="AJ32" s="58"/>
      <c r="AK32" s="55"/>
      <c r="AL32" s="66">
        <f t="shared" si="4"/>
        <v>0</v>
      </c>
      <c r="AM32" s="28" t="str">
        <f t="shared" si="2"/>
        <v>OK</v>
      </c>
    </row>
    <row r="33" spans="1:39" customFormat="1" hidden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135"/>
      <c r="I33" s="21">
        <f t="shared" si="3"/>
        <v>0</v>
      </c>
      <c r="J33" s="21"/>
      <c r="K33" s="16"/>
      <c r="L33" s="21"/>
      <c r="M33" s="21"/>
      <c r="N33" s="21"/>
      <c r="O33" s="21"/>
      <c r="P33" s="21"/>
      <c r="Q33" s="21"/>
      <c r="R33" s="21"/>
      <c r="S33" s="21"/>
      <c r="T33" s="42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4"/>
      <c r="AJ33" s="57"/>
      <c r="AK33" s="54"/>
      <c r="AL33" s="65">
        <f t="shared" si="4"/>
        <v>0</v>
      </c>
      <c r="AM33" s="22" t="str">
        <f t="shared" si="2"/>
        <v>OK</v>
      </c>
    </row>
    <row r="34" spans="1:39" customFormat="1" hidden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136">
        <v>750</v>
      </c>
      <c r="I34" s="27">
        <f t="shared" si="3"/>
        <v>0</v>
      </c>
      <c r="J34" s="27"/>
      <c r="K34" s="16"/>
      <c r="L34" s="27"/>
      <c r="M34" s="27"/>
      <c r="N34" s="27"/>
      <c r="O34" s="27"/>
      <c r="P34" s="27"/>
      <c r="Q34" s="27"/>
      <c r="R34" s="27"/>
      <c r="S34" s="27"/>
      <c r="T34" s="43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5"/>
      <c r="AJ34" s="58"/>
      <c r="AK34" s="55"/>
      <c r="AL34" s="66">
        <f t="shared" si="4"/>
        <v>0</v>
      </c>
      <c r="AM34" s="28" t="str">
        <f t="shared" si="2"/>
        <v>OK</v>
      </c>
    </row>
    <row r="35" spans="1:39" customFormat="1" ht="16.5" hidden="1" customHeight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135"/>
      <c r="I35" s="21">
        <f t="shared" si="3"/>
        <v>0</v>
      </c>
      <c r="J35" s="21"/>
      <c r="K35" s="16"/>
      <c r="L35" s="21"/>
      <c r="M35" s="21"/>
      <c r="N35" s="21"/>
      <c r="O35" s="21"/>
      <c r="P35" s="21"/>
      <c r="Q35" s="21"/>
      <c r="R35" s="21"/>
      <c r="S35" s="21"/>
      <c r="T35" s="42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4"/>
      <c r="AJ35" s="57"/>
      <c r="AK35" s="54"/>
      <c r="AL35" s="65">
        <f t="shared" si="4"/>
        <v>0</v>
      </c>
      <c r="AM35" s="22" t="str">
        <f t="shared" si="2"/>
        <v>OK</v>
      </c>
    </row>
    <row r="36" spans="1:39" customFormat="1" ht="16.5" hidden="1" customHeight="1">
      <c r="A36" s="68" t="s">
        <v>76</v>
      </c>
      <c r="B36" s="78">
        <v>10135</v>
      </c>
      <c r="C36" s="23" t="s">
        <v>56</v>
      </c>
      <c r="D36" s="24"/>
      <c r="E36" s="24"/>
      <c r="F36" s="24"/>
      <c r="G36" s="25"/>
      <c r="H36" s="136"/>
      <c r="I36" s="27">
        <f t="shared" si="3"/>
        <v>0</v>
      </c>
      <c r="J36" s="27"/>
      <c r="K36" s="16"/>
      <c r="L36" s="27"/>
      <c r="M36" s="27"/>
      <c r="N36" s="27"/>
      <c r="O36" s="27"/>
      <c r="P36" s="27"/>
      <c r="Q36" s="27"/>
      <c r="R36" s="27"/>
      <c r="S36" s="27"/>
      <c r="T36" s="43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5"/>
      <c r="AJ36" s="58"/>
      <c r="AK36" s="55"/>
      <c r="AL36" s="66">
        <f t="shared" si="4"/>
        <v>0</v>
      </c>
      <c r="AM36" s="28" t="str">
        <f t="shared" si="2"/>
        <v>OK</v>
      </c>
    </row>
    <row r="37" spans="1:39" customFormat="1" hidden="1">
      <c r="A37" s="80" t="s">
        <v>77</v>
      </c>
      <c r="B37" s="77">
        <v>10133</v>
      </c>
      <c r="C37" s="17" t="s">
        <v>55</v>
      </c>
      <c r="D37" s="69"/>
      <c r="E37" s="18"/>
      <c r="F37" s="18"/>
      <c r="G37" s="19"/>
      <c r="H37" s="135"/>
      <c r="I37" s="21">
        <f t="shared" si="3"/>
        <v>0</v>
      </c>
      <c r="J37" s="21"/>
      <c r="K37" s="16"/>
      <c r="L37" s="21"/>
      <c r="M37" s="21"/>
      <c r="N37" s="21"/>
      <c r="O37" s="21"/>
      <c r="P37" s="21"/>
      <c r="Q37" s="21"/>
      <c r="R37" s="21"/>
      <c r="S37" s="21"/>
      <c r="T37" s="42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4"/>
      <c r="AJ37" s="57"/>
      <c r="AK37" s="54"/>
      <c r="AL37" s="65">
        <f t="shared" si="4"/>
        <v>0</v>
      </c>
      <c r="AM37" s="22" t="str">
        <f t="shared" si="2"/>
        <v>OK</v>
      </c>
    </row>
    <row r="38" spans="1:39" customFormat="1">
      <c r="A38" s="68" t="s">
        <v>78</v>
      </c>
      <c r="B38" s="78">
        <v>10131</v>
      </c>
      <c r="C38" s="23" t="s">
        <v>56</v>
      </c>
      <c r="D38" s="24"/>
      <c r="E38" s="24"/>
      <c r="F38" s="24"/>
      <c r="G38" s="25"/>
      <c r="H38" s="136">
        <f>1000+952+615+635</f>
        <v>3202</v>
      </c>
      <c r="I38" s="27">
        <f t="shared" si="3"/>
        <v>4</v>
      </c>
      <c r="J38" s="27"/>
      <c r="K38" s="16"/>
      <c r="L38" s="27">
        <v>1</v>
      </c>
      <c r="M38" s="27"/>
      <c r="N38" s="27"/>
      <c r="O38" s="27"/>
      <c r="P38" s="27"/>
      <c r="Q38" s="27"/>
      <c r="R38" s="27"/>
      <c r="S38" s="27"/>
      <c r="T38" s="43"/>
      <c r="U38" s="52"/>
      <c r="V38" s="52">
        <v>1</v>
      </c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5">
        <v>2</v>
      </c>
      <c r="AJ38" s="58"/>
      <c r="AK38" s="55"/>
      <c r="AL38" s="66">
        <f t="shared" ref="AL38:AL50" si="5">SUM(L38:AK38)</f>
        <v>4</v>
      </c>
      <c r="AM38" s="28" t="str">
        <f t="shared" ref="AM38:AM64" si="6">IF(AL38=I38,"OK","NG")</f>
        <v>OK</v>
      </c>
    </row>
    <row r="39" spans="1:39" customFormat="1" ht="16.5" hidden="1" customHeight="1">
      <c r="A39" s="17" t="s">
        <v>79</v>
      </c>
      <c r="B39" s="77">
        <v>10129</v>
      </c>
      <c r="C39" s="17" t="s">
        <v>57</v>
      </c>
      <c r="D39" s="69"/>
      <c r="E39" s="18"/>
      <c r="F39" s="18"/>
      <c r="G39" s="19"/>
      <c r="H39" s="135"/>
      <c r="I39" s="21">
        <f t="shared" si="3"/>
        <v>0</v>
      </c>
      <c r="J39" s="21"/>
      <c r="K39" s="16"/>
      <c r="L39" s="21"/>
      <c r="M39" s="21"/>
      <c r="N39" s="21"/>
      <c r="O39" s="21"/>
      <c r="P39" s="21"/>
      <c r="Q39" s="21"/>
      <c r="R39" s="21"/>
      <c r="S39" s="21"/>
      <c r="T39" s="42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4"/>
      <c r="AJ39" s="57"/>
      <c r="AK39" s="54"/>
      <c r="AL39" s="65">
        <f t="shared" si="5"/>
        <v>0</v>
      </c>
      <c r="AM39" s="22" t="str">
        <f t="shared" si="6"/>
        <v>OK</v>
      </c>
    </row>
    <row r="40" spans="1:39" customFormat="1" ht="16.5" hidden="1" customHeight="1">
      <c r="A40" s="68" t="s">
        <v>80</v>
      </c>
      <c r="B40" s="78">
        <v>10127</v>
      </c>
      <c r="C40" s="23" t="s">
        <v>58</v>
      </c>
      <c r="D40" s="24"/>
      <c r="E40" s="24"/>
      <c r="F40" s="24"/>
      <c r="G40" s="25"/>
      <c r="H40" s="136"/>
      <c r="I40" s="27">
        <f t="shared" si="3"/>
        <v>0</v>
      </c>
      <c r="J40" s="27"/>
      <c r="K40" s="16"/>
      <c r="L40" s="27"/>
      <c r="M40" s="27"/>
      <c r="N40" s="27"/>
      <c r="O40" s="27"/>
      <c r="P40" s="27"/>
      <c r="Q40" s="27"/>
      <c r="R40" s="27"/>
      <c r="S40" s="27"/>
      <c r="T40" s="43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5"/>
      <c r="AJ40" s="58"/>
      <c r="AK40" s="55"/>
      <c r="AL40" s="66">
        <f t="shared" si="5"/>
        <v>0</v>
      </c>
      <c r="AM40" s="28" t="str">
        <f t="shared" si="6"/>
        <v>OK</v>
      </c>
    </row>
    <row r="41" spans="1:39" customFormat="1" ht="16.5" hidden="1" customHeight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135"/>
      <c r="I41" s="21">
        <f t="shared" si="3"/>
        <v>0</v>
      </c>
      <c r="J41" s="21"/>
      <c r="K41" s="16"/>
      <c r="L41" s="21"/>
      <c r="M41" s="21"/>
      <c r="N41" s="21"/>
      <c r="O41" s="21"/>
      <c r="P41" s="21"/>
      <c r="Q41" s="21"/>
      <c r="R41" s="21"/>
      <c r="S41" s="21"/>
      <c r="T41" s="4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4"/>
      <c r="AJ41" s="57"/>
      <c r="AK41" s="54"/>
      <c r="AL41" s="65">
        <f t="shared" si="5"/>
        <v>0</v>
      </c>
      <c r="AM41" s="22" t="str">
        <f t="shared" si="6"/>
        <v>OK</v>
      </c>
    </row>
    <row r="42" spans="1:39" customFormat="1" ht="16.5" hidden="1" customHeight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136"/>
      <c r="I42" s="27">
        <f t="shared" si="3"/>
        <v>0</v>
      </c>
      <c r="J42" s="27"/>
      <c r="K42" s="16"/>
      <c r="L42" s="27"/>
      <c r="M42" s="27"/>
      <c r="N42" s="27"/>
      <c r="O42" s="27"/>
      <c r="P42" s="27"/>
      <c r="Q42" s="27"/>
      <c r="R42" s="27"/>
      <c r="S42" s="27"/>
      <c r="T42" s="43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5"/>
      <c r="AJ42" s="58"/>
      <c r="AK42" s="55"/>
      <c r="AL42" s="66">
        <f t="shared" si="5"/>
        <v>0</v>
      </c>
      <c r="AM42" s="28" t="str">
        <f t="shared" si="6"/>
        <v>OK</v>
      </c>
    </row>
    <row r="43" spans="1:39" customFormat="1" ht="16.5" hidden="1" customHeight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135"/>
      <c r="I43" s="21">
        <f t="shared" si="3"/>
        <v>0</v>
      </c>
      <c r="J43" s="21"/>
      <c r="K43" s="16"/>
      <c r="L43" s="21"/>
      <c r="M43" s="21"/>
      <c r="N43" s="21"/>
      <c r="O43" s="21"/>
      <c r="P43" s="21"/>
      <c r="Q43" s="21"/>
      <c r="R43" s="21"/>
      <c r="S43" s="21"/>
      <c r="T43" s="42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4"/>
      <c r="AJ43" s="57"/>
      <c r="AK43" s="54"/>
      <c r="AL43" s="65">
        <f t="shared" si="5"/>
        <v>0</v>
      </c>
      <c r="AM43" s="22" t="str">
        <f t="shared" si="6"/>
        <v>OK</v>
      </c>
    </row>
    <row r="44" spans="1:39" customFormat="1" ht="16.5" hidden="1" customHeight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136"/>
      <c r="I44" s="27">
        <f t="shared" si="3"/>
        <v>0</v>
      </c>
      <c r="J44" s="27"/>
      <c r="K44" s="16"/>
      <c r="L44" s="27"/>
      <c r="M44" s="27"/>
      <c r="N44" s="27"/>
      <c r="O44" s="27"/>
      <c r="P44" s="27"/>
      <c r="Q44" s="27"/>
      <c r="R44" s="27"/>
      <c r="S44" s="27"/>
      <c r="T44" s="43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5"/>
      <c r="AJ44" s="58"/>
      <c r="AK44" s="55"/>
      <c r="AL44" s="66">
        <f t="shared" si="5"/>
        <v>0</v>
      </c>
      <c r="AM44" s="28" t="str">
        <f t="shared" si="6"/>
        <v>OK</v>
      </c>
    </row>
    <row r="45" spans="1:39" customFormat="1" hidden="1">
      <c r="A45" s="17" t="s">
        <v>107</v>
      </c>
      <c r="B45" s="77">
        <v>13467</v>
      </c>
      <c r="C45" s="17" t="s">
        <v>87</v>
      </c>
      <c r="D45" s="69"/>
      <c r="E45" s="18"/>
      <c r="F45" s="18"/>
      <c r="G45" s="19"/>
      <c r="H45" s="135"/>
      <c r="I45" s="21">
        <f t="shared" si="3"/>
        <v>0</v>
      </c>
      <c r="J45" s="21"/>
      <c r="K45" s="16"/>
      <c r="L45" s="21"/>
      <c r="M45" s="21"/>
      <c r="N45" s="21"/>
      <c r="O45" s="21"/>
      <c r="P45" s="21"/>
      <c r="Q45" s="21"/>
      <c r="R45" s="21"/>
      <c r="S45" s="21"/>
      <c r="T45" s="4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4"/>
      <c r="AJ45" s="57"/>
      <c r="AK45" s="54"/>
      <c r="AL45" s="65">
        <f t="shared" si="5"/>
        <v>0</v>
      </c>
      <c r="AM45" s="22" t="str">
        <f t="shared" si="6"/>
        <v>OK</v>
      </c>
    </row>
    <row r="46" spans="1:39" customFormat="1">
      <c r="A46" s="68" t="s">
        <v>111</v>
      </c>
      <c r="B46" s="78">
        <v>15948</v>
      </c>
      <c r="C46" s="23" t="s">
        <v>87</v>
      </c>
      <c r="D46" s="24"/>
      <c r="E46" s="24"/>
      <c r="F46" s="24"/>
      <c r="G46" s="25"/>
      <c r="H46" s="136">
        <v>720</v>
      </c>
      <c r="I46" s="27">
        <f t="shared" si="3"/>
        <v>2</v>
      </c>
      <c r="J46" s="27"/>
      <c r="K46" s="16"/>
      <c r="L46" s="27"/>
      <c r="M46" s="27"/>
      <c r="N46" s="27"/>
      <c r="O46" s="27"/>
      <c r="P46" s="27"/>
      <c r="Q46" s="27"/>
      <c r="R46" s="27"/>
      <c r="S46" s="27"/>
      <c r="T46" s="43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>
        <v>2</v>
      </c>
      <c r="AH46" s="52"/>
      <c r="AI46" s="55"/>
      <c r="AJ46" s="58"/>
      <c r="AK46" s="55"/>
      <c r="AL46" s="66">
        <f t="shared" si="5"/>
        <v>2</v>
      </c>
      <c r="AM46" s="28" t="str">
        <f t="shared" si="6"/>
        <v>OK</v>
      </c>
    </row>
    <row r="47" spans="1:39" customFormat="1" ht="16.5" hidden="1" customHeight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135"/>
      <c r="I47" s="21">
        <f t="shared" si="3"/>
        <v>0</v>
      </c>
      <c r="J47" s="21"/>
      <c r="K47" s="16"/>
      <c r="L47" s="21"/>
      <c r="M47" s="21"/>
      <c r="N47" s="21"/>
      <c r="O47" s="21"/>
      <c r="P47" s="21"/>
      <c r="Q47" s="21"/>
      <c r="R47" s="21"/>
      <c r="S47" s="21"/>
      <c r="T47" s="42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4"/>
      <c r="AJ47" s="57"/>
      <c r="AK47" s="54"/>
      <c r="AL47" s="65">
        <f t="shared" si="5"/>
        <v>0</v>
      </c>
      <c r="AM47" s="22" t="str">
        <f t="shared" si="6"/>
        <v>OK</v>
      </c>
    </row>
    <row r="48" spans="1:39" customFormat="1" ht="16.5" customHeight="1">
      <c r="A48" s="68" t="s">
        <v>121</v>
      </c>
      <c r="B48" s="78">
        <v>16598</v>
      </c>
      <c r="C48" s="23" t="s">
        <v>87</v>
      </c>
      <c r="D48" s="24"/>
      <c r="E48" s="24"/>
      <c r="F48" s="24"/>
      <c r="G48" s="25"/>
      <c r="H48" s="136">
        <f>1006+210</f>
        <v>1216</v>
      </c>
      <c r="I48" s="27">
        <f t="shared" si="3"/>
        <v>1</v>
      </c>
      <c r="J48" s="27"/>
      <c r="K48" s="16"/>
      <c r="L48" s="27"/>
      <c r="M48" s="27"/>
      <c r="N48" s="27"/>
      <c r="O48" s="27"/>
      <c r="P48" s="27"/>
      <c r="Q48" s="27"/>
      <c r="R48" s="27"/>
      <c r="S48" s="27"/>
      <c r="T48" s="43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5">
        <v>1</v>
      </c>
      <c r="AJ48" s="58"/>
      <c r="AK48" s="55"/>
      <c r="AL48" s="66">
        <f t="shared" si="5"/>
        <v>1</v>
      </c>
      <c r="AM48" s="28" t="str">
        <f t="shared" si="6"/>
        <v>OK</v>
      </c>
    </row>
    <row r="49" spans="1:39" customFormat="1" ht="16.5" hidden="1" customHeight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135"/>
      <c r="I49" s="21">
        <f t="shared" si="3"/>
        <v>0</v>
      </c>
      <c r="J49" s="21"/>
      <c r="K49" s="16"/>
      <c r="L49" s="21"/>
      <c r="M49" s="21"/>
      <c r="N49" s="21"/>
      <c r="O49" s="21"/>
      <c r="P49" s="21"/>
      <c r="Q49" s="21"/>
      <c r="R49" s="21"/>
      <c r="S49" s="21"/>
      <c r="T49" s="4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4"/>
      <c r="AJ49" s="57"/>
      <c r="AK49" s="54"/>
      <c r="AL49" s="65">
        <f t="shared" si="5"/>
        <v>0</v>
      </c>
      <c r="AM49" s="22" t="str">
        <f t="shared" si="6"/>
        <v>OK</v>
      </c>
    </row>
    <row r="50" spans="1:39" customFormat="1" ht="16.5" hidden="1" customHeight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136"/>
      <c r="I50" s="27">
        <f t="shared" si="3"/>
        <v>0</v>
      </c>
      <c r="J50" s="27"/>
      <c r="K50" s="16"/>
      <c r="L50" s="27"/>
      <c r="M50" s="27"/>
      <c r="N50" s="27"/>
      <c r="O50" s="27"/>
      <c r="P50" s="27"/>
      <c r="Q50" s="27"/>
      <c r="R50" s="27"/>
      <c r="S50" s="27"/>
      <c r="T50" s="43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8"/>
      <c r="AK50" s="55"/>
      <c r="AL50" s="66">
        <f t="shared" si="5"/>
        <v>0</v>
      </c>
      <c r="AM50" s="28" t="str">
        <f t="shared" si="6"/>
        <v>OK</v>
      </c>
    </row>
    <row r="51" spans="1:39" customFormat="1" ht="16.5" hidden="1" customHeight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135"/>
      <c r="I51" s="21">
        <f t="shared" si="3"/>
        <v>0</v>
      </c>
      <c r="J51" s="21"/>
      <c r="K51" s="16"/>
      <c r="L51" s="21"/>
      <c r="M51" s="21"/>
      <c r="N51" s="21"/>
      <c r="O51" s="21"/>
      <c r="P51" s="21"/>
      <c r="Q51" s="21"/>
      <c r="R51" s="21"/>
      <c r="S51" s="21"/>
      <c r="T51" s="4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4"/>
      <c r="AJ51" s="57"/>
      <c r="AK51" s="54"/>
      <c r="AL51" s="65">
        <f>SUM(L51:AK51)</f>
        <v>0</v>
      </c>
      <c r="AM51" s="22" t="str">
        <f t="shared" si="6"/>
        <v>OK</v>
      </c>
    </row>
    <row r="52" spans="1:39" customFormat="1" ht="16.5" hidden="1" customHeight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136"/>
      <c r="I52" s="27">
        <f t="shared" si="3"/>
        <v>0</v>
      </c>
      <c r="J52" s="27"/>
      <c r="K52" s="16"/>
      <c r="L52" s="27"/>
      <c r="M52" s="27"/>
      <c r="N52" s="27"/>
      <c r="O52" s="27"/>
      <c r="P52" s="27"/>
      <c r="Q52" s="27"/>
      <c r="R52" s="27"/>
      <c r="S52" s="27"/>
      <c r="T52" s="43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5"/>
      <c r="AJ52" s="58"/>
      <c r="AK52" s="55"/>
      <c r="AL52" s="66">
        <f t="shared" ref="AL52:AL64" si="7">SUM(L52:AK52)</f>
        <v>0</v>
      </c>
      <c r="AM52" s="28" t="str">
        <f t="shared" si="6"/>
        <v>OK</v>
      </c>
    </row>
    <row r="53" spans="1:39" customFormat="1" ht="16.5" hidden="1" customHeight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135"/>
      <c r="I53" s="21">
        <f t="shared" si="3"/>
        <v>0</v>
      </c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42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4"/>
      <c r="AJ53" s="57"/>
      <c r="AK53" s="54"/>
      <c r="AL53" s="65">
        <f t="shared" si="7"/>
        <v>0</v>
      </c>
      <c r="AM53" s="22" t="str">
        <f t="shared" si="6"/>
        <v>OK</v>
      </c>
    </row>
    <row r="54" spans="1:39" customFormat="1" ht="16.5" hidden="1" customHeight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136"/>
      <c r="I54" s="27">
        <f t="shared" si="3"/>
        <v>0</v>
      </c>
      <c r="J54" s="27"/>
      <c r="K54" s="16"/>
      <c r="L54" s="27"/>
      <c r="M54" s="27"/>
      <c r="N54" s="27"/>
      <c r="O54" s="27"/>
      <c r="P54" s="27"/>
      <c r="Q54" s="27"/>
      <c r="R54" s="27"/>
      <c r="S54" s="27"/>
      <c r="T54" s="43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5"/>
      <c r="AJ54" s="58"/>
      <c r="AK54" s="55"/>
      <c r="AL54" s="66">
        <f t="shared" si="7"/>
        <v>0</v>
      </c>
      <c r="AM54" s="28" t="str">
        <f t="shared" si="6"/>
        <v>OK</v>
      </c>
    </row>
    <row r="55" spans="1:39" customFormat="1" ht="16.5" hidden="1" customHeight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135"/>
      <c r="I55" s="21">
        <f t="shared" si="3"/>
        <v>0</v>
      </c>
      <c r="J55" s="21"/>
      <c r="K55" s="16"/>
      <c r="L55" s="21"/>
      <c r="M55" s="21"/>
      <c r="N55" s="21"/>
      <c r="O55" s="21"/>
      <c r="P55" s="21"/>
      <c r="Q55" s="21"/>
      <c r="R55" s="21"/>
      <c r="S55" s="21"/>
      <c r="T55" s="42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4"/>
      <c r="AJ55" s="57"/>
      <c r="AK55" s="54"/>
      <c r="AL55" s="65">
        <f t="shared" si="7"/>
        <v>0</v>
      </c>
      <c r="AM55" s="22" t="str">
        <f t="shared" si="6"/>
        <v>OK</v>
      </c>
    </row>
    <row r="56" spans="1:39" customFormat="1" ht="16.5" hidden="1" customHeight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136"/>
      <c r="I56" s="27">
        <f t="shared" si="3"/>
        <v>0</v>
      </c>
      <c r="J56" s="27"/>
      <c r="K56" s="16"/>
      <c r="L56" s="27"/>
      <c r="M56" s="27"/>
      <c r="N56" s="27"/>
      <c r="O56" s="27"/>
      <c r="P56" s="27"/>
      <c r="Q56" s="27"/>
      <c r="R56" s="27"/>
      <c r="S56" s="27"/>
      <c r="T56" s="43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5"/>
      <c r="AJ56" s="58"/>
      <c r="AK56" s="55"/>
      <c r="AL56" s="66">
        <f t="shared" si="7"/>
        <v>0</v>
      </c>
      <c r="AM56" s="28" t="str">
        <f t="shared" si="6"/>
        <v>OK</v>
      </c>
    </row>
    <row r="57" spans="1:39" customFormat="1" hidden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135"/>
      <c r="I57" s="21">
        <f t="shared" si="3"/>
        <v>0</v>
      </c>
      <c r="J57" s="21"/>
      <c r="K57" s="16"/>
      <c r="L57" s="21"/>
      <c r="M57" s="21"/>
      <c r="N57" s="21"/>
      <c r="O57" s="21"/>
      <c r="P57" s="21"/>
      <c r="Q57" s="21"/>
      <c r="R57" s="21"/>
      <c r="S57" s="21"/>
      <c r="T57" s="42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4"/>
      <c r="AJ57" s="57"/>
      <c r="AK57" s="54"/>
      <c r="AL57" s="65">
        <f t="shared" si="7"/>
        <v>0</v>
      </c>
      <c r="AM57" s="22" t="str">
        <f t="shared" si="6"/>
        <v>OK</v>
      </c>
    </row>
    <row r="58" spans="1:39" customFormat="1" ht="16.5" hidden="1" customHeight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136"/>
      <c r="I58" s="27">
        <f t="shared" si="3"/>
        <v>0</v>
      </c>
      <c r="J58" s="27"/>
      <c r="K58" s="16"/>
      <c r="L58" s="27"/>
      <c r="M58" s="27"/>
      <c r="N58" s="27"/>
      <c r="O58" s="27"/>
      <c r="P58" s="27"/>
      <c r="Q58" s="27"/>
      <c r="R58" s="27"/>
      <c r="S58" s="27"/>
      <c r="T58" s="43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5"/>
      <c r="AJ58" s="58"/>
      <c r="AK58" s="55"/>
      <c r="AL58" s="66">
        <f t="shared" si="7"/>
        <v>0</v>
      </c>
      <c r="AM58" s="28" t="str">
        <f t="shared" si="6"/>
        <v>OK</v>
      </c>
    </row>
    <row r="59" spans="1:39" customFormat="1" ht="16.5" hidden="1" customHeight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135"/>
      <c r="I59" s="21">
        <f t="shared" si="3"/>
        <v>0</v>
      </c>
      <c r="J59" s="21"/>
      <c r="K59" s="16"/>
      <c r="L59" s="21"/>
      <c r="M59" s="21"/>
      <c r="N59" s="21"/>
      <c r="O59" s="21"/>
      <c r="P59" s="21"/>
      <c r="Q59" s="21"/>
      <c r="R59" s="21"/>
      <c r="S59" s="21"/>
      <c r="T59" s="4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4"/>
      <c r="AJ59" s="57"/>
      <c r="AK59" s="54"/>
      <c r="AL59" s="65">
        <f t="shared" si="7"/>
        <v>0</v>
      </c>
      <c r="AM59" s="22" t="str">
        <f t="shared" si="6"/>
        <v>OK</v>
      </c>
    </row>
    <row r="60" spans="1:39" customFormat="1" hidden="1">
      <c r="A60" s="68" t="s">
        <v>84</v>
      </c>
      <c r="B60" s="78">
        <v>11380</v>
      </c>
      <c r="C60" s="23" t="s">
        <v>60</v>
      </c>
      <c r="D60" s="24"/>
      <c r="E60" s="24"/>
      <c r="F60" s="24"/>
      <c r="G60" s="25"/>
      <c r="H60" s="136"/>
      <c r="I60" s="27">
        <f t="shared" si="3"/>
        <v>0</v>
      </c>
      <c r="J60" s="27"/>
      <c r="K60" s="16"/>
      <c r="L60" s="27"/>
      <c r="M60" s="27"/>
      <c r="N60" s="27"/>
      <c r="O60" s="27"/>
      <c r="P60" s="27"/>
      <c r="Q60" s="27"/>
      <c r="R60" s="27"/>
      <c r="S60" s="27"/>
      <c r="T60" s="43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5"/>
      <c r="AJ60" s="58"/>
      <c r="AK60" s="55"/>
      <c r="AL60" s="66">
        <f t="shared" si="7"/>
        <v>0</v>
      </c>
      <c r="AM60" s="28" t="str">
        <f t="shared" si="6"/>
        <v>OK</v>
      </c>
    </row>
    <row r="61" spans="1:39" customFormat="1" hidden="1">
      <c r="A61" s="80" t="s">
        <v>112</v>
      </c>
      <c r="B61" s="77">
        <v>18518</v>
      </c>
      <c r="C61" s="17" t="s">
        <v>87</v>
      </c>
      <c r="D61" s="69"/>
      <c r="E61" s="18"/>
      <c r="F61" s="18"/>
      <c r="G61" s="19"/>
      <c r="H61" s="135">
        <f>784+1056+1120</f>
        <v>2960</v>
      </c>
      <c r="I61" s="21">
        <f t="shared" si="3"/>
        <v>0</v>
      </c>
      <c r="J61" s="21"/>
      <c r="K61" s="16"/>
      <c r="L61" s="21"/>
      <c r="M61" s="21"/>
      <c r="N61" s="21"/>
      <c r="O61" s="21"/>
      <c r="P61" s="21"/>
      <c r="Q61" s="21"/>
      <c r="R61" s="21"/>
      <c r="S61" s="21"/>
      <c r="T61" s="4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4"/>
      <c r="AJ61" s="57"/>
      <c r="AK61" s="54"/>
      <c r="AL61" s="65">
        <f t="shared" si="7"/>
        <v>0</v>
      </c>
      <c r="AM61" s="22" t="str">
        <f t="shared" si="6"/>
        <v>OK</v>
      </c>
    </row>
    <row r="62" spans="1:39" customFormat="1" hidden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136"/>
      <c r="I62" s="27">
        <f t="shared" si="3"/>
        <v>0</v>
      </c>
      <c r="J62" s="27"/>
      <c r="K62" s="16"/>
      <c r="L62" s="27"/>
      <c r="M62" s="27"/>
      <c r="N62" s="27"/>
      <c r="O62" s="27"/>
      <c r="P62" s="27"/>
      <c r="Q62" s="27"/>
      <c r="R62" s="27"/>
      <c r="S62" s="27"/>
      <c r="T62" s="43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5"/>
      <c r="AJ62" s="58"/>
      <c r="AK62" s="55"/>
      <c r="AL62" s="66">
        <f t="shared" si="7"/>
        <v>0</v>
      </c>
      <c r="AM62" s="28" t="str">
        <f t="shared" si="6"/>
        <v>OK</v>
      </c>
    </row>
    <row r="63" spans="1:39" customFormat="1" ht="16.5" hidden="1" customHeight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135"/>
      <c r="I63" s="21">
        <f t="shared" si="3"/>
        <v>0</v>
      </c>
      <c r="J63" s="21"/>
      <c r="K63" s="16"/>
      <c r="L63" s="21"/>
      <c r="M63" s="21"/>
      <c r="N63" s="21"/>
      <c r="O63" s="21"/>
      <c r="P63" s="21"/>
      <c r="Q63" s="21"/>
      <c r="R63" s="21"/>
      <c r="S63" s="21"/>
      <c r="T63" s="133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4"/>
      <c r="AJ63" s="57"/>
      <c r="AK63" s="54"/>
      <c r="AL63" s="65">
        <f t="shared" si="7"/>
        <v>0</v>
      </c>
      <c r="AM63" s="22" t="str">
        <f t="shared" si="6"/>
        <v>OK</v>
      </c>
    </row>
    <row r="64" spans="1:39" customFormat="1" ht="16.5" hidden="1" customHeight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136"/>
      <c r="I64" s="27">
        <f t="shared" si="3"/>
        <v>0</v>
      </c>
      <c r="J64" s="27"/>
      <c r="K64" s="16"/>
      <c r="L64" s="27"/>
      <c r="M64" s="27"/>
      <c r="N64" s="27"/>
      <c r="O64" s="27"/>
      <c r="P64" s="27"/>
      <c r="Q64" s="27"/>
      <c r="R64" s="27"/>
      <c r="S64" s="27"/>
      <c r="T64" s="43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5"/>
      <c r="AJ64" s="58"/>
      <c r="AK64" s="55"/>
      <c r="AL64" s="66">
        <f t="shared" si="7"/>
        <v>0</v>
      </c>
      <c r="AM64" s="28" t="str">
        <f t="shared" si="6"/>
        <v>OK</v>
      </c>
    </row>
    <row r="65" spans="1:39" customFormat="1" ht="16.5" hidden="1" customHeight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135"/>
      <c r="I65" s="21">
        <f t="shared" si="3"/>
        <v>0</v>
      </c>
      <c r="J65" s="21"/>
      <c r="K65" s="16"/>
      <c r="L65" s="21"/>
      <c r="M65" s="21"/>
      <c r="N65" s="21"/>
      <c r="O65" s="21"/>
      <c r="P65" s="21"/>
      <c r="Q65" s="21"/>
      <c r="R65" s="21"/>
      <c r="S65" s="21"/>
      <c r="T65" s="4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4"/>
      <c r="AJ65" s="57"/>
      <c r="AK65" s="54"/>
      <c r="AL65" s="65">
        <f t="shared" si="4"/>
        <v>0</v>
      </c>
      <c r="AM65" s="22" t="str">
        <f t="shared" si="2"/>
        <v>OK</v>
      </c>
    </row>
    <row r="66" spans="1:39" customFormat="1" ht="16.5" customHeight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136">
        <v>840</v>
      </c>
      <c r="I66" s="27">
        <f t="shared" si="3"/>
        <v>12</v>
      </c>
      <c r="J66" s="27"/>
      <c r="K66" s="16"/>
      <c r="L66" s="27">
        <v>12</v>
      </c>
      <c r="M66" s="27"/>
      <c r="N66" s="27"/>
      <c r="O66" s="27"/>
      <c r="P66" s="27"/>
      <c r="Q66" s="27"/>
      <c r="R66" s="27"/>
      <c r="S66" s="27"/>
      <c r="T66" s="43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5"/>
      <c r="AJ66" s="58"/>
      <c r="AK66" s="55"/>
      <c r="AL66" s="66">
        <f t="shared" si="4"/>
        <v>12</v>
      </c>
      <c r="AM66" s="28" t="str">
        <f t="shared" si="2"/>
        <v>OK</v>
      </c>
    </row>
    <row r="67" spans="1:39" customFormat="1" ht="16.5" hidden="1" customHeight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135">
        <v>310</v>
      </c>
      <c r="I67" s="21">
        <f t="shared" si="3"/>
        <v>0</v>
      </c>
      <c r="J67" s="21"/>
      <c r="K67" s="16"/>
      <c r="L67" s="21"/>
      <c r="M67" s="21"/>
      <c r="N67" s="21"/>
      <c r="O67" s="21"/>
      <c r="P67" s="21"/>
      <c r="Q67" s="21"/>
      <c r="R67" s="21"/>
      <c r="S67" s="21"/>
      <c r="T67" s="4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4"/>
      <c r="AJ67" s="57"/>
      <c r="AK67" s="54"/>
      <c r="AL67" s="65">
        <f t="shared" si="4"/>
        <v>0</v>
      </c>
      <c r="AM67" s="22" t="str">
        <f t="shared" si="2"/>
        <v>OK</v>
      </c>
    </row>
    <row r="68" spans="1:39" customFormat="1" ht="16.5" hidden="1" customHeight="1">
      <c r="A68" s="81" t="s">
        <v>132</v>
      </c>
      <c r="B68" s="78">
        <v>20269</v>
      </c>
      <c r="C68" s="23" t="s">
        <v>131</v>
      </c>
      <c r="D68" s="24"/>
      <c r="E68" s="24"/>
      <c r="F68" s="24"/>
      <c r="G68" s="25"/>
      <c r="H68" s="136"/>
      <c r="I68" s="27">
        <f t="shared" si="3"/>
        <v>0</v>
      </c>
      <c r="J68" s="27"/>
      <c r="K68" s="16"/>
      <c r="L68" s="27"/>
      <c r="M68" s="27"/>
      <c r="N68" s="27"/>
      <c r="O68" s="27"/>
      <c r="P68" s="27"/>
      <c r="Q68" s="27"/>
      <c r="R68" s="27"/>
      <c r="S68" s="27"/>
      <c r="T68" s="43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5"/>
      <c r="AJ68" s="58"/>
      <c r="AK68" s="55"/>
      <c r="AL68" s="66">
        <f t="shared" si="4"/>
        <v>0</v>
      </c>
      <c r="AM68" s="28" t="str">
        <f t="shared" si="2"/>
        <v>OK</v>
      </c>
    </row>
    <row r="69" spans="1:39" customFormat="1" ht="16.5" hidden="1" customHeight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135"/>
      <c r="I69" s="21">
        <f t="shared" si="3"/>
        <v>0</v>
      </c>
      <c r="J69" s="21"/>
      <c r="K69" s="16"/>
      <c r="L69" s="21"/>
      <c r="M69" s="21"/>
      <c r="N69" s="21"/>
      <c r="O69" s="21"/>
      <c r="P69" s="21"/>
      <c r="Q69" s="21"/>
      <c r="R69" s="21"/>
      <c r="S69" s="21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7"/>
      <c r="AK69" s="54"/>
      <c r="AL69" s="65">
        <f t="shared" si="4"/>
        <v>0</v>
      </c>
      <c r="AM69" s="22" t="str">
        <f t="shared" si="2"/>
        <v>OK</v>
      </c>
    </row>
    <row r="70" spans="1:39" customFormat="1" ht="16.5" hidden="1" customHeight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136">
        <v>1440</v>
      </c>
      <c r="I70" s="27">
        <f t="shared" si="3"/>
        <v>0</v>
      </c>
      <c r="J70" s="27"/>
      <c r="K70" s="16"/>
      <c r="L70" s="27"/>
      <c r="M70" s="27"/>
      <c r="N70" s="27"/>
      <c r="O70" s="27"/>
      <c r="P70" s="27"/>
      <c r="Q70" s="27"/>
      <c r="R70" s="27"/>
      <c r="S70" s="27"/>
      <c r="T70" s="43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5"/>
      <c r="AJ70" s="58"/>
      <c r="AK70" s="55"/>
      <c r="AL70" s="66">
        <f t="shared" si="4"/>
        <v>0</v>
      </c>
      <c r="AM70" s="28" t="str">
        <f t="shared" si="2"/>
        <v>OK</v>
      </c>
    </row>
    <row r="71" spans="1:39" customFormat="1" ht="16.5" hidden="1" customHeight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135"/>
      <c r="I71" s="21">
        <f t="shared" ref="I71:I96" si="8">SUM(L71:AK71)</f>
        <v>0</v>
      </c>
      <c r="J71" s="21"/>
      <c r="K71" s="16"/>
      <c r="L71" s="21"/>
      <c r="M71" s="21"/>
      <c r="N71" s="21"/>
      <c r="O71" s="21"/>
      <c r="P71" s="21"/>
      <c r="Q71" s="21"/>
      <c r="R71" s="21"/>
      <c r="S71" s="21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4"/>
      <c r="AJ71" s="57"/>
      <c r="AK71" s="54"/>
      <c r="AL71" s="65">
        <f t="shared" si="4"/>
        <v>0</v>
      </c>
      <c r="AM71" s="22" t="str">
        <f t="shared" si="2"/>
        <v>OK</v>
      </c>
    </row>
    <row r="72" spans="1:39" customFormat="1" ht="16.5" hidden="1" customHeight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136"/>
      <c r="I72" s="27">
        <f t="shared" si="8"/>
        <v>0</v>
      </c>
      <c r="J72" s="27"/>
      <c r="K72" s="16"/>
      <c r="L72" s="27"/>
      <c r="M72" s="27"/>
      <c r="N72" s="27"/>
      <c r="O72" s="27"/>
      <c r="P72" s="27"/>
      <c r="Q72" s="27"/>
      <c r="R72" s="27"/>
      <c r="S72" s="27"/>
      <c r="T72" s="43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5"/>
      <c r="AJ72" s="58"/>
      <c r="AK72" s="55"/>
      <c r="AL72" s="66">
        <f t="shared" si="4"/>
        <v>0</v>
      </c>
      <c r="AM72" s="28" t="str">
        <f t="shared" si="2"/>
        <v>OK</v>
      </c>
    </row>
    <row r="73" spans="1:39" customFormat="1" ht="16.5" hidden="1" customHeight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138"/>
      <c r="I73" s="101">
        <f t="shared" si="8"/>
        <v>0</v>
      </c>
      <c r="J73" s="21"/>
      <c r="K73" s="16"/>
      <c r="L73" s="21"/>
      <c r="M73" s="21"/>
      <c r="N73" s="21"/>
      <c r="O73" s="21"/>
      <c r="P73" s="21"/>
      <c r="Q73" s="21"/>
      <c r="R73" s="21"/>
      <c r="S73" s="21"/>
      <c r="T73" s="42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4"/>
      <c r="AJ73" s="57"/>
      <c r="AK73" s="54"/>
      <c r="AL73" s="65">
        <f t="shared" si="4"/>
        <v>0</v>
      </c>
      <c r="AM73" s="22" t="str">
        <f t="shared" si="2"/>
        <v>OK</v>
      </c>
    </row>
    <row r="74" spans="1:39" customFormat="1" ht="16.5" hidden="1" customHeight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139"/>
      <c r="I74" s="103">
        <f t="shared" si="8"/>
        <v>0</v>
      </c>
      <c r="J74" s="27"/>
      <c r="K74" s="16"/>
      <c r="L74" s="100"/>
      <c r="M74" s="100"/>
      <c r="N74" s="100"/>
      <c r="O74" s="100"/>
      <c r="P74" s="100"/>
      <c r="Q74" s="100"/>
      <c r="R74" s="100"/>
      <c r="S74" s="100"/>
      <c r="T74" s="109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1"/>
      <c r="AJ74" s="112"/>
      <c r="AK74" s="111"/>
      <c r="AL74" s="66">
        <f t="shared" si="4"/>
        <v>0</v>
      </c>
      <c r="AM74" s="28" t="str">
        <f t="shared" si="2"/>
        <v>OK</v>
      </c>
    </row>
    <row r="75" spans="1:39" ht="16.5" hidden="1" customHeight="1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40"/>
      <c r="I75" s="105">
        <f t="shared" si="8"/>
        <v>0</v>
      </c>
      <c r="J75" s="90"/>
      <c r="K75" s="91"/>
      <c r="L75" s="113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5"/>
      <c r="AL75" s="92">
        <f t="shared" ref="AL75:AL80" si="9">SUM(L75:AK75)</f>
        <v>0</v>
      </c>
      <c r="AM75" s="122" t="str">
        <f t="shared" ref="AM75:AM80" si="10">IF(AL75=I75,"OK","NG")</f>
        <v>OK</v>
      </c>
    </row>
    <row r="76" spans="1:39" ht="16.5" customHeight="1" thickBot="1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139">
        <f>920+1460+1320</f>
        <v>3700</v>
      </c>
      <c r="I76" s="106">
        <f t="shared" si="8"/>
        <v>3</v>
      </c>
      <c r="J76" s="85"/>
      <c r="K76" s="16"/>
      <c r="L76" s="1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>
        <v>3</v>
      </c>
      <c r="AJ76" s="117"/>
      <c r="AK76" s="118"/>
      <c r="AL76" s="66">
        <f t="shared" si="9"/>
        <v>3</v>
      </c>
      <c r="AM76" s="28" t="str">
        <f t="shared" si="10"/>
        <v>OK</v>
      </c>
    </row>
    <row r="77" spans="1:39" ht="16.5" hidden="1" customHeight="1">
      <c r="A77" s="87" t="s">
        <v>165</v>
      </c>
      <c r="B77" s="93">
        <v>13007</v>
      </c>
      <c r="C77" s="94" t="s">
        <v>164</v>
      </c>
      <c r="D77" s="88"/>
      <c r="E77" s="88"/>
      <c r="F77" s="88"/>
      <c r="G77" s="89"/>
      <c r="H77" s="104"/>
      <c r="I77" s="105">
        <f t="shared" si="8"/>
        <v>0</v>
      </c>
      <c r="J77" s="90"/>
      <c r="K77" s="91"/>
      <c r="L77" s="113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5"/>
      <c r="AL77" s="92">
        <f t="shared" si="9"/>
        <v>0</v>
      </c>
      <c r="AM77" s="122" t="str">
        <f t="shared" si="10"/>
        <v>OK</v>
      </c>
    </row>
    <row r="78" spans="1:39" ht="16.5" hidden="1" customHeight="1">
      <c r="A78" s="68"/>
      <c r="B78" s="78"/>
      <c r="C78" s="95"/>
      <c r="D78" s="83"/>
      <c r="E78" s="83"/>
      <c r="F78" s="83"/>
      <c r="G78" s="84"/>
      <c r="H78" s="102"/>
      <c r="I78" s="106">
        <f t="shared" si="8"/>
        <v>0</v>
      </c>
      <c r="J78" s="85"/>
      <c r="K78" s="16"/>
      <c r="L78" s="1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66">
        <f t="shared" si="9"/>
        <v>0</v>
      </c>
      <c r="AM78" s="28" t="str">
        <f t="shared" si="10"/>
        <v>OK</v>
      </c>
    </row>
    <row r="79" spans="1:39" ht="16.5" hidden="1" customHeight="1">
      <c r="A79" s="87"/>
      <c r="B79" s="93"/>
      <c r="C79" s="94"/>
      <c r="D79" s="88"/>
      <c r="E79" s="88"/>
      <c r="F79" s="88"/>
      <c r="G79" s="89"/>
      <c r="H79" s="104"/>
      <c r="I79" s="105">
        <f t="shared" si="8"/>
        <v>0</v>
      </c>
      <c r="J79" s="90"/>
      <c r="K79" s="91"/>
      <c r="L79" s="113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5"/>
      <c r="AL79" s="92">
        <f t="shared" si="9"/>
        <v>0</v>
      </c>
      <c r="AM79" s="122" t="str">
        <f t="shared" si="10"/>
        <v>OK</v>
      </c>
    </row>
    <row r="80" spans="1:39" ht="16.5" hidden="1" customHeight="1">
      <c r="A80" s="68"/>
      <c r="B80" s="78"/>
      <c r="C80" s="95"/>
      <c r="D80" s="83"/>
      <c r="E80" s="83"/>
      <c r="F80" s="83"/>
      <c r="G80" s="84"/>
      <c r="H80" s="102"/>
      <c r="I80" s="106">
        <f t="shared" si="8"/>
        <v>0</v>
      </c>
      <c r="J80" s="85"/>
      <c r="K80" s="16"/>
      <c r="L80" s="116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66">
        <f t="shared" si="9"/>
        <v>0</v>
      </c>
      <c r="AM80" s="28" t="str">
        <f t="shared" si="10"/>
        <v>OK</v>
      </c>
    </row>
    <row r="81" spans="1:39" ht="16.5" hidden="1" customHeight="1">
      <c r="A81" s="87"/>
      <c r="B81" s="93"/>
      <c r="C81" s="94"/>
      <c r="D81" s="88"/>
      <c r="E81" s="88"/>
      <c r="F81" s="88"/>
      <c r="G81" s="89"/>
      <c r="H81" s="104"/>
      <c r="I81" s="105">
        <f t="shared" si="8"/>
        <v>0</v>
      </c>
      <c r="J81" s="90"/>
      <c r="K81" s="91"/>
      <c r="L81" s="113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5"/>
      <c r="AL81" s="92">
        <f t="shared" ref="AL81:AL88" si="11">SUM(L81:AK81)</f>
        <v>0</v>
      </c>
      <c r="AM81" s="122" t="str">
        <f t="shared" ref="AM81:AM88" si="12">IF(AL81=I81,"OK","NG")</f>
        <v>OK</v>
      </c>
    </row>
    <row r="82" spans="1:39" ht="16.5" hidden="1" customHeight="1">
      <c r="A82" s="68"/>
      <c r="B82" s="78"/>
      <c r="C82" s="95"/>
      <c r="D82" s="83"/>
      <c r="E82" s="83"/>
      <c r="F82" s="83"/>
      <c r="G82" s="84"/>
      <c r="H82" s="102"/>
      <c r="I82" s="106">
        <f t="shared" si="8"/>
        <v>0</v>
      </c>
      <c r="J82" s="85"/>
      <c r="K82" s="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66">
        <f t="shared" si="11"/>
        <v>0</v>
      </c>
      <c r="AM82" s="28" t="str">
        <f t="shared" si="12"/>
        <v>OK</v>
      </c>
    </row>
    <row r="83" spans="1:39" ht="16.5" hidden="1" customHeight="1">
      <c r="A83" s="96"/>
      <c r="B83" s="93"/>
      <c r="C83" s="94"/>
      <c r="D83" s="88"/>
      <c r="E83" s="88"/>
      <c r="F83" s="88"/>
      <c r="G83" s="89"/>
      <c r="H83" s="104"/>
      <c r="I83" s="105">
        <f t="shared" si="8"/>
        <v>0</v>
      </c>
      <c r="J83" s="90"/>
      <c r="K83" s="91"/>
      <c r="L83" s="113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5"/>
      <c r="AL83" s="92">
        <f t="shared" si="11"/>
        <v>0</v>
      </c>
      <c r="AM83" s="122" t="str">
        <f t="shared" si="12"/>
        <v>OK</v>
      </c>
    </row>
    <row r="84" spans="1:39" ht="16.5" hidden="1" customHeight="1">
      <c r="A84" s="68"/>
      <c r="B84" s="78"/>
      <c r="C84" s="95"/>
      <c r="D84" s="83"/>
      <c r="E84" s="83"/>
      <c r="F84" s="83"/>
      <c r="G84" s="84"/>
      <c r="H84" s="102"/>
      <c r="I84" s="106">
        <f t="shared" si="8"/>
        <v>0</v>
      </c>
      <c r="J84" s="85"/>
      <c r="K84" s="16"/>
      <c r="L84" s="116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66">
        <f t="shared" si="11"/>
        <v>0</v>
      </c>
      <c r="AM84" s="28" t="str">
        <f t="shared" si="12"/>
        <v>OK</v>
      </c>
    </row>
    <row r="85" spans="1:39" ht="16.5" hidden="1" customHeight="1">
      <c r="A85" s="87"/>
      <c r="B85" s="93"/>
      <c r="C85" s="94"/>
      <c r="D85" s="88"/>
      <c r="E85" s="88"/>
      <c r="F85" s="88"/>
      <c r="G85" s="89"/>
      <c r="H85" s="104"/>
      <c r="I85" s="105">
        <f t="shared" si="8"/>
        <v>0</v>
      </c>
      <c r="J85" s="90"/>
      <c r="K85" s="91"/>
      <c r="L85" s="113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5"/>
      <c r="AL85" s="92">
        <f t="shared" si="11"/>
        <v>0</v>
      </c>
      <c r="AM85" s="122" t="str">
        <f t="shared" si="12"/>
        <v>OK</v>
      </c>
    </row>
    <row r="86" spans="1:39" ht="16.5" hidden="1" customHeight="1">
      <c r="A86" s="68"/>
      <c r="B86" s="78"/>
      <c r="C86" s="95"/>
      <c r="D86" s="83"/>
      <c r="E86" s="83"/>
      <c r="F86" s="83"/>
      <c r="G86" s="84"/>
      <c r="H86" s="102"/>
      <c r="I86" s="106">
        <f t="shared" si="8"/>
        <v>0</v>
      </c>
      <c r="J86" s="85"/>
      <c r="K86" s="16"/>
      <c r="L86" s="116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66">
        <f t="shared" si="11"/>
        <v>0</v>
      </c>
      <c r="AM86" s="28" t="str">
        <f t="shared" si="12"/>
        <v>OK</v>
      </c>
    </row>
    <row r="87" spans="1:39" ht="16.5" hidden="1" customHeight="1">
      <c r="A87" s="87"/>
      <c r="B87" s="93"/>
      <c r="C87" s="94"/>
      <c r="D87" s="88"/>
      <c r="E87" s="88"/>
      <c r="F87" s="88"/>
      <c r="G87" s="89"/>
      <c r="H87" s="104"/>
      <c r="I87" s="105">
        <f t="shared" si="8"/>
        <v>0</v>
      </c>
      <c r="J87" s="90"/>
      <c r="K87" s="91"/>
      <c r="L87" s="113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5"/>
      <c r="AL87" s="92">
        <f t="shared" si="11"/>
        <v>0</v>
      </c>
      <c r="AM87" s="122" t="str">
        <f t="shared" si="12"/>
        <v>OK</v>
      </c>
    </row>
    <row r="88" spans="1:39" ht="16.5" hidden="1" customHeight="1">
      <c r="A88" s="68"/>
      <c r="B88" s="78"/>
      <c r="C88" s="95"/>
      <c r="D88" s="83"/>
      <c r="E88" s="83"/>
      <c r="F88" s="83"/>
      <c r="G88" s="84"/>
      <c r="H88" s="102"/>
      <c r="I88" s="106">
        <f t="shared" si="8"/>
        <v>0</v>
      </c>
      <c r="J88" s="85"/>
      <c r="K88" s="16"/>
      <c r="L88" s="116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66">
        <f t="shared" si="11"/>
        <v>0</v>
      </c>
      <c r="AM88" s="28" t="str">
        <f t="shared" si="12"/>
        <v>OK</v>
      </c>
    </row>
    <row r="89" spans="1:39" ht="16.5" hidden="1" customHeight="1">
      <c r="A89" s="87"/>
      <c r="B89" s="93"/>
      <c r="C89" s="94"/>
      <c r="D89" s="88"/>
      <c r="E89" s="88"/>
      <c r="F89" s="88"/>
      <c r="G89" s="89"/>
      <c r="H89" s="104"/>
      <c r="I89" s="105">
        <f t="shared" si="8"/>
        <v>0</v>
      </c>
      <c r="J89" s="90"/>
      <c r="K89" s="91"/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5"/>
      <c r="AL89" s="92">
        <f t="shared" ref="AL89:AL96" si="13">SUM(L89:AK89)</f>
        <v>0</v>
      </c>
      <c r="AM89" s="122" t="str">
        <f t="shared" ref="AM89:AM96" si="14">IF(AL89=I89,"OK","NG")</f>
        <v>OK</v>
      </c>
    </row>
    <row r="90" spans="1:39" ht="16.5" hidden="1" customHeight="1">
      <c r="A90" s="68"/>
      <c r="B90" s="78"/>
      <c r="C90" s="95"/>
      <c r="D90" s="83"/>
      <c r="E90" s="83"/>
      <c r="F90" s="83"/>
      <c r="G90" s="84"/>
      <c r="H90" s="102"/>
      <c r="I90" s="106">
        <f t="shared" si="8"/>
        <v>0</v>
      </c>
      <c r="J90" s="85"/>
      <c r="K90" s="16"/>
      <c r="L90" s="116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66">
        <f t="shared" si="13"/>
        <v>0</v>
      </c>
      <c r="AM90" s="28" t="str">
        <f t="shared" si="14"/>
        <v>OK</v>
      </c>
    </row>
    <row r="91" spans="1:39" ht="16.5" hidden="1" customHeight="1">
      <c r="A91" s="87"/>
      <c r="B91" s="93"/>
      <c r="C91" s="94"/>
      <c r="D91" s="88"/>
      <c r="E91" s="88"/>
      <c r="F91" s="88"/>
      <c r="G91" s="89"/>
      <c r="H91" s="104"/>
      <c r="I91" s="105">
        <f t="shared" si="8"/>
        <v>0</v>
      </c>
      <c r="J91" s="90"/>
      <c r="K91" s="91"/>
      <c r="L91" s="113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5"/>
      <c r="AL91" s="92">
        <f t="shared" si="13"/>
        <v>0</v>
      </c>
      <c r="AM91" s="122" t="str">
        <f t="shared" si="14"/>
        <v>OK</v>
      </c>
    </row>
    <row r="92" spans="1:39" ht="16.5" hidden="1" customHeight="1">
      <c r="A92" s="68"/>
      <c r="B92" s="78"/>
      <c r="C92" s="95"/>
      <c r="D92" s="83"/>
      <c r="E92" s="83"/>
      <c r="F92" s="83"/>
      <c r="G92" s="84"/>
      <c r="H92" s="102"/>
      <c r="I92" s="106">
        <f t="shared" si="8"/>
        <v>0</v>
      </c>
      <c r="J92" s="85"/>
      <c r="K92" s="16"/>
      <c r="L92" s="116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66">
        <f t="shared" si="13"/>
        <v>0</v>
      </c>
      <c r="AM92" s="28" t="str">
        <f t="shared" si="14"/>
        <v>OK</v>
      </c>
    </row>
    <row r="93" spans="1:39" ht="16.5" hidden="1" customHeight="1">
      <c r="A93" s="87"/>
      <c r="B93" s="93"/>
      <c r="C93" s="94"/>
      <c r="D93" s="88"/>
      <c r="E93" s="88"/>
      <c r="F93" s="88"/>
      <c r="G93" s="89"/>
      <c r="H93" s="104"/>
      <c r="I93" s="105">
        <f t="shared" si="8"/>
        <v>0</v>
      </c>
      <c r="J93" s="90"/>
      <c r="K93" s="91"/>
      <c r="L93" s="113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5"/>
      <c r="AL93" s="92">
        <f t="shared" si="13"/>
        <v>0</v>
      </c>
      <c r="AM93" s="122" t="str">
        <f t="shared" si="14"/>
        <v>OK</v>
      </c>
    </row>
    <row r="94" spans="1:39" ht="16.5" hidden="1" customHeight="1">
      <c r="A94" s="68"/>
      <c r="B94" s="78"/>
      <c r="C94" s="95"/>
      <c r="D94" s="83"/>
      <c r="E94" s="83"/>
      <c r="F94" s="83"/>
      <c r="G94" s="84"/>
      <c r="H94" s="102"/>
      <c r="I94" s="106">
        <f t="shared" si="8"/>
        <v>0</v>
      </c>
      <c r="J94" s="85"/>
      <c r="K94" s="16"/>
      <c r="L94" s="116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66">
        <f t="shared" si="13"/>
        <v>0</v>
      </c>
      <c r="AM94" s="28" t="str">
        <f t="shared" si="14"/>
        <v>OK</v>
      </c>
    </row>
    <row r="95" spans="1:39" ht="16.5" hidden="1" customHeight="1">
      <c r="A95" s="87"/>
      <c r="B95" s="93"/>
      <c r="C95" s="94"/>
      <c r="D95" s="88"/>
      <c r="E95" s="88"/>
      <c r="F95" s="88"/>
      <c r="G95" s="89"/>
      <c r="H95" s="104"/>
      <c r="I95" s="105">
        <f t="shared" si="8"/>
        <v>0</v>
      </c>
      <c r="J95" s="90"/>
      <c r="K95" s="91"/>
      <c r="L95" s="113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5"/>
      <c r="AL95" s="92">
        <f t="shared" si="13"/>
        <v>0</v>
      </c>
      <c r="AM95" s="122" t="str">
        <f t="shared" si="14"/>
        <v>OK</v>
      </c>
    </row>
    <row r="96" spans="1:39" ht="17.25" hidden="1" customHeight="1" thickBot="1">
      <c r="A96" s="97"/>
      <c r="B96" s="98"/>
      <c r="C96" s="99"/>
      <c r="D96" s="83"/>
      <c r="E96" s="83"/>
      <c r="F96" s="83"/>
      <c r="G96" s="84"/>
      <c r="H96" s="107"/>
      <c r="I96" s="108">
        <f t="shared" si="8"/>
        <v>0</v>
      </c>
      <c r="J96" s="85"/>
      <c r="K96" s="16"/>
      <c r="L96" s="119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1"/>
      <c r="AL96" s="66">
        <f t="shared" si="13"/>
        <v>0</v>
      </c>
      <c r="AM96" s="28" t="str">
        <f t="shared" si="14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20100</v>
      </c>
      <c r="I97" s="46">
        <f>SUM(I6:I96)</f>
        <v>28</v>
      </c>
      <c r="J97" s="47">
        <f>SUM(J6:J74)</f>
        <v>0</v>
      </c>
      <c r="K97" s="9"/>
      <c r="L97" s="45">
        <f>SUM(L6:L96)</f>
        <v>14</v>
      </c>
      <c r="M97" s="45">
        <f t="shared" ref="M97:AI97" si="15">SUM(M6:M96)</f>
        <v>0</v>
      </c>
      <c r="N97" s="45">
        <f t="shared" si="15"/>
        <v>0</v>
      </c>
      <c r="O97" s="45">
        <f t="shared" si="15"/>
        <v>0</v>
      </c>
      <c r="P97" s="45">
        <f t="shared" si="15"/>
        <v>0</v>
      </c>
      <c r="Q97" s="45">
        <f t="shared" si="15"/>
        <v>0</v>
      </c>
      <c r="R97" s="45">
        <f t="shared" si="15"/>
        <v>0</v>
      </c>
      <c r="S97" s="45">
        <f t="shared" si="15"/>
        <v>0</v>
      </c>
      <c r="T97" s="45">
        <f t="shared" si="15"/>
        <v>0</v>
      </c>
      <c r="U97" s="45">
        <f t="shared" si="15"/>
        <v>0</v>
      </c>
      <c r="V97" s="45">
        <f t="shared" si="15"/>
        <v>1</v>
      </c>
      <c r="W97" s="45">
        <f t="shared" si="15"/>
        <v>0</v>
      </c>
      <c r="X97" s="45">
        <f t="shared" si="15"/>
        <v>0</v>
      </c>
      <c r="Y97" s="45">
        <f t="shared" si="15"/>
        <v>2</v>
      </c>
      <c r="Z97" s="45">
        <f t="shared" si="15"/>
        <v>0</v>
      </c>
      <c r="AA97" s="45">
        <f t="shared" si="15"/>
        <v>0</v>
      </c>
      <c r="AB97" s="45">
        <f t="shared" si="15"/>
        <v>0</v>
      </c>
      <c r="AC97" s="45">
        <f t="shared" si="15"/>
        <v>3</v>
      </c>
      <c r="AD97" s="45">
        <f t="shared" si="15"/>
        <v>0</v>
      </c>
      <c r="AE97" s="45">
        <f t="shared" si="15"/>
        <v>0</v>
      </c>
      <c r="AF97" s="45">
        <f t="shared" si="15"/>
        <v>0</v>
      </c>
      <c r="AG97" s="45">
        <f t="shared" si="15"/>
        <v>2</v>
      </c>
      <c r="AH97" s="45">
        <f t="shared" si="15"/>
        <v>0</v>
      </c>
      <c r="AI97" s="45">
        <f t="shared" si="15"/>
        <v>6</v>
      </c>
      <c r="AJ97" s="49">
        <f>SUM(AJ6:AJ96)</f>
        <v>0</v>
      </c>
      <c r="AK97" s="61">
        <f>SUM(AK6:AK96)</f>
        <v>0</v>
      </c>
      <c r="AL97" s="67">
        <f>SUM(AL6:AL96)</f>
        <v>28</v>
      </c>
      <c r="AM97" s="48" t="str">
        <f>IF(AL97=SUM(I97),"OK","NG")</f>
        <v>OK</v>
      </c>
    </row>
    <row r="99" spans="1:39">
      <c r="I99" s="86"/>
      <c r="L99" s="144"/>
    </row>
    <row r="100" spans="1:39">
      <c r="N100" s="86"/>
    </row>
    <row r="103" spans="1:39">
      <c r="I103" s="86"/>
    </row>
  </sheetData>
  <autoFilter ref="A5:AM97" xr:uid="{00000000-0001-0000-1B00-000000000000}">
    <filterColumn colId="8">
      <filters>
        <filter val="1"/>
        <filter val="12"/>
        <filter val="2"/>
        <filter val="28"/>
        <filter val="3"/>
        <filter val="4"/>
        <filter val="5"/>
      </filters>
    </filterColumn>
  </autoFilter>
  <mergeCells count="37">
    <mergeCell ref="AM4:AM5"/>
    <mergeCell ref="AG4:AG5"/>
    <mergeCell ref="AH4:AH5"/>
    <mergeCell ref="AI4:AI5"/>
    <mergeCell ref="AJ4:AJ5"/>
    <mergeCell ref="AK4:AK5"/>
    <mergeCell ref="AL4:AL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B1:C1"/>
    <mergeCell ref="F1:G1"/>
    <mergeCell ref="H1:J3"/>
    <mergeCell ref="B2:C2"/>
    <mergeCell ref="AM2:AM3"/>
    <mergeCell ref="B3:C3"/>
  </mergeCells>
  <phoneticPr fontId="3" type="noConversion"/>
  <conditionalFormatting sqref="A4 AM6:AM97">
    <cfRule type="containsText" dxfId="11" priority="3" operator="containsText" text="NG">
      <formula>NOT(ISERROR(SEARCH("NG",A4)))</formula>
    </cfRule>
    <cfRule type="containsText" dxfId="10" priority="4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43" orientation="landscape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9" filterMode="1">
    <pageSetUpPr fitToPage="1"/>
  </sheetPr>
  <dimension ref="A1:AM107"/>
  <sheetViews>
    <sheetView showGridLines="0" topLeftCell="P1" zoomScale="85" zoomScaleNormal="85" workbookViewId="0">
      <pane ySplit="5" topLeftCell="A29" activePane="bottomLeft" state="frozen"/>
      <selection activeCell="P19" sqref="P19"/>
      <selection pane="bottomLeft" activeCell="L29" sqref="L29:AK71"/>
    </sheetView>
  </sheetViews>
  <sheetFormatPr defaultColWidth="9" defaultRowHeight="16.5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14" width="8.75"/>
    <col min="15" max="15" width="8.875" customWidth="1"/>
    <col min="16" max="16" width="8.75"/>
    <col min="17" max="20" width="9" customWidth="1"/>
    <col min="21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5" customHeight="1" thickBot="1">
      <c r="A1" s="37" t="s">
        <v>13</v>
      </c>
      <c r="B1" s="168">
        <f>H97</f>
        <v>32959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5" customHeight="1" thickBot="1">
      <c r="A2" s="37" t="s">
        <v>14</v>
      </c>
      <c r="B2" s="173">
        <f>I97</f>
        <v>21</v>
      </c>
      <c r="C2" s="174"/>
      <c r="D2" s="75"/>
      <c r="E2" s="71"/>
      <c r="F2" s="2"/>
      <c r="G2" s="2"/>
      <c r="H2" s="171"/>
      <c r="I2" s="171"/>
      <c r="J2" s="171"/>
      <c r="K2" s="3"/>
      <c r="L2" s="4">
        <f t="shared" ref="L2:AK2" si="0">SUBTOTAL(9,L6:L96)</f>
        <v>6</v>
      </c>
      <c r="M2" s="4">
        <f t="shared" si="0"/>
        <v>0</v>
      </c>
      <c r="N2" s="4">
        <f t="shared" si="0"/>
        <v>0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39">
        <f t="shared" si="0"/>
        <v>0</v>
      </c>
      <c r="U2" s="5">
        <f t="shared" si="0"/>
        <v>1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1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1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6</v>
      </c>
      <c r="AH2" s="5">
        <f t="shared" si="0"/>
        <v>0</v>
      </c>
      <c r="AI2" s="5">
        <f t="shared" si="0"/>
        <v>6</v>
      </c>
      <c r="AJ2" s="5">
        <f t="shared" si="0"/>
        <v>0</v>
      </c>
      <c r="AK2" s="59">
        <f t="shared" si="0"/>
        <v>0</v>
      </c>
      <c r="AL2" s="62">
        <f>SUBTOTAL(9,AL6:AL96)</f>
        <v>21</v>
      </c>
      <c r="AM2" s="175"/>
    </row>
    <row r="3" spans="1:39" customFormat="1" ht="22.5" customHeight="1" thickBot="1">
      <c r="A3" s="38" t="s">
        <v>15</v>
      </c>
      <c r="B3" s="177">
        <f>IF(ISERROR(B2/(B2+B1)*1000000),"",(B2/(B2+B1)*1000000))</f>
        <v>636.74954517889637</v>
      </c>
      <c r="C3" s="178"/>
      <c r="D3" s="73"/>
      <c r="E3" s="72"/>
      <c r="F3" s="32"/>
      <c r="G3" s="32"/>
      <c r="H3" s="172"/>
      <c r="I3" s="172"/>
      <c r="J3" s="172"/>
      <c r="K3" s="6"/>
      <c r="L3" s="7">
        <f t="shared" ref="L3:AK3" si="1">SUM(L6:L96)</f>
        <v>6</v>
      </c>
      <c r="M3" s="7">
        <f t="shared" si="1"/>
        <v>0</v>
      </c>
      <c r="N3" s="7">
        <f t="shared" si="1"/>
        <v>0</v>
      </c>
      <c r="O3" s="7">
        <f t="shared" si="1"/>
        <v>0</v>
      </c>
      <c r="P3" s="7">
        <f t="shared" si="1"/>
        <v>0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40">
        <f t="shared" si="1"/>
        <v>0</v>
      </c>
      <c r="U3" s="8">
        <f t="shared" si="1"/>
        <v>1</v>
      </c>
      <c r="V3" s="8">
        <f t="shared" si="1"/>
        <v>0</v>
      </c>
      <c r="W3" s="8">
        <f t="shared" si="1"/>
        <v>0</v>
      </c>
      <c r="X3" s="8">
        <f t="shared" si="1"/>
        <v>0</v>
      </c>
      <c r="Y3" s="8">
        <f t="shared" si="1"/>
        <v>1</v>
      </c>
      <c r="Z3" s="8">
        <f t="shared" si="1"/>
        <v>0</v>
      </c>
      <c r="AA3" s="8">
        <f t="shared" si="1"/>
        <v>0</v>
      </c>
      <c r="AB3" s="8">
        <f t="shared" si="1"/>
        <v>0</v>
      </c>
      <c r="AC3" s="8">
        <f t="shared" si="1"/>
        <v>1</v>
      </c>
      <c r="AD3" s="8">
        <f t="shared" si="1"/>
        <v>0</v>
      </c>
      <c r="AE3" s="8">
        <f t="shared" si="1"/>
        <v>0</v>
      </c>
      <c r="AF3" s="8">
        <f t="shared" si="1"/>
        <v>0</v>
      </c>
      <c r="AG3" s="8">
        <f t="shared" si="1"/>
        <v>6</v>
      </c>
      <c r="AH3" s="8">
        <f t="shared" si="1"/>
        <v>0</v>
      </c>
      <c r="AI3" s="8">
        <f t="shared" si="1"/>
        <v>6</v>
      </c>
      <c r="AJ3" s="8">
        <f t="shared" si="1"/>
        <v>0</v>
      </c>
      <c r="AK3" s="60">
        <f t="shared" si="1"/>
        <v>0</v>
      </c>
      <c r="AL3" s="63">
        <f>SUM(AL6:AL96)</f>
        <v>21</v>
      </c>
      <c r="AM3" s="176"/>
    </row>
    <row r="4" spans="1:39" customFormat="1" ht="43.5" customHeight="1">
      <c r="A4" s="163" t="str">
        <f>AM97</f>
        <v>OK</v>
      </c>
      <c r="B4" s="163"/>
      <c r="C4" s="163"/>
      <c r="D4" s="164"/>
      <c r="E4" s="165" t="s">
        <v>16</v>
      </c>
      <c r="F4" s="165"/>
      <c r="G4" s="165"/>
      <c r="H4" s="165" t="s">
        <v>17</v>
      </c>
      <c r="I4" s="165"/>
      <c r="J4" s="165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1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56" t="s">
        <v>12</v>
      </c>
      <c r="AL4" s="158" t="s">
        <v>36</v>
      </c>
      <c r="AM4" s="149" t="s">
        <v>37</v>
      </c>
    </row>
    <row r="5" spans="1:39" customFormat="1" ht="33.75" thickBot="1">
      <c r="A5" s="34" t="s">
        <v>3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138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6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3"/>
      <c r="AJ5" s="155"/>
      <c r="AK5" s="157"/>
      <c r="AL5" s="159"/>
      <c r="AM5" s="150"/>
    </row>
    <row r="6" spans="1:39" customFormat="1" hidden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34"/>
      <c r="I6" s="15">
        <f>SUM(L6:AK6)</f>
        <v>0</v>
      </c>
      <c r="J6" s="15"/>
      <c r="K6" s="16"/>
      <c r="L6" s="15"/>
      <c r="M6" s="15"/>
      <c r="N6" s="15"/>
      <c r="O6" s="15"/>
      <c r="P6" s="15"/>
      <c r="Q6" s="15"/>
      <c r="R6" s="15"/>
      <c r="S6" s="15"/>
      <c r="T6" s="41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3"/>
      <c r="AJ6" s="56"/>
      <c r="AK6" s="53"/>
      <c r="AL6" s="64">
        <f>SUM(L6:AK6)</f>
        <v>0</v>
      </c>
      <c r="AM6" s="31" t="str">
        <f t="shared" ref="AM6:AM74" si="2">IF(AL6=I6,"OK","NG")</f>
        <v>OK</v>
      </c>
    </row>
    <row r="7" spans="1:39" customFormat="1" hidden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135"/>
      <c r="I7" s="21">
        <f t="shared" ref="I7:I70" si="3">SUM(L7:AK7)</f>
        <v>0</v>
      </c>
      <c r="J7" s="21"/>
      <c r="K7" s="16"/>
      <c r="L7" s="21"/>
      <c r="M7" s="21"/>
      <c r="N7" s="21"/>
      <c r="O7" s="21"/>
      <c r="P7" s="21"/>
      <c r="Q7" s="21"/>
      <c r="R7" s="21"/>
      <c r="S7" s="21"/>
      <c r="T7" s="42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4"/>
      <c r="AJ7" s="57"/>
      <c r="AK7" s="54"/>
      <c r="AL7" s="65">
        <f t="shared" ref="AL7:AL74" si="4">SUM(L7:AK7)</f>
        <v>0</v>
      </c>
      <c r="AM7" s="22" t="str">
        <f t="shared" si="2"/>
        <v>OK</v>
      </c>
    </row>
    <row r="8" spans="1:39" customFormat="1" hidden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36"/>
      <c r="I8" s="27">
        <f t="shared" si="3"/>
        <v>0</v>
      </c>
      <c r="J8" s="27"/>
      <c r="K8" s="16"/>
      <c r="L8" s="27"/>
      <c r="M8" s="27"/>
      <c r="N8" s="27"/>
      <c r="O8" s="27"/>
      <c r="P8" s="27"/>
      <c r="Q8" s="27"/>
      <c r="R8" s="27"/>
      <c r="S8" s="27"/>
      <c r="T8" s="4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5"/>
      <c r="AJ8" s="58"/>
      <c r="AK8" s="55"/>
      <c r="AL8" s="66">
        <f t="shared" si="4"/>
        <v>0</v>
      </c>
      <c r="AM8" s="28" t="str">
        <f t="shared" si="2"/>
        <v>OK</v>
      </c>
    </row>
    <row r="9" spans="1:39" customFormat="1" hidden="1">
      <c r="A9" s="17" t="s">
        <v>68</v>
      </c>
      <c r="B9" s="77">
        <v>10897</v>
      </c>
      <c r="C9" s="17" t="s">
        <v>62</v>
      </c>
      <c r="D9" s="69"/>
      <c r="E9" s="18"/>
      <c r="F9" s="18"/>
      <c r="G9" s="19"/>
      <c r="H9" s="135"/>
      <c r="I9" s="21">
        <f t="shared" si="3"/>
        <v>0</v>
      </c>
      <c r="J9" s="21"/>
      <c r="K9" s="16"/>
      <c r="L9" s="21"/>
      <c r="M9" s="21"/>
      <c r="N9" s="21"/>
      <c r="O9" s="21"/>
      <c r="P9" s="21"/>
      <c r="Q9" s="21"/>
      <c r="R9" s="21"/>
      <c r="S9" s="21"/>
      <c r="T9" s="42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4"/>
      <c r="AJ9" s="57"/>
      <c r="AK9" s="54"/>
      <c r="AL9" s="65">
        <f t="shared" si="4"/>
        <v>0</v>
      </c>
      <c r="AM9" s="22" t="str">
        <f t="shared" si="2"/>
        <v>OK</v>
      </c>
    </row>
    <row r="10" spans="1:39" customFormat="1" hidden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36"/>
      <c r="I10" s="27">
        <f t="shared" si="3"/>
        <v>0</v>
      </c>
      <c r="J10" s="27"/>
      <c r="K10" s="16"/>
      <c r="L10" s="27"/>
      <c r="M10" s="27"/>
      <c r="N10" s="27"/>
      <c r="O10" s="27"/>
      <c r="P10" s="27"/>
      <c r="Q10" s="27"/>
      <c r="R10" s="27"/>
      <c r="S10" s="27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5"/>
      <c r="AJ10" s="58"/>
      <c r="AK10" s="55"/>
      <c r="AL10" s="66">
        <f t="shared" si="4"/>
        <v>0</v>
      </c>
      <c r="AM10" s="28" t="str">
        <f t="shared" si="2"/>
        <v>OK</v>
      </c>
    </row>
    <row r="11" spans="1:39" customFormat="1" hidden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135"/>
      <c r="I11" s="21">
        <f t="shared" si="3"/>
        <v>0</v>
      </c>
      <c r="J11" s="21"/>
      <c r="K11" s="16"/>
      <c r="L11" s="21"/>
      <c r="M11" s="21"/>
      <c r="N11" s="21"/>
      <c r="O11" s="21"/>
      <c r="P11" s="21"/>
      <c r="Q11" s="21"/>
      <c r="R11" s="21"/>
      <c r="S11" s="21"/>
      <c r="T11" s="42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4"/>
      <c r="AJ11" s="57"/>
      <c r="AK11" s="54"/>
      <c r="AL11" s="65">
        <f t="shared" si="4"/>
        <v>0</v>
      </c>
      <c r="AM11" s="22" t="str">
        <f t="shared" si="2"/>
        <v>OK</v>
      </c>
    </row>
    <row r="12" spans="1:39" customFormat="1" hidden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36"/>
      <c r="I12" s="27">
        <f t="shared" si="3"/>
        <v>0</v>
      </c>
      <c r="J12" s="27"/>
      <c r="K12" s="16"/>
      <c r="L12" s="27"/>
      <c r="M12" s="27"/>
      <c r="N12" s="27"/>
      <c r="O12" s="27"/>
      <c r="P12" s="27"/>
      <c r="Q12" s="27"/>
      <c r="R12" s="27"/>
      <c r="S12" s="27"/>
      <c r="T12" s="43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8"/>
      <c r="AK12" s="55"/>
      <c r="AL12" s="66">
        <f t="shared" si="4"/>
        <v>0</v>
      </c>
      <c r="AM12" s="28" t="str">
        <f t="shared" si="2"/>
        <v>OK</v>
      </c>
    </row>
    <row r="13" spans="1:39" customFormat="1" hidden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135"/>
      <c r="I13" s="21">
        <f t="shared" si="3"/>
        <v>0</v>
      </c>
      <c r="J13" s="21"/>
      <c r="K13" s="16"/>
      <c r="L13" s="21"/>
      <c r="M13" s="21"/>
      <c r="N13" s="21"/>
      <c r="O13" s="21"/>
      <c r="P13" s="21"/>
      <c r="Q13" s="21"/>
      <c r="R13" s="21"/>
      <c r="S13" s="21"/>
      <c r="T13" s="4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4"/>
      <c r="AJ13" s="57"/>
      <c r="AK13" s="54"/>
      <c r="AL13" s="65">
        <f t="shared" si="4"/>
        <v>0</v>
      </c>
      <c r="AM13" s="22" t="str">
        <f t="shared" si="2"/>
        <v>OK</v>
      </c>
    </row>
    <row r="14" spans="1:39" customFormat="1" hidden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36"/>
      <c r="I14" s="27">
        <f t="shared" si="3"/>
        <v>0</v>
      </c>
      <c r="J14" s="27"/>
      <c r="K14" s="16"/>
      <c r="L14" s="27"/>
      <c r="M14" s="27"/>
      <c r="N14" s="27"/>
      <c r="O14" s="27"/>
      <c r="P14" s="27"/>
      <c r="Q14" s="27"/>
      <c r="R14" s="27"/>
      <c r="S14" s="27"/>
      <c r="T14" s="43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5"/>
      <c r="AJ14" s="58"/>
      <c r="AK14" s="55"/>
      <c r="AL14" s="66">
        <f t="shared" si="4"/>
        <v>0</v>
      </c>
      <c r="AM14" s="28" t="str">
        <f t="shared" si="2"/>
        <v>OK</v>
      </c>
    </row>
    <row r="15" spans="1:39" customFormat="1" hidden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135"/>
      <c r="I15" s="21">
        <f t="shared" si="3"/>
        <v>0</v>
      </c>
      <c r="J15" s="21"/>
      <c r="K15" s="16"/>
      <c r="L15" s="21"/>
      <c r="M15" s="21"/>
      <c r="N15" s="21"/>
      <c r="O15" s="21"/>
      <c r="P15" s="21"/>
      <c r="Q15" s="21"/>
      <c r="R15" s="21"/>
      <c r="S15" s="21"/>
      <c r="T15" s="42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4"/>
      <c r="AJ15" s="57"/>
      <c r="AK15" s="54"/>
      <c r="AL15" s="65">
        <f t="shared" si="4"/>
        <v>0</v>
      </c>
      <c r="AM15" s="22" t="str">
        <f t="shared" si="2"/>
        <v>OK</v>
      </c>
    </row>
    <row r="16" spans="1:39" customFormat="1" hidden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36"/>
      <c r="I16" s="27">
        <f t="shared" si="3"/>
        <v>0</v>
      </c>
      <c r="J16" s="27"/>
      <c r="K16" s="16"/>
      <c r="L16" s="27"/>
      <c r="M16" s="27"/>
      <c r="N16" s="27"/>
      <c r="O16" s="27"/>
      <c r="P16" s="27"/>
      <c r="Q16" s="27"/>
      <c r="R16" s="27"/>
      <c r="S16" s="27"/>
      <c r="T16" s="43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8"/>
      <c r="AK16" s="55"/>
      <c r="AL16" s="66">
        <f t="shared" si="4"/>
        <v>0</v>
      </c>
      <c r="AM16" s="28" t="str">
        <f t="shared" si="2"/>
        <v>OK</v>
      </c>
    </row>
    <row r="17" spans="1:39" customFormat="1" hidden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135"/>
      <c r="I17" s="21">
        <f t="shared" si="3"/>
        <v>0</v>
      </c>
      <c r="J17" s="21"/>
      <c r="K17" s="16"/>
      <c r="L17" s="21"/>
      <c r="M17" s="21"/>
      <c r="N17" s="21"/>
      <c r="O17" s="21"/>
      <c r="P17" s="21"/>
      <c r="Q17" s="21"/>
      <c r="R17" s="21"/>
      <c r="S17" s="21"/>
      <c r="T17" s="42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4"/>
      <c r="AJ17" s="57"/>
      <c r="AK17" s="54"/>
      <c r="AL17" s="65">
        <f t="shared" si="4"/>
        <v>0</v>
      </c>
      <c r="AM17" s="22" t="str">
        <f t="shared" si="2"/>
        <v>OK</v>
      </c>
    </row>
    <row r="18" spans="1:39" customFormat="1" hidden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36"/>
      <c r="I18" s="27">
        <f t="shared" si="3"/>
        <v>0</v>
      </c>
      <c r="J18" s="27"/>
      <c r="K18" s="16"/>
      <c r="L18" s="27"/>
      <c r="M18" s="27"/>
      <c r="N18" s="27"/>
      <c r="O18" s="27"/>
      <c r="P18" s="27"/>
      <c r="Q18" s="27"/>
      <c r="R18" s="27"/>
      <c r="S18" s="27"/>
      <c r="T18" s="43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8"/>
      <c r="AK18" s="55"/>
      <c r="AL18" s="66">
        <f t="shared" si="4"/>
        <v>0</v>
      </c>
      <c r="AM18" s="28" t="str">
        <f t="shared" si="2"/>
        <v>OK</v>
      </c>
    </row>
    <row r="19" spans="1:39" customFormat="1" hidden="1">
      <c r="A19" s="17" t="s">
        <v>91</v>
      </c>
      <c r="B19" s="77">
        <v>14988</v>
      </c>
      <c r="C19" s="17" t="s">
        <v>64</v>
      </c>
      <c r="D19" s="69"/>
      <c r="E19" s="18"/>
      <c r="F19" s="18"/>
      <c r="G19" s="19"/>
      <c r="H19" s="135">
        <f>1080+960+2760+3020+4800</f>
        <v>12620</v>
      </c>
      <c r="I19" s="21">
        <f t="shared" si="3"/>
        <v>0</v>
      </c>
      <c r="J19" s="21"/>
      <c r="K19" s="16"/>
      <c r="L19" s="21"/>
      <c r="M19" s="21"/>
      <c r="N19" s="21"/>
      <c r="O19" s="21"/>
      <c r="P19" s="21"/>
      <c r="Q19" s="21"/>
      <c r="R19" s="21"/>
      <c r="S19" s="21"/>
      <c r="T19" s="42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4"/>
      <c r="AJ19" s="57"/>
      <c r="AK19" s="54"/>
      <c r="AL19" s="65">
        <f t="shared" si="4"/>
        <v>0</v>
      </c>
      <c r="AM19" s="22" t="str">
        <f t="shared" si="2"/>
        <v>OK</v>
      </c>
    </row>
    <row r="20" spans="1:39" customFormat="1" hidden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136"/>
      <c r="I20" s="27">
        <f t="shared" si="3"/>
        <v>0</v>
      </c>
      <c r="J20" s="27"/>
      <c r="K20" s="16"/>
      <c r="L20" s="27"/>
      <c r="M20" s="27"/>
      <c r="N20" s="27"/>
      <c r="O20" s="27"/>
      <c r="P20" s="27"/>
      <c r="Q20" s="27"/>
      <c r="R20" s="27"/>
      <c r="S20" s="27"/>
      <c r="T20" s="43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8"/>
      <c r="AK20" s="55"/>
      <c r="AL20" s="66">
        <f t="shared" si="4"/>
        <v>0</v>
      </c>
      <c r="AM20" s="28" t="str">
        <f t="shared" si="2"/>
        <v>OK</v>
      </c>
    </row>
    <row r="21" spans="1:39" customFormat="1" hidden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135"/>
      <c r="I21" s="21">
        <f t="shared" si="3"/>
        <v>0</v>
      </c>
      <c r="J21" s="21"/>
      <c r="K21" s="16"/>
      <c r="L21" s="21"/>
      <c r="M21" s="21"/>
      <c r="N21" s="21"/>
      <c r="O21" s="21"/>
      <c r="P21" s="21"/>
      <c r="Q21" s="21"/>
      <c r="R21" s="21"/>
      <c r="S21" s="21"/>
      <c r="T21" s="4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4"/>
      <c r="AJ21" s="57"/>
      <c r="AK21" s="54"/>
      <c r="AL21" s="65">
        <f t="shared" si="4"/>
        <v>0</v>
      </c>
      <c r="AM21" s="22" t="str">
        <f t="shared" si="2"/>
        <v>OK</v>
      </c>
    </row>
    <row r="22" spans="1:39" customFormat="1" hidden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36">
        <f>1600+800</f>
        <v>2400</v>
      </c>
      <c r="I22" s="27">
        <f t="shared" si="3"/>
        <v>0</v>
      </c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43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5"/>
      <c r="AJ22" s="58"/>
      <c r="AK22" s="55"/>
      <c r="AL22" s="66">
        <f t="shared" si="4"/>
        <v>0</v>
      </c>
      <c r="AM22" s="28" t="str">
        <f t="shared" si="2"/>
        <v>OK</v>
      </c>
    </row>
    <row r="23" spans="1:39" customFormat="1" hidden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135"/>
      <c r="I23" s="21">
        <f t="shared" si="3"/>
        <v>0</v>
      </c>
      <c r="J23" s="21"/>
      <c r="K23" s="16"/>
      <c r="L23" s="21"/>
      <c r="M23" s="21"/>
      <c r="N23" s="21"/>
      <c r="O23" s="21"/>
      <c r="P23" s="21"/>
      <c r="Q23" s="21"/>
      <c r="R23" s="21"/>
      <c r="S23" s="21"/>
      <c r="T23" s="42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7"/>
      <c r="AK23" s="54"/>
      <c r="AL23" s="65">
        <f>SUM(L23:AK23)</f>
        <v>0</v>
      </c>
      <c r="AM23" s="22" t="str">
        <f t="shared" si="2"/>
        <v>OK</v>
      </c>
    </row>
    <row r="24" spans="1:39" customFormat="1" hidden="1">
      <c r="A24" s="68" t="s">
        <v>44</v>
      </c>
      <c r="B24" s="78">
        <v>10163</v>
      </c>
      <c r="C24" s="23" t="s">
        <v>45</v>
      </c>
      <c r="D24" s="24"/>
      <c r="E24" s="24"/>
      <c r="F24" s="24"/>
      <c r="G24" s="25"/>
      <c r="H24" s="136">
        <v>672</v>
      </c>
      <c r="I24" s="27">
        <f t="shared" si="3"/>
        <v>0</v>
      </c>
      <c r="J24" s="27"/>
      <c r="K24" s="16"/>
      <c r="L24" s="27"/>
      <c r="M24" s="27"/>
      <c r="N24" s="27"/>
      <c r="O24" s="27"/>
      <c r="P24" s="27"/>
      <c r="Q24" s="27"/>
      <c r="R24" s="27"/>
      <c r="S24" s="27"/>
      <c r="T24" s="43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5"/>
      <c r="AJ24" s="58"/>
      <c r="AK24" s="55"/>
      <c r="AL24" s="66">
        <f t="shared" si="4"/>
        <v>0</v>
      </c>
      <c r="AM24" s="28" t="str">
        <f t="shared" si="2"/>
        <v>OK</v>
      </c>
    </row>
    <row r="25" spans="1:39" customFormat="1" hidden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135"/>
      <c r="I25" s="21">
        <f t="shared" si="3"/>
        <v>0</v>
      </c>
      <c r="J25" s="21"/>
      <c r="K25" s="16"/>
      <c r="L25" s="21"/>
      <c r="M25" s="21"/>
      <c r="N25" s="21"/>
      <c r="O25" s="21"/>
      <c r="P25" s="21"/>
      <c r="Q25" s="21"/>
      <c r="R25" s="21"/>
      <c r="S25" s="21"/>
      <c r="T25" s="42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4"/>
      <c r="AJ25" s="57"/>
      <c r="AK25" s="54"/>
      <c r="AL25" s="65">
        <f t="shared" si="4"/>
        <v>0</v>
      </c>
      <c r="AM25" s="22" t="str">
        <f t="shared" si="2"/>
        <v>OK</v>
      </c>
    </row>
    <row r="26" spans="1:39" customFormat="1" hidden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36"/>
      <c r="I26" s="27">
        <f t="shared" si="3"/>
        <v>0</v>
      </c>
      <c r="J26" s="27"/>
      <c r="K26" s="16"/>
      <c r="L26" s="27"/>
      <c r="M26" s="27"/>
      <c r="N26" s="27"/>
      <c r="O26" s="27"/>
      <c r="P26" s="27"/>
      <c r="Q26" s="27"/>
      <c r="R26" s="27"/>
      <c r="S26" s="27"/>
      <c r="T26" s="43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8"/>
      <c r="AK26" s="55"/>
      <c r="AL26" s="66">
        <f t="shared" si="4"/>
        <v>0</v>
      </c>
      <c r="AM26" s="28" t="str">
        <f t="shared" si="2"/>
        <v>OK</v>
      </c>
    </row>
    <row r="27" spans="1:39" customFormat="1" hidden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135"/>
      <c r="I27" s="21">
        <f t="shared" si="3"/>
        <v>0</v>
      </c>
      <c r="J27" s="21"/>
      <c r="K27" s="16"/>
      <c r="L27" s="21"/>
      <c r="M27" s="21"/>
      <c r="N27" s="21"/>
      <c r="O27" s="21"/>
      <c r="P27" s="21"/>
      <c r="Q27" s="21"/>
      <c r="R27" s="21"/>
      <c r="S27" s="21"/>
      <c r="T27" s="4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7"/>
      <c r="AK27" s="54"/>
      <c r="AL27" s="65">
        <f t="shared" si="4"/>
        <v>0</v>
      </c>
      <c r="AM27" s="22" t="str">
        <f t="shared" si="2"/>
        <v>OK</v>
      </c>
    </row>
    <row r="28" spans="1:39" customFormat="1" hidden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136"/>
      <c r="I28" s="27">
        <f t="shared" si="3"/>
        <v>0</v>
      </c>
      <c r="J28" s="27"/>
      <c r="K28" s="16"/>
      <c r="L28" s="27"/>
      <c r="M28" s="27"/>
      <c r="N28" s="27"/>
      <c r="O28" s="27"/>
      <c r="P28" s="27"/>
      <c r="Q28" s="27"/>
      <c r="R28" s="27"/>
      <c r="S28" s="27"/>
      <c r="T28" s="43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5"/>
      <c r="AJ28" s="58"/>
      <c r="AK28" s="55"/>
      <c r="AL28" s="66">
        <f t="shared" si="4"/>
        <v>0</v>
      </c>
      <c r="AM28" s="28" t="str">
        <f t="shared" si="2"/>
        <v>OK</v>
      </c>
    </row>
    <row r="29" spans="1:39" customFormat="1">
      <c r="A29" s="80" t="s">
        <v>71</v>
      </c>
      <c r="B29" s="77">
        <v>10151</v>
      </c>
      <c r="C29" s="17" t="s">
        <v>51</v>
      </c>
      <c r="D29" s="69"/>
      <c r="E29" s="18"/>
      <c r="F29" s="18"/>
      <c r="G29" s="19"/>
      <c r="H29" s="135">
        <v>1320</v>
      </c>
      <c r="I29" s="21">
        <f t="shared" si="3"/>
        <v>1</v>
      </c>
      <c r="J29" s="21"/>
      <c r="K29" s="16"/>
      <c r="L29" s="21"/>
      <c r="M29" s="21"/>
      <c r="N29" s="21"/>
      <c r="O29" s="21"/>
      <c r="P29" s="21"/>
      <c r="Q29" s="21"/>
      <c r="R29" s="21"/>
      <c r="S29" s="21"/>
      <c r="T29" s="42"/>
      <c r="U29" s="51"/>
      <c r="V29" s="51"/>
      <c r="W29" s="51"/>
      <c r="X29" s="51"/>
      <c r="Y29" s="51">
        <v>1</v>
      </c>
      <c r="Z29" s="51"/>
      <c r="AA29" s="51"/>
      <c r="AB29" s="51"/>
      <c r="AC29" s="51"/>
      <c r="AD29" s="51"/>
      <c r="AE29" s="51"/>
      <c r="AF29" s="51"/>
      <c r="AG29" s="51"/>
      <c r="AH29" s="51"/>
      <c r="AI29" s="54"/>
      <c r="AJ29" s="57"/>
      <c r="AK29" s="54"/>
      <c r="AL29" s="65">
        <f t="shared" si="4"/>
        <v>1</v>
      </c>
      <c r="AM29" s="22" t="str">
        <f t="shared" si="2"/>
        <v>OK</v>
      </c>
    </row>
    <row r="30" spans="1:39" customFormat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137">
        <f>289+1296</f>
        <v>1585</v>
      </c>
      <c r="I30" s="27">
        <f t="shared" si="3"/>
        <v>2</v>
      </c>
      <c r="J30" s="27"/>
      <c r="K30" s="16"/>
      <c r="L30" s="27">
        <v>2</v>
      </c>
      <c r="M30" s="27"/>
      <c r="N30" s="27"/>
      <c r="O30" s="27"/>
      <c r="P30" s="27"/>
      <c r="Q30" s="27"/>
      <c r="R30" s="27"/>
      <c r="S30" s="27"/>
      <c r="T30" s="43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5"/>
      <c r="AJ30" s="58"/>
      <c r="AK30" s="55"/>
      <c r="AL30" s="66">
        <f t="shared" si="4"/>
        <v>2</v>
      </c>
      <c r="AM30" s="28" t="str">
        <f t="shared" si="2"/>
        <v>OK</v>
      </c>
    </row>
    <row r="31" spans="1:39" customFormat="1" hidden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135"/>
      <c r="I31" s="21">
        <f t="shared" si="3"/>
        <v>0</v>
      </c>
      <c r="J31" s="21"/>
      <c r="K31" s="16"/>
      <c r="L31" s="21"/>
      <c r="M31" s="21"/>
      <c r="N31" s="21"/>
      <c r="O31" s="21"/>
      <c r="P31" s="21"/>
      <c r="Q31" s="21"/>
      <c r="R31" s="21"/>
      <c r="S31" s="21"/>
      <c r="T31" s="4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7"/>
      <c r="AK31" s="54"/>
      <c r="AL31" s="65">
        <f t="shared" si="4"/>
        <v>0</v>
      </c>
      <c r="AM31" s="22" t="str">
        <f t="shared" si="2"/>
        <v>OK</v>
      </c>
    </row>
    <row r="32" spans="1:39" customFormat="1" hidden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136"/>
      <c r="I32" s="27">
        <f t="shared" si="3"/>
        <v>0</v>
      </c>
      <c r="J32" s="27"/>
      <c r="K32" s="16"/>
      <c r="L32" s="27"/>
      <c r="M32" s="27"/>
      <c r="N32" s="27"/>
      <c r="O32" s="27"/>
      <c r="P32" s="27"/>
      <c r="Q32" s="27"/>
      <c r="R32" s="27"/>
      <c r="S32" s="27"/>
      <c r="T32" s="43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5"/>
      <c r="AJ32" s="58"/>
      <c r="AK32" s="55"/>
      <c r="AL32" s="66">
        <f t="shared" si="4"/>
        <v>0</v>
      </c>
      <c r="AM32" s="28" t="str">
        <f t="shared" si="2"/>
        <v>OK</v>
      </c>
    </row>
    <row r="33" spans="1:39" customFormat="1" hidden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135"/>
      <c r="I33" s="21">
        <f t="shared" si="3"/>
        <v>0</v>
      </c>
      <c r="J33" s="21"/>
      <c r="K33" s="16"/>
      <c r="L33" s="21"/>
      <c r="M33" s="21"/>
      <c r="N33" s="21"/>
      <c r="O33" s="21"/>
      <c r="P33" s="21"/>
      <c r="Q33" s="21"/>
      <c r="R33" s="21"/>
      <c r="S33" s="21"/>
      <c r="T33" s="42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4"/>
      <c r="AJ33" s="57"/>
      <c r="AK33" s="54"/>
      <c r="AL33" s="65">
        <f t="shared" si="4"/>
        <v>0</v>
      </c>
      <c r="AM33" s="22" t="str">
        <f t="shared" si="2"/>
        <v>OK</v>
      </c>
    </row>
    <row r="34" spans="1:39" customFormat="1" hidden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136">
        <f>484+150</f>
        <v>634</v>
      </c>
      <c r="I34" s="27">
        <f t="shared" si="3"/>
        <v>0</v>
      </c>
      <c r="J34" s="27"/>
      <c r="K34" s="16"/>
      <c r="L34" s="27"/>
      <c r="M34" s="27"/>
      <c r="N34" s="27"/>
      <c r="O34" s="27"/>
      <c r="P34" s="27"/>
      <c r="Q34" s="27"/>
      <c r="R34" s="27"/>
      <c r="S34" s="27"/>
      <c r="T34" s="43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5"/>
      <c r="AJ34" s="58"/>
      <c r="AK34" s="55"/>
      <c r="AL34" s="66">
        <f t="shared" si="4"/>
        <v>0</v>
      </c>
      <c r="AM34" s="28" t="str">
        <f t="shared" si="2"/>
        <v>OK</v>
      </c>
    </row>
    <row r="35" spans="1:39" customFormat="1" hidden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141"/>
      <c r="I35" s="21">
        <f t="shared" si="3"/>
        <v>0</v>
      </c>
      <c r="J35" s="21"/>
      <c r="K35" s="16"/>
      <c r="L35" s="21"/>
      <c r="M35" s="21"/>
      <c r="N35" s="21"/>
      <c r="O35" s="21"/>
      <c r="P35" s="21"/>
      <c r="Q35" s="21"/>
      <c r="R35" s="21"/>
      <c r="S35" s="21"/>
      <c r="T35" s="42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4"/>
      <c r="AJ35" s="57"/>
      <c r="AK35" s="54"/>
      <c r="AL35" s="65">
        <f t="shared" si="4"/>
        <v>0</v>
      </c>
      <c r="AM35" s="22" t="str">
        <f t="shared" si="2"/>
        <v>OK</v>
      </c>
    </row>
    <row r="36" spans="1:39" customFormat="1" hidden="1">
      <c r="A36" s="68" t="s">
        <v>76</v>
      </c>
      <c r="B36" s="78">
        <v>10135</v>
      </c>
      <c r="C36" s="23" t="s">
        <v>56</v>
      </c>
      <c r="D36" s="24"/>
      <c r="E36" s="24"/>
      <c r="F36" s="24"/>
      <c r="G36" s="25"/>
      <c r="H36" s="136"/>
      <c r="I36" s="27">
        <f t="shared" si="3"/>
        <v>0</v>
      </c>
      <c r="J36" s="27"/>
      <c r="K36" s="16"/>
      <c r="L36" s="27"/>
      <c r="M36" s="27"/>
      <c r="N36" s="27"/>
      <c r="O36" s="27"/>
      <c r="P36" s="27"/>
      <c r="Q36" s="27"/>
      <c r="R36" s="27"/>
      <c r="S36" s="27"/>
      <c r="T36" s="43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5"/>
      <c r="AJ36" s="58"/>
      <c r="AK36" s="55"/>
      <c r="AL36" s="66">
        <f t="shared" si="4"/>
        <v>0</v>
      </c>
      <c r="AM36" s="28" t="str">
        <f t="shared" si="2"/>
        <v>OK</v>
      </c>
    </row>
    <row r="37" spans="1:39" customFormat="1" hidden="1">
      <c r="A37" s="80" t="s">
        <v>77</v>
      </c>
      <c r="B37" s="77">
        <v>10133</v>
      </c>
      <c r="C37" s="17" t="s">
        <v>55</v>
      </c>
      <c r="D37" s="69"/>
      <c r="E37" s="18"/>
      <c r="F37" s="18"/>
      <c r="G37" s="19"/>
      <c r="H37" s="135"/>
      <c r="I37" s="21">
        <f t="shared" si="3"/>
        <v>0</v>
      </c>
      <c r="J37" s="21"/>
      <c r="K37" s="16"/>
      <c r="L37" s="21"/>
      <c r="M37" s="21"/>
      <c r="N37" s="21"/>
      <c r="O37" s="21"/>
      <c r="P37" s="21"/>
      <c r="Q37" s="21"/>
      <c r="R37" s="21"/>
      <c r="S37" s="21"/>
      <c r="T37" s="42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4"/>
      <c r="AJ37" s="57"/>
      <c r="AK37" s="54"/>
      <c r="AL37" s="65">
        <f t="shared" si="4"/>
        <v>0</v>
      </c>
      <c r="AM37" s="22" t="str">
        <f t="shared" si="2"/>
        <v>OK</v>
      </c>
    </row>
    <row r="38" spans="1:39" customFormat="1">
      <c r="A38" s="68" t="s">
        <v>78</v>
      </c>
      <c r="B38" s="78">
        <v>10131</v>
      </c>
      <c r="C38" s="23" t="s">
        <v>56</v>
      </c>
      <c r="D38" s="24"/>
      <c r="E38" s="24"/>
      <c r="F38" s="24"/>
      <c r="G38" s="25"/>
      <c r="H38" s="136">
        <f>1020+420+550</f>
        <v>1990</v>
      </c>
      <c r="I38" s="27">
        <f t="shared" si="3"/>
        <v>1</v>
      </c>
      <c r="J38" s="27"/>
      <c r="K38" s="16"/>
      <c r="L38" s="27"/>
      <c r="M38" s="27"/>
      <c r="N38" s="27"/>
      <c r="O38" s="27"/>
      <c r="P38" s="27"/>
      <c r="Q38" s="27"/>
      <c r="R38" s="27"/>
      <c r="S38" s="27"/>
      <c r="T38" s="43"/>
      <c r="U38" s="52"/>
      <c r="V38" s="52"/>
      <c r="W38" s="52"/>
      <c r="X38" s="52"/>
      <c r="Y38" s="52"/>
      <c r="Z38" s="52"/>
      <c r="AA38" s="52"/>
      <c r="AB38" s="52"/>
      <c r="AC38" s="52">
        <v>1</v>
      </c>
      <c r="AD38" s="52"/>
      <c r="AE38" s="52"/>
      <c r="AF38" s="52"/>
      <c r="AG38" s="52"/>
      <c r="AH38" s="52"/>
      <c r="AI38" s="55"/>
      <c r="AJ38" s="58"/>
      <c r="AK38" s="55"/>
      <c r="AL38" s="66">
        <f t="shared" ref="AL38:AL50" si="5">SUM(L38:AK38)</f>
        <v>1</v>
      </c>
      <c r="AM38" s="28" t="str">
        <f t="shared" si="2"/>
        <v>OK</v>
      </c>
    </row>
    <row r="39" spans="1:39" customFormat="1" hidden="1">
      <c r="A39" s="17" t="s">
        <v>79</v>
      </c>
      <c r="B39" s="77">
        <v>10129</v>
      </c>
      <c r="C39" s="17" t="s">
        <v>57</v>
      </c>
      <c r="D39" s="69"/>
      <c r="E39" s="18"/>
      <c r="F39" s="18"/>
      <c r="G39" s="19"/>
      <c r="H39" s="135"/>
      <c r="I39" s="21">
        <f t="shared" si="3"/>
        <v>0</v>
      </c>
      <c r="J39" s="21"/>
      <c r="K39" s="16"/>
      <c r="L39" s="21"/>
      <c r="M39" s="21"/>
      <c r="N39" s="21"/>
      <c r="O39" s="21"/>
      <c r="P39" s="21"/>
      <c r="Q39" s="21"/>
      <c r="R39" s="21"/>
      <c r="S39" s="21"/>
      <c r="T39" s="42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4"/>
      <c r="AJ39" s="57"/>
      <c r="AK39" s="54"/>
      <c r="AL39" s="65">
        <f t="shared" si="5"/>
        <v>0</v>
      </c>
      <c r="AM39" s="22" t="str">
        <f t="shared" si="2"/>
        <v>OK</v>
      </c>
    </row>
    <row r="40" spans="1:39" customFormat="1">
      <c r="A40" s="68" t="s">
        <v>80</v>
      </c>
      <c r="B40" s="78">
        <v>10127</v>
      </c>
      <c r="C40" s="23" t="s">
        <v>58</v>
      </c>
      <c r="D40" s="24"/>
      <c r="E40" s="24"/>
      <c r="F40" s="24"/>
      <c r="G40" s="25"/>
      <c r="H40" s="136">
        <v>1640</v>
      </c>
      <c r="I40" s="27">
        <f t="shared" si="3"/>
        <v>5</v>
      </c>
      <c r="J40" s="27"/>
      <c r="K40" s="16"/>
      <c r="L40" s="27"/>
      <c r="M40" s="27"/>
      <c r="N40" s="27"/>
      <c r="O40" s="27"/>
      <c r="P40" s="27"/>
      <c r="Q40" s="27"/>
      <c r="R40" s="27"/>
      <c r="S40" s="27"/>
      <c r="T40" s="43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5">
        <v>5</v>
      </c>
      <c r="AJ40" s="58"/>
      <c r="AK40" s="55"/>
      <c r="AL40" s="66">
        <f t="shared" si="5"/>
        <v>5</v>
      </c>
      <c r="AM40" s="28" t="str">
        <f t="shared" si="2"/>
        <v>OK</v>
      </c>
    </row>
    <row r="41" spans="1:39" customFormat="1" hidden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135"/>
      <c r="I41" s="21">
        <f t="shared" si="3"/>
        <v>0</v>
      </c>
      <c r="J41" s="21"/>
      <c r="K41" s="16"/>
      <c r="L41" s="21"/>
      <c r="M41" s="21"/>
      <c r="N41" s="21"/>
      <c r="O41" s="21"/>
      <c r="P41" s="21"/>
      <c r="Q41" s="21"/>
      <c r="R41" s="21"/>
      <c r="S41" s="21"/>
      <c r="T41" s="4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4"/>
      <c r="AJ41" s="57"/>
      <c r="AK41" s="54"/>
      <c r="AL41" s="65">
        <f t="shared" si="5"/>
        <v>0</v>
      </c>
      <c r="AM41" s="22" t="str">
        <f t="shared" si="2"/>
        <v>OK</v>
      </c>
    </row>
    <row r="42" spans="1:39" customFormat="1" hidden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136"/>
      <c r="I42" s="27">
        <f t="shared" si="3"/>
        <v>0</v>
      </c>
      <c r="J42" s="27"/>
      <c r="K42" s="16"/>
      <c r="L42" s="27"/>
      <c r="M42" s="27"/>
      <c r="N42" s="27"/>
      <c r="O42" s="27"/>
      <c r="P42" s="27"/>
      <c r="Q42" s="27"/>
      <c r="R42" s="27"/>
      <c r="S42" s="27"/>
      <c r="T42" s="43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5"/>
      <c r="AJ42" s="58"/>
      <c r="AK42" s="55"/>
      <c r="AL42" s="66">
        <f t="shared" si="5"/>
        <v>0</v>
      </c>
      <c r="AM42" s="28" t="str">
        <f t="shared" si="2"/>
        <v>OK</v>
      </c>
    </row>
    <row r="43" spans="1:39" customFormat="1" hidden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135"/>
      <c r="I43" s="21">
        <f t="shared" si="3"/>
        <v>0</v>
      </c>
      <c r="J43" s="21"/>
      <c r="K43" s="16"/>
      <c r="L43" s="21"/>
      <c r="M43" s="21"/>
      <c r="N43" s="21"/>
      <c r="O43" s="21"/>
      <c r="P43" s="21"/>
      <c r="Q43" s="21"/>
      <c r="R43" s="21"/>
      <c r="S43" s="21"/>
      <c r="T43" s="42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4"/>
      <c r="AJ43" s="57"/>
      <c r="AK43" s="54"/>
      <c r="AL43" s="65">
        <f t="shared" si="5"/>
        <v>0</v>
      </c>
      <c r="AM43" s="22" t="str">
        <f t="shared" si="2"/>
        <v>OK</v>
      </c>
    </row>
    <row r="44" spans="1:39" customFormat="1" hidden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136"/>
      <c r="I44" s="27">
        <f t="shared" si="3"/>
        <v>0</v>
      </c>
      <c r="J44" s="27"/>
      <c r="K44" s="16"/>
      <c r="L44" s="27"/>
      <c r="M44" s="27"/>
      <c r="N44" s="27"/>
      <c r="O44" s="27"/>
      <c r="P44" s="27"/>
      <c r="Q44" s="27"/>
      <c r="R44" s="27"/>
      <c r="S44" s="27"/>
      <c r="T44" s="43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5"/>
      <c r="AJ44" s="58"/>
      <c r="AK44" s="55"/>
      <c r="AL44" s="66">
        <f t="shared" si="5"/>
        <v>0</v>
      </c>
      <c r="AM44" s="28" t="str">
        <f t="shared" si="2"/>
        <v>OK</v>
      </c>
    </row>
    <row r="45" spans="1:39" customFormat="1" hidden="1">
      <c r="A45" s="17" t="s">
        <v>107</v>
      </c>
      <c r="B45" s="77">
        <v>13467</v>
      </c>
      <c r="C45" s="17" t="s">
        <v>87</v>
      </c>
      <c r="D45" s="69"/>
      <c r="E45" s="18"/>
      <c r="F45" s="18"/>
      <c r="G45" s="19"/>
      <c r="H45" s="135">
        <v>930</v>
      </c>
      <c r="I45" s="21">
        <f t="shared" si="3"/>
        <v>0</v>
      </c>
      <c r="J45" s="21"/>
      <c r="K45" s="16"/>
      <c r="L45" s="21"/>
      <c r="M45" s="21"/>
      <c r="N45" s="21"/>
      <c r="O45" s="21"/>
      <c r="P45" s="21"/>
      <c r="Q45" s="21"/>
      <c r="R45" s="21"/>
      <c r="S45" s="21"/>
      <c r="T45" s="4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4"/>
      <c r="AJ45" s="57"/>
      <c r="AK45" s="54"/>
      <c r="AL45" s="65">
        <f t="shared" si="5"/>
        <v>0</v>
      </c>
      <c r="AM45" s="22" t="str">
        <f t="shared" si="2"/>
        <v>OK</v>
      </c>
    </row>
    <row r="46" spans="1:39" customFormat="1" hidden="1">
      <c r="A46" s="68" t="s">
        <v>111</v>
      </c>
      <c r="B46" s="78">
        <v>15948</v>
      </c>
      <c r="C46" s="23" t="s">
        <v>87</v>
      </c>
      <c r="D46" s="24"/>
      <c r="E46" s="24"/>
      <c r="F46" s="24"/>
      <c r="G46" s="25"/>
      <c r="H46" s="136">
        <v>503</v>
      </c>
      <c r="I46" s="27">
        <f t="shared" si="3"/>
        <v>0</v>
      </c>
      <c r="J46" s="27"/>
      <c r="K46" s="16"/>
      <c r="L46" s="27"/>
      <c r="M46" s="27"/>
      <c r="N46" s="27"/>
      <c r="O46" s="27"/>
      <c r="P46" s="27"/>
      <c r="Q46" s="27"/>
      <c r="R46" s="27"/>
      <c r="S46" s="27"/>
      <c r="T46" s="43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5"/>
      <c r="AJ46" s="58"/>
      <c r="AK46" s="55"/>
      <c r="AL46" s="66">
        <f t="shared" si="5"/>
        <v>0</v>
      </c>
      <c r="AM46" s="28" t="str">
        <f t="shared" si="2"/>
        <v>OK</v>
      </c>
    </row>
    <row r="47" spans="1:39" customFormat="1" hidden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135"/>
      <c r="I47" s="21">
        <f t="shared" si="3"/>
        <v>0</v>
      </c>
      <c r="J47" s="21"/>
      <c r="K47" s="16"/>
      <c r="L47" s="21"/>
      <c r="M47" s="21"/>
      <c r="N47" s="21"/>
      <c r="O47" s="21"/>
      <c r="P47" s="21"/>
      <c r="Q47" s="21"/>
      <c r="R47" s="21"/>
      <c r="S47" s="21"/>
      <c r="T47" s="42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4"/>
      <c r="AJ47" s="57"/>
      <c r="AK47" s="54"/>
      <c r="AL47" s="65">
        <f t="shared" si="5"/>
        <v>0</v>
      </c>
      <c r="AM47" s="22" t="str">
        <f t="shared" si="2"/>
        <v>OK</v>
      </c>
    </row>
    <row r="48" spans="1:39" customFormat="1" hidden="1">
      <c r="A48" s="68" t="s">
        <v>121</v>
      </c>
      <c r="B48" s="78">
        <v>16598</v>
      </c>
      <c r="C48" s="23" t="s">
        <v>87</v>
      </c>
      <c r="D48" s="24"/>
      <c r="E48" s="24"/>
      <c r="F48" s="24"/>
      <c r="G48" s="25"/>
      <c r="H48" s="136"/>
      <c r="I48" s="27">
        <f t="shared" si="3"/>
        <v>0</v>
      </c>
      <c r="J48" s="27"/>
      <c r="K48" s="16"/>
      <c r="L48" s="27"/>
      <c r="M48" s="27"/>
      <c r="N48" s="27"/>
      <c r="O48" s="27"/>
      <c r="P48" s="27"/>
      <c r="Q48" s="27"/>
      <c r="R48" s="27"/>
      <c r="S48" s="27"/>
      <c r="T48" s="43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5"/>
      <c r="AJ48" s="58"/>
      <c r="AK48" s="55"/>
      <c r="AL48" s="66">
        <f t="shared" si="5"/>
        <v>0</v>
      </c>
      <c r="AM48" s="28" t="str">
        <f t="shared" si="2"/>
        <v>OK</v>
      </c>
    </row>
    <row r="49" spans="1:39" customFormat="1" hidden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135"/>
      <c r="I49" s="21">
        <f t="shared" si="3"/>
        <v>0</v>
      </c>
      <c r="J49" s="21"/>
      <c r="K49" s="16"/>
      <c r="L49" s="21"/>
      <c r="M49" s="21"/>
      <c r="N49" s="21"/>
      <c r="O49" s="21"/>
      <c r="P49" s="21"/>
      <c r="Q49" s="21"/>
      <c r="R49" s="21"/>
      <c r="S49" s="21"/>
      <c r="T49" s="4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4"/>
      <c r="AJ49" s="57"/>
      <c r="AK49" s="54"/>
      <c r="AL49" s="65">
        <f t="shared" si="5"/>
        <v>0</v>
      </c>
      <c r="AM49" s="22" t="str">
        <f t="shared" si="2"/>
        <v>OK</v>
      </c>
    </row>
    <row r="50" spans="1:39" customFormat="1" hidden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136"/>
      <c r="I50" s="27">
        <f t="shared" si="3"/>
        <v>0</v>
      </c>
      <c r="J50" s="27"/>
      <c r="K50" s="16"/>
      <c r="L50" s="27"/>
      <c r="M50" s="27"/>
      <c r="N50" s="27"/>
      <c r="O50" s="27"/>
      <c r="P50" s="27"/>
      <c r="Q50" s="27"/>
      <c r="R50" s="27"/>
      <c r="S50" s="27"/>
      <c r="T50" s="43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8"/>
      <c r="AK50" s="55"/>
      <c r="AL50" s="66">
        <f t="shared" si="5"/>
        <v>0</v>
      </c>
      <c r="AM50" s="28" t="str">
        <f t="shared" si="2"/>
        <v>OK</v>
      </c>
    </row>
    <row r="51" spans="1:39" customFormat="1" hidden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135"/>
      <c r="I51" s="21">
        <f t="shared" si="3"/>
        <v>0</v>
      </c>
      <c r="J51" s="21"/>
      <c r="K51" s="16"/>
      <c r="L51" s="21"/>
      <c r="M51" s="21"/>
      <c r="N51" s="21"/>
      <c r="O51" s="21"/>
      <c r="P51" s="21"/>
      <c r="Q51" s="21"/>
      <c r="R51" s="21"/>
      <c r="S51" s="21"/>
      <c r="T51" s="4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4"/>
      <c r="AJ51" s="57"/>
      <c r="AK51" s="54"/>
      <c r="AL51" s="65">
        <f>SUM(L51:AK51)</f>
        <v>0</v>
      </c>
      <c r="AM51" s="22" t="str">
        <f t="shared" si="2"/>
        <v>OK</v>
      </c>
    </row>
    <row r="52" spans="1:39" customFormat="1" hidden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136"/>
      <c r="I52" s="27">
        <f t="shared" si="3"/>
        <v>0</v>
      </c>
      <c r="J52" s="27"/>
      <c r="K52" s="16"/>
      <c r="L52" s="27"/>
      <c r="M52" s="27"/>
      <c r="N52" s="27"/>
      <c r="O52" s="27"/>
      <c r="P52" s="27"/>
      <c r="Q52" s="27"/>
      <c r="R52" s="27"/>
      <c r="S52" s="27"/>
      <c r="T52" s="43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5"/>
      <c r="AJ52" s="58"/>
      <c r="AK52" s="55"/>
      <c r="AL52" s="66">
        <f t="shared" ref="AL52:AL64" si="6">SUM(L52:AK52)</f>
        <v>0</v>
      </c>
      <c r="AM52" s="28" t="str">
        <f t="shared" si="2"/>
        <v>OK</v>
      </c>
    </row>
    <row r="53" spans="1:39" customFormat="1" hidden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135"/>
      <c r="I53" s="21">
        <f t="shared" si="3"/>
        <v>0</v>
      </c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42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4"/>
      <c r="AJ53" s="57"/>
      <c r="AK53" s="54"/>
      <c r="AL53" s="65">
        <f t="shared" si="6"/>
        <v>0</v>
      </c>
      <c r="AM53" s="22" t="str">
        <f t="shared" si="2"/>
        <v>OK</v>
      </c>
    </row>
    <row r="54" spans="1:39" customFormat="1" hidden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136"/>
      <c r="I54" s="27">
        <f t="shared" si="3"/>
        <v>0</v>
      </c>
      <c r="J54" s="27"/>
      <c r="K54" s="16"/>
      <c r="L54" s="27"/>
      <c r="M54" s="27"/>
      <c r="N54" s="27"/>
      <c r="O54" s="27"/>
      <c r="P54" s="27"/>
      <c r="Q54" s="27"/>
      <c r="R54" s="27"/>
      <c r="S54" s="27"/>
      <c r="T54" s="43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5"/>
      <c r="AJ54" s="58"/>
      <c r="AK54" s="55"/>
      <c r="AL54" s="66">
        <f t="shared" si="6"/>
        <v>0</v>
      </c>
      <c r="AM54" s="28" t="str">
        <f t="shared" si="2"/>
        <v>OK</v>
      </c>
    </row>
    <row r="55" spans="1:39" customFormat="1" hidden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135"/>
      <c r="I55" s="21">
        <f t="shared" si="3"/>
        <v>0</v>
      </c>
      <c r="J55" s="21"/>
      <c r="K55" s="16"/>
      <c r="L55" s="21"/>
      <c r="M55" s="21"/>
      <c r="N55" s="21"/>
      <c r="O55" s="21"/>
      <c r="P55" s="21"/>
      <c r="Q55" s="21"/>
      <c r="R55" s="21"/>
      <c r="S55" s="21"/>
      <c r="T55" s="42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4"/>
      <c r="AJ55" s="57"/>
      <c r="AK55" s="54"/>
      <c r="AL55" s="65">
        <f t="shared" si="6"/>
        <v>0</v>
      </c>
      <c r="AM55" s="22" t="str">
        <f t="shared" si="2"/>
        <v>OK</v>
      </c>
    </row>
    <row r="56" spans="1:39" customFormat="1" hidden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136"/>
      <c r="I56" s="27">
        <f t="shared" si="3"/>
        <v>0</v>
      </c>
      <c r="J56" s="27"/>
      <c r="K56" s="16"/>
      <c r="L56" s="27"/>
      <c r="M56" s="27"/>
      <c r="N56" s="27"/>
      <c r="O56" s="27"/>
      <c r="P56" s="27"/>
      <c r="Q56" s="27"/>
      <c r="R56" s="27"/>
      <c r="S56" s="27"/>
      <c r="T56" s="43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5"/>
      <c r="AJ56" s="58"/>
      <c r="AK56" s="55"/>
      <c r="AL56" s="66">
        <f t="shared" si="6"/>
        <v>0</v>
      </c>
      <c r="AM56" s="28" t="str">
        <f t="shared" si="2"/>
        <v>OK</v>
      </c>
    </row>
    <row r="57" spans="1:39" customFormat="1" hidden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135"/>
      <c r="I57" s="21">
        <f t="shared" si="3"/>
        <v>0</v>
      </c>
      <c r="J57" s="21"/>
      <c r="K57" s="16"/>
      <c r="L57" s="21"/>
      <c r="M57" s="21"/>
      <c r="N57" s="21"/>
      <c r="O57" s="21"/>
      <c r="P57" s="21"/>
      <c r="Q57" s="21"/>
      <c r="R57" s="21"/>
      <c r="S57" s="21"/>
      <c r="T57" s="42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4"/>
      <c r="AJ57" s="57"/>
      <c r="AK57" s="54"/>
      <c r="AL57" s="65">
        <f t="shared" si="6"/>
        <v>0</v>
      </c>
      <c r="AM57" s="22" t="str">
        <f t="shared" si="2"/>
        <v>OK</v>
      </c>
    </row>
    <row r="58" spans="1:39" customFormat="1" hidden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136"/>
      <c r="I58" s="27">
        <f t="shared" si="3"/>
        <v>0</v>
      </c>
      <c r="J58" s="27"/>
      <c r="K58" s="16"/>
      <c r="L58" s="27"/>
      <c r="M58" s="27"/>
      <c r="N58" s="27"/>
      <c r="O58" s="27"/>
      <c r="P58" s="27"/>
      <c r="Q58" s="27"/>
      <c r="R58" s="27"/>
      <c r="S58" s="27"/>
      <c r="T58" s="43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5"/>
      <c r="AJ58" s="58"/>
      <c r="AK58" s="55"/>
      <c r="AL58" s="66">
        <f t="shared" si="6"/>
        <v>0</v>
      </c>
      <c r="AM58" s="28" t="str">
        <f t="shared" si="2"/>
        <v>OK</v>
      </c>
    </row>
    <row r="59" spans="1:39" customFormat="1" hidden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135"/>
      <c r="I59" s="21">
        <f t="shared" si="3"/>
        <v>0</v>
      </c>
      <c r="J59" s="21"/>
      <c r="K59" s="16"/>
      <c r="L59" s="21"/>
      <c r="M59" s="21"/>
      <c r="N59" s="21"/>
      <c r="O59" s="21"/>
      <c r="P59" s="21"/>
      <c r="Q59" s="21"/>
      <c r="R59" s="21"/>
      <c r="S59" s="21"/>
      <c r="T59" s="4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4"/>
      <c r="AJ59" s="57"/>
      <c r="AK59" s="54"/>
      <c r="AL59" s="65">
        <f t="shared" si="6"/>
        <v>0</v>
      </c>
      <c r="AM59" s="22" t="str">
        <f t="shared" si="2"/>
        <v>OK</v>
      </c>
    </row>
    <row r="60" spans="1:39" customFormat="1">
      <c r="A60" s="68" t="s">
        <v>84</v>
      </c>
      <c r="B60" s="78">
        <v>11380</v>
      </c>
      <c r="C60" s="23" t="s">
        <v>60</v>
      </c>
      <c r="D60" s="24"/>
      <c r="E60" s="24"/>
      <c r="F60" s="24"/>
      <c r="G60" s="25"/>
      <c r="H60" s="136">
        <f>590+1210</f>
        <v>1800</v>
      </c>
      <c r="I60" s="27">
        <f t="shared" si="3"/>
        <v>2</v>
      </c>
      <c r="J60" s="27"/>
      <c r="K60" s="16"/>
      <c r="L60" s="27">
        <v>1</v>
      </c>
      <c r="M60" s="27"/>
      <c r="N60" s="27"/>
      <c r="O60" s="27"/>
      <c r="P60" s="27"/>
      <c r="Q60" s="27"/>
      <c r="R60" s="27"/>
      <c r="S60" s="27"/>
      <c r="T60" s="43"/>
      <c r="U60" s="52">
        <v>1</v>
      </c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5"/>
      <c r="AJ60" s="58"/>
      <c r="AK60" s="55"/>
      <c r="AL60" s="66">
        <f t="shared" si="6"/>
        <v>2</v>
      </c>
      <c r="AM60" s="28" t="str">
        <f t="shared" si="2"/>
        <v>OK</v>
      </c>
    </row>
    <row r="61" spans="1:39" customFormat="1" hidden="1">
      <c r="A61" s="80" t="s">
        <v>112</v>
      </c>
      <c r="B61" s="77">
        <v>18518</v>
      </c>
      <c r="C61" s="17" t="s">
        <v>87</v>
      </c>
      <c r="D61" s="69"/>
      <c r="E61" s="18"/>
      <c r="F61" s="18"/>
      <c r="G61" s="19"/>
      <c r="H61" s="135">
        <f>784+624+1120</f>
        <v>2528</v>
      </c>
      <c r="I61" s="21">
        <f t="shared" si="3"/>
        <v>0</v>
      </c>
      <c r="J61" s="21"/>
      <c r="K61" s="16"/>
      <c r="L61" s="21"/>
      <c r="M61" s="21"/>
      <c r="N61" s="21"/>
      <c r="O61" s="21"/>
      <c r="P61" s="21"/>
      <c r="Q61" s="21"/>
      <c r="R61" s="21"/>
      <c r="S61" s="21"/>
      <c r="T61" s="4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4"/>
      <c r="AJ61" s="57"/>
      <c r="AK61" s="54"/>
      <c r="AL61" s="65">
        <f t="shared" si="6"/>
        <v>0</v>
      </c>
      <c r="AM61" s="22" t="str">
        <f t="shared" si="2"/>
        <v>OK</v>
      </c>
    </row>
    <row r="62" spans="1:39" customFormat="1" hidden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136"/>
      <c r="I62" s="27">
        <f t="shared" si="3"/>
        <v>0</v>
      </c>
      <c r="J62" s="27"/>
      <c r="K62" s="16"/>
      <c r="L62" s="27"/>
      <c r="M62" s="27"/>
      <c r="N62" s="27"/>
      <c r="O62" s="27"/>
      <c r="P62" s="27"/>
      <c r="Q62" s="27"/>
      <c r="R62" s="27"/>
      <c r="S62" s="27"/>
      <c r="T62" s="43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5"/>
      <c r="AJ62" s="58"/>
      <c r="AK62" s="55"/>
      <c r="AL62" s="66">
        <f t="shared" si="6"/>
        <v>0</v>
      </c>
      <c r="AM62" s="28" t="str">
        <f t="shared" si="2"/>
        <v>OK</v>
      </c>
    </row>
    <row r="63" spans="1:39" customFormat="1" hidden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135"/>
      <c r="I63" s="21">
        <f t="shared" si="3"/>
        <v>0</v>
      </c>
      <c r="J63" s="21"/>
      <c r="K63" s="16"/>
      <c r="L63" s="21"/>
      <c r="M63" s="21"/>
      <c r="N63" s="21"/>
      <c r="O63" s="21"/>
      <c r="P63" s="21"/>
      <c r="Q63" s="21"/>
      <c r="R63" s="21"/>
      <c r="S63" s="21"/>
      <c r="T63" s="4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4"/>
      <c r="AJ63" s="57"/>
      <c r="AK63" s="54"/>
      <c r="AL63" s="65">
        <f t="shared" si="6"/>
        <v>0</v>
      </c>
      <c r="AM63" s="22" t="str">
        <f t="shared" si="2"/>
        <v>OK</v>
      </c>
    </row>
    <row r="64" spans="1:39" customFormat="1" hidden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136"/>
      <c r="I64" s="27">
        <f t="shared" si="3"/>
        <v>0</v>
      </c>
      <c r="J64" s="27"/>
      <c r="K64" s="16"/>
      <c r="L64" s="27"/>
      <c r="M64" s="27"/>
      <c r="N64" s="27"/>
      <c r="O64" s="27"/>
      <c r="P64" s="27"/>
      <c r="Q64" s="27"/>
      <c r="R64" s="27"/>
      <c r="S64" s="27"/>
      <c r="T64" s="43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5"/>
      <c r="AJ64" s="58"/>
      <c r="AK64" s="55"/>
      <c r="AL64" s="66">
        <f t="shared" si="6"/>
        <v>0</v>
      </c>
      <c r="AM64" s="28" t="str">
        <f t="shared" si="2"/>
        <v>OK</v>
      </c>
    </row>
    <row r="65" spans="1:39" customFormat="1" hidden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135"/>
      <c r="I65" s="21">
        <f t="shared" si="3"/>
        <v>0</v>
      </c>
      <c r="J65" s="21"/>
      <c r="K65" s="16"/>
      <c r="L65" s="21"/>
      <c r="M65" s="21"/>
      <c r="N65" s="21"/>
      <c r="O65" s="21"/>
      <c r="P65" s="21"/>
      <c r="Q65" s="21"/>
      <c r="R65" s="21"/>
      <c r="S65" s="21"/>
      <c r="T65" s="4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4"/>
      <c r="AJ65" s="57"/>
      <c r="AK65" s="54"/>
      <c r="AL65" s="65">
        <f t="shared" si="4"/>
        <v>0</v>
      </c>
      <c r="AM65" s="22" t="str">
        <f t="shared" si="2"/>
        <v>OK</v>
      </c>
    </row>
    <row r="66" spans="1:39" customFormat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136">
        <f>3300+420</f>
        <v>3720</v>
      </c>
      <c r="I66" s="27">
        <f t="shared" si="3"/>
        <v>3</v>
      </c>
      <c r="J66" s="27"/>
      <c r="K66" s="16"/>
      <c r="L66" s="27">
        <v>3</v>
      </c>
      <c r="M66" s="27"/>
      <c r="N66" s="27"/>
      <c r="O66" s="27"/>
      <c r="P66" s="27"/>
      <c r="Q66" s="27"/>
      <c r="R66" s="27"/>
      <c r="S66" s="27"/>
      <c r="T66" s="43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5"/>
      <c r="AJ66" s="58"/>
      <c r="AK66" s="55"/>
      <c r="AL66" s="66">
        <f t="shared" si="4"/>
        <v>3</v>
      </c>
      <c r="AM66" s="28" t="str">
        <f t="shared" si="2"/>
        <v>OK</v>
      </c>
    </row>
    <row r="67" spans="1:39" customFormat="1" hidden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135"/>
      <c r="I67" s="21">
        <f t="shared" si="3"/>
        <v>0</v>
      </c>
      <c r="J67" s="21"/>
      <c r="K67" s="16"/>
      <c r="L67" s="21"/>
      <c r="M67" s="21"/>
      <c r="N67" s="21"/>
      <c r="O67" s="21"/>
      <c r="P67" s="21"/>
      <c r="Q67" s="21"/>
      <c r="R67" s="21"/>
      <c r="S67" s="21"/>
      <c r="T67" s="4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4"/>
      <c r="AJ67" s="57"/>
      <c r="AK67" s="54"/>
      <c r="AL67" s="65">
        <f t="shared" si="4"/>
        <v>0</v>
      </c>
      <c r="AM67" s="22" t="str">
        <f t="shared" si="2"/>
        <v>OK</v>
      </c>
    </row>
    <row r="68" spans="1:39" customFormat="1" hidden="1">
      <c r="A68" s="81" t="s">
        <v>132</v>
      </c>
      <c r="B68" s="78">
        <v>20269</v>
      </c>
      <c r="C68" s="23" t="s">
        <v>131</v>
      </c>
      <c r="D68" s="24"/>
      <c r="E68" s="24"/>
      <c r="F68" s="24"/>
      <c r="G68" s="25"/>
      <c r="H68" s="136"/>
      <c r="I68" s="27">
        <f t="shared" si="3"/>
        <v>0</v>
      </c>
      <c r="J68" s="27"/>
      <c r="K68" s="16"/>
      <c r="L68" s="27"/>
      <c r="M68" s="27"/>
      <c r="N68" s="27"/>
      <c r="O68" s="27"/>
      <c r="P68" s="27"/>
      <c r="Q68" s="27"/>
      <c r="R68" s="27"/>
      <c r="S68" s="27"/>
      <c r="T68" s="43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5"/>
      <c r="AJ68" s="58"/>
      <c r="AK68" s="55"/>
      <c r="AL68" s="66">
        <f t="shared" si="4"/>
        <v>0</v>
      </c>
      <c r="AM68" s="28" t="str">
        <f t="shared" si="2"/>
        <v>OK</v>
      </c>
    </row>
    <row r="69" spans="1:39" customFormat="1" hidden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135"/>
      <c r="I69" s="21">
        <f t="shared" si="3"/>
        <v>0</v>
      </c>
      <c r="J69" s="21"/>
      <c r="K69" s="16"/>
      <c r="L69" s="21"/>
      <c r="M69" s="21"/>
      <c r="N69" s="21"/>
      <c r="O69" s="21"/>
      <c r="P69" s="21"/>
      <c r="Q69" s="21"/>
      <c r="R69" s="21"/>
      <c r="S69" s="21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7"/>
      <c r="AK69" s="54"/>
      <c r="AL69" s="65">
        <f t="shared" si="4"/>
        <v>0</v>
      </c>
      <c r="AM69" s="22" t="str">
        <f t="shared" si="2"/>
        <v>OK</v>
      </c>
    </row>
    <row r="70" spans="1:39" customFormat="1" hidden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136">
        <v>162</v>
      </c>
      <c r="I70" s="27">
        <f t="shared" si="3"/>
        <v>0</v>
      </c>
      <c r="J70" s="27"/>
      <c r="K70" s="16"/>
      <c r="L70" s="27"/>
      <c r="M70" s="27"/>
      <c r="N70" s="27"/>
      <c r="O70" s="27"/>
      <c r="P70" s="27"/>
      <c r="Q70" s="27"/>
      <c r="R70" s="27"/>
      <c r="S70" s="27"/>
      <c r="T70" s="43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5"/>
      <c r="AJ70" s="58"/>
      <c r="AK70" s="55"/>
      <c r="AL70" s="66">
        <f t="shared" si="4"/>
        <v>0</v>
      </c>
      <c r="AM70" s="28" t="str">
        <f t="shared" si="2"/>
        <v>OK</v>
      </c>
    </row>
    <row r="71" spans="1:39" customFormat="1" ht="17.25" thickBot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135">
        <v>455</v>
      </c>
      <c r="I71" s="21">
        <f t="shared" ref="I71:I96" si="7">SUM(L71:AK71)</f>
        <v>7</v>
      </c>
      <c r="J71" s="21"/>
      <c r="K71" s="16"/>
      <c r="L71" s="21"/>
      <c r="M71" s="21"/>
      <c r="N71" s="21"/>
      <c r="O71" s="21"/>
      <c r="P71" s="21"/>
      <c r="Q71" s="21"/>
      <c r="R71" s="21"/>
      <c r="S71" s="21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>
        <v>6</v>
      </c>
      <c r="AH71" s="51"/>
      <c r="AI71" s="54">
        <v>1</v>
      </c>
      <c r="AJ71" s="57"/>
      <c r="AK71" s="54"/>
      <c r="AL71" s="65">
        <f t="shared" si="4"/>
        <v>7</v>
      </c>
      <c r="AM71" s="22" t="str">
        <f t="shared" si="2"/>
        <v>OK</v>
      </c>
    </row>
    <row r="72" spans="1:39" customFormat="1" ht="17.25" hidden="1" thickBot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136"/>
      <c r="I72" s="27">
        <f t="shared" si="7"/>
        <v>0</v>
      </c>
      <c r="J72" s="27"/>
      <c r="K72" s="16"/>
      <c r="L72" s="27"/>
      <c r="M72" s="27"/>
      <c r="N72" s="27"/>
      <c r="O72" s="27"/>
      <c r="P72" s="27"/>
      <c r="Q72" s="27"/>
      <c r="R72" s="27"/>
      <c r="S72" s="27"/>
      <c r="T72" s="43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5"/>
      <c r="AJ72" s="58"/>
      <c r="AK72" s="55"/>
      <c r="AL72" s="66">
        <f t="shared" si="4"/>
        <v>0</v>
      </c>
      <c r="AM72" s="28" t="str">
        <f t="shared" si="2"/>
        <v>OK</v>
      </c>
    </row>
    <row r="73" spans="1:39" customFormat="1" ht="17.25" hidden="1" thickBot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138"/>
      <c r="I73" s="101">
        <f t="shared" si="7"/>
        <v>0</v>
      </c>
      <c r="J73" s="21"/>
      <c r="K73" s="16"/>
      <c r="L73" s="21"/>
      <c r="M73" s="21"/>
      <c r="N73" s="21"/>
      <c r="O73" s="21"/>
      <c r="P73" s="21"/>
      <c r="Q73" s="21"/>
      <c r="R73" s="21"/>
      <c r="S73" s="21"/>
      <c r="T73" s="42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4"/>
      <c r="AJ73" s="57"/>
      <c r="AK73" s="54"/>
      <c r="AL73" s="65">
        <f t="shared" si="4"/>
        <v>0</v>
      </c>
      <c r="AM73" s="22" t="str">
        <f t="shared" si="2"/>
        <v>OK</v>
      </c>
    </row>
    <row r="74" spans="1:39" customFormat="1" ht="17.25" hidden="1" thickBot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139"/>
      <c r="I74" s="103">
        <f t="shared" si="7"/>
        <v>0</v>
      </c>
      <c r="J74" s="27"/>
      <c r="K74" s="16"/>
      <c r="L74" s="100"/>
      <c r="M74" s="100"/>
      <c r="N74" s="100"/>
      <c r="O74" s="100"/>
      <c r="P74" s="100"/>
      <c r="Q74" s="100"/>
      <c r="R74" s="100"/>
      <c r="S74" s="100"/>
      <c r="T74" s="109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1"/>
      <c r="AJ74" s="112"/>
      <c r="AK74" s="111"/>
      <c r="AL74" s="66">
        <f t="shared" si="4"/>
        <v>0</v>
      </c>
      <c r="AM74" s="28" t="str">
        <f t="shared" si="2"/>
        <v>OK</v>
      </c>
    </row>
    <row r="75" spans="1:39" ht="17.25" hidden="1" thickBot="1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40"/>
      <c r="I75" s="105">
        <f t="shared" si="7"/>
        <v>0</v>
      </c>
      <c r="J75" s="90"/>
      <c r="K75" s="91"/>
      <c r="L75" s="113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5"/>
      <c r="AL75" s="92">
        <f t="shared" ref="AL75:AL80" si="8">SUM(L75:AK75)</f>
        <v>0</v>
      </c>
      <c r="AM75" s="122" t="str">
        <f t="shared" ref="AM75:AM96" si="9">IF(AL75=I75,"OK","NG")</f>
        <v>OK</v>
      </c>
    </row>
    <row r="76" spans="1:39" ht="17.25" hidden="1" thickBot="1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139"/>
      <c r="I76" s="106">
        <f t="shared" si="7"/>
        <v>0</v>
      </c>
      <c r="J76" s="85"/>
      <c r="K76" s="16"/>
      <c r="L76" s="1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8"/>
      <c r="AL76" s="66">
        <f t="shared" si="8"/>
        <v>0</v>
      </c>
      <c r="AM76" s="28" t="str">
        <f t="shared" si="9"/>
        <v>OK</v>
      </c>
    </row>
    <row r="77" spans="1:39" ht="17.25" hidden="1" thickBot="1">
      <c r="A77" s="87" t="s">
        <v>165</v>
      </c>
      <c r="B77" s="93">
        <v>13007</v>
      </c>
      <c r="C77" s="94" t="s">
        <v>164</v>
      </c>
      <c r="D77" s="88"/>
      <c r="E77" s="88"/>
      <c r="F77" s="88"/>
      <c r="G77" s="89"/>
      <c r="H77" s="104"/>
      <c r="I77" s="105">
        <f t="shared" si="7"/>
        <v>0</v>
      </c>
      <c r="J77" s="90"/>
      <c r="K77" s="91"/>
      <c r="L77" s="113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5"/>
      <c r="AL77" s="92">
        <f t="shared" si="8"/>
        <v>0</v>
      </c>
      <c r="AM77" s="122" t="str">
        <f t="shared" si="9"/>
        <v>OK</v>
      </c>
    </row>
    <row r="78" spans="1:39" ht="17.25" hidden="1" thickBot="1">
      <c r="A78" s="68"/>
      <c r="B78" s="78"/>
      <c r="C78" s="95"/>
      <c r="D78" s="83"/>
      <c r="E78" s="83"/>
      <c r="F78" s="83"/>
      <c r="G78" s="84"/>
      <c r="H78" s="102"/>
      <c r="I78" s="106">
        <f t="shared" si="7"/>
        <v>0</v>
      </c>
      <c r="J78" s="85"/>
      <c r="K78" s="16"/>
      <c r="L78" s="1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66">
        <f t="shared" si="8"/>
        <v>0</v>
      </c>
      <c r="AM78" s="28" t="str">
        <f t="shared" si="9"/>
        <v>OK</v>
      </c>
    </row>
    <row r="79" spans="1:39" ht="17.25" hidden="1" thickBot="1">
      <c r="A79" s="87"/>
      <c r="B79" s="93"/>
      <c r="C79" s="94"/>
      <c r="D79" s="88"/>
      <c r="E79" s="88"/>
      <c r="F79" s="88"/>
      <c r="G79" s="89"/>
      <c r="H79" s="104"/>
      <c r="I79" s="105">
        <f t="shared" si="7"/>
        <v>0</v>
      </c>
      <c r="J79" s="90"/>
      <c r="K79" s="91"/>
      <c r="L79" s="113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5"/>
      <c r="AL79" s="92">
        <f t="shared" si="8"/>
        <v>0</v>
      </c>
      <c r="AM79" s="122" t="str">
        <f t="shared" si="9"/>
        <v>OK</v>
      </c>
    </row>
    <row r="80" spans="1:39" ht="17.25" hidden="1" thickBot="1">
      <c r="A80" s="68"/>
      <c r="B80" s="78"/>
      <c r="C80" s="95"/>
      <c r="D80" s="83"/>
      <c r="E80" s="83"/>
      <c r="F80" s="83"/>
      <c r="G80" s="84"/>
      <c r="H80" s="102"/>
      <c r="I80" s="106">
        <f t="shared" si="7"/>
        <v>0</v>
      </c>
      <c r="J80" s="85"/>
      <c r="K80" s="16"/>
      <c r="L80" s="116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66">
        <f t="shared" si="8"/>
        <v>0</v>
      </c>
      <c r="AM80" s="28" t="str">
        <f t="shared" si="9"/>
        <v>OK</v>
      </c>
    </row>
    <row r="81" spans="1:39" ht="17.25" hidden="1" thickBot="1">
      <c r="A81" s="87"/>
      <c r="B81" s="93"/>
      <c r="C81" s="94"/>
      <c r="D81" s="88"/>
      <c r="E81" s="88"/>
      <c r="F81" s="88"/>
      <c r="G81" s="89"/>
      <c r="H81" s="104"/>
      <c r="I81" s="105">
        <f t="shared" si="7"/>
        <v>0</v>
      </c>
      <c r="J81" s="90"/>
      <c r="K81" s="91"/>
      <c r="L81" s="113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5"/>
      <c r="AL81" s="92">
        <f t="shared" ref="AL81:AL96" si="10">SUM(L81:AK81)</f>
        <v>0</v>
      </c>
      <c r="AM81" s="122" t="str">
        <f t="shared" si="9"/>
        <v>OK</v>
      </c>
    </row>
    <row r="82" spans="1:39" ht="17.25" hidden="1" thickBot="1">
      <c r="A82" s="68"/>
      <c r="B82" s="78"/>
      <c r="C82" s="95"/>
      <c r="D82" s="83"/>
      <c r="E82" s="83"/>
      <c r="F82" s="83"/>
      <c r="G82" s="84"/>
      <c r="H82" s="102"/>
      <c r="I82" s="106">
        <f t="shared" si="7"/>
        <v>0</v>
      </c>
      <c r="J82" s="85"/>
      <c r="K82" s="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66">
        <f t="shared" si="10"/>
        <v>0</v>
      </c>
      <c r="AM82" s="28" t="str">
        <f t="shared" si="9"/>
        <v>OK</v>
      </c>
    </row>
    <row r="83" spans="1:39" ht="17.25" hidden="1" thickBot="1">
      <c r="A83" s="96"/>
      <c r="B83" s="93"/>
      <c r="C83" s="94"/>
      <c r="D83" s="88"/>
      <c r="E83" s="88"/>
      <c r="F83" s="88"/>
      <c r="G83" s="89"/>
      <c r="H83" s="104"/>
      <c r="I83" s="105">
        <f t="shared" si="7"/>
        <v>0</v>
      </c>
      <c r="J83" s="90"/>
      <c r="K83" s="91"/>
      <c r="L83" s="113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5"/>
      <c r="AL83" s="92">
        <f t="shared" si="10"/>
        <v>0</v>
      </c>
      <c r="AM83" s="122" t="str">
        <f t="shared" si="9"/>
        <v>OK</v>
      </c>
    </row>
    <row r="84" spans="1:39" ht="17.25" hidden="1" thickBot="1">
      <c r="A84" s="68"/>
      <c r="B84" s="78"/>
      <c r="C84" s="95"/>
      <c r="D84" s="83"/>
      <c r="E84" s="83"/>
      <c r="F84" s="83"/>
      <c r="G84" s="84"/>
      <c r="H84" s="102"/>
      <c r="I84" s="106">
        <f t="shared" si="7"/>
        <v>0</v>
      </c>
      <c r="J84" s="85"/>
      <c r="K84" s="16"/>
      <c r="L84" s="116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66">
        <f t="shared" si="10"/>
        <v>0</v>
      </c>
      <c r="AM84" s="28" t="str">
        <f t="shared" si="9"/>
        <v>OK</v>
      </c>
    </row>
    <row r="85" spans="1:39" ht="17.25" hidden="1" thickBot="1">
      <c r="A85" s="87"/>
      <c r="B85" s="93"/>
      <c r="C85" s="94"/>
      <c r="D85" s="88"/>
      <c r="E85" s="88"/>
      <c r="F85" s="88"/>
      <c r="G85" s="89"/>
      <c r="H85" s="104"/>
      <c r="I85" s="105">
        <f t="shared" si="7"/>
        <v>0</v>
      </c>
      <c r="J85" s="90"/>
      <c r="K85" s="91"/>
      <c r="L85" s="113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5"/>
      <c r="AL85" s="92">
        <f t="shared" si="10"/>
        <v>0</v>
      </c>
      <c r="AM85" s="122" t="str">
        <f t="shared" si="9"/>
        <v>OK</v>
      </c>
    </row>
    <row r="86" spans="1:39" ht="17.25" hidden="1" thickBot="1">
      <c r="A86" s="68"/>
      <c r="B86" s="78"/>
      <c r="C86" s="95"/>
      <c r="D86" s="83"/>
      <c r="E86" s="83"/>
      <c r="F86" s="83"/>
      <c r="G86" s="84"/>
      <c r="H86" s="102"/>
      <c r="I86" s="106">
        <f t="shared" si="7"/>
        <v>0</v>
      </c>
      <c r="J86" s="85"/>
      <c r="K86" s="16"/>
      <c r="L86" s="116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66">
        <f t="shared" si="10"/>
        <v>0</v>
      </c>
      <c r="AM86" s="28" t="str">
        <f t="shared" si="9"/>
        <v>OK</v>
      </c>
    </row>
    <row r="87" spans="1:39" ht="17.25" hidden="1" thickBot="1">
      <c r="A87" s="87"/>
      <c r="B87" s="93"/>
      <c r="C87" s="94"/>
      <c r="D87" s="88"/>
      <c r="E87" s="88"/>
      <c r="F87" s="88"/>
      <c r="G87" s="89"/>
      <c r="H87" s="104"/>
      <c r="I87" s="105">
        <f t="shared" si="7"/>
        <v>0</v>
      </c>
      <c r="J87" s="90"/>
      <c r="K87" s="91"/>
      <c r="L87" s="113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5"/>
      <c r="AL87" s="92">
        <f t="shared" si="10"/>
        <v>0</v>
      </c>
      <c r="AM87" s="122" t="str">
        <f t="shared" si="9"/>
        <v>OK</v>
      </c>
    </row>
    <row r="88" spans="1:39" ht="17.25" hidden="1" thickBot="1">
      <c r="A88" s="68"/>
      <c r="B88" s="78"/>
      <c r="C88" s="95"/>
      <c r="D88" s="83"/>
      <c r="E88" s="83"/>
      <c r="F88" s="83"/>
      <c r="G88" s="84"/>
      <c r="H88" s="102"/>
      <c r="I88" s="106">
        <f t="shared" si="7"/>
        <v>0</v>
      </c>
      <c r="J88" s="85"/>
      <c r="K88" s="16"/>
      <c r="L88" s="116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66">
        <f t="shared" si="10"/>
        <v>0</v>
      </c>
      <c r="AM88" s="28" t="str">
        <f t="shared" si="9"/>
        <v>OK</v>
      </c>
    </row>
    <row r="89" spans="1:39" ht="17.25" hidden="1" thickBot="1">
      <c r="A89" s="87"/>
      <c r="B89" s="93"/>
      <c r="C89" s="94"/>
      <c r="D89" s="88"/>
      <c r="E89" s="88"/>
      <c r="F89" s="88"/>
      <c r="G89" s="89"/>
      <c r="H89" s="104"/>
      <c r="I89" s="105">
        <f t="shared" si="7"/>
        <v>0</v>
      </c>
      <c r="J89" s="90"/>
      <c r="K89" s="91"/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5"/>
      <c r="AL89" s="92">
        <f t="shared" si="10"/>
        <v>0</v>
      </c>
      <c r="AM89" s="122" t="str">
        <f t="shared" si="9"/>
        <v>OK</v>
      </c>
    </row>
    <row r="90" spans="1:39" ht="17.25" hidden="1" thickBot="1">
      <c r="A90" s="68"/>
      <c r="B90" s="78"/>
      <c r="C90" s="95"/>
      <c r="D90" s="83"/>
      <c r="E90" s="83"/>
      <c r="F90" s="83"/>
      <c r="G90" s="84"/>
      <c r="H90" s="102"/>
      <c r="I90" s="106">
        <f t="shared" si="7"/>
        <v>0</v>
      </c>
      <c r="J90" s="85"/>
      <c r="K90" s="16"/>
      <c r="L90" s="116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66">
        <f t="shared" si="10"/>
        <v>0</v>
      </c>
      <c r="AM90" s="28" t="str">
        <f t="shared" si="9"/>
        <v>OK</v>
      </c>
    </row>
    <row r="91" spans="1:39" ht="17.25" hidden="1" thickBot="1">
      <c r="A91" s="87"/>
      <c r="B91" s="93"/>
      <c r="C91" s="94"/>
      <c r="D91" s="88"/>
      <c r="E91" s="88"/>
      <c r="F91" s="88"/>
      <c r="G91" s="89"/>
      <c r="H91" s="104"/>
      <c r="I91" s="105">
        <f t="shared" si="7"/>
        <v>0</v>
      </c>
      <c r="J91" s="90"/>
      <c r="K91" s="91"/>
      <c r="L91" s="113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5"/>
      <c r="AL91" s="92">
        <f t="shared" si="10"/>
        <v>0</v>
      </c>
      <c r="AM91" s="122" t="str">
        <f t="shared" si="9"/>
        <v>OK</v>
      </c>
    </row>
    <row r="92" spans="1:39" ht="17.25" hidden="1" thickBot="1">
      <c r="A92" s="68"/>
      <c r="B92" s="78"/>
      <c r="C92" s="95"/>
      <c r="D92" s="83"/>
      <c r="E92" s="83"/>
      <c r="F92" s="83"/>
      <c r="G92" s="84"/>
      <c r="H92" s="102"/>
      <c r="I92" s="106">
        <f t="shared" si="7"/>
        <v>0</v>
      </c>
      <c r="J92" s="85"/>
      <c r="K92" s="16"/>
      <c r="L92" s="116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66">
        <f t="shared" si="10"/>
        <v>0</v>
      </c>
      <c r="AM92" s="28" t="str">
        <f t="shared" si="9"/>
        <v>OK</v>
      </c>
    </row>
    <row r="93" spans="1:39" ht="17.25" hidden="1" thickBot="1">
      <c r="A93" s="87"/>
      <c r="B93" s="93"/>
      <c r="C93" s="94"/>
      <c r="D93" s="88"/>
      <c r="E93" s="88"/>
      <c r="F93" s="88"/>
      <c r="G93" s="89"/>
      <c r="H93" s="104"/>
      <c r="I93" s="105">
        <f t="shared" si="7"/>
        <v>0</v>
      </c>
      <c r="J93" s="90"/>
      <c r="K93" s="91"/>
      <c r="L93" s="113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5"/>
      <c r="AL93" s="92">
        <f t="shared" si="10"/>
        <v>0</v>
      </c>
      <c r="AM93" s="122" t="str">
        <f t="shared" si="9"/>
        <v>OK</v>
      </c>
    </row>
    <row r="94" spans="1:39" ht="17.25" hidden="1" thickBot="1">
      <c r="A94" s="68"/>
      <c r="B94" s="78"/>
      <c r="C94" s="95"/>
      <c r="D94" s="83"/>
      <c r="E94" s="83"/>
      <c r="F94" s="83"/>
      <c r="G94" s="84"/>
      <c r="H94" s="102"/>
      <c r="I94" s="106">
        <f t="shared" si="7"/>
        <v>0</v>
      </c>
      <c r="J94" s="85"/>
      <c r="K94" s="16"/>
      <c r="L94" s="116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66">
        <f t="shared" si="10"/>
        <v>0</v>
      </c>
      <c r="AM94" s="28" t="str">
        <f t="shared" si="9"/>
        <v>OK</v>
      </c>
    </row>
    <row r="95" spans="1:39" ht="17.25" hidden="1" thickBot="1">
      <c r="A95" s="87"/>
      <c r="B95" s="93"/>
      <c r="C95" s="94"/>
      <c r="D95" s="88"/>
      <c r="E95" s="88"/>
      <c r="F95" s="88"/>
      <c r="G95" s="89"/>
      <c r="H95" s="104"/>
      <c r="I95" s="105">
        <f t="shared" si="7"/>
        <v>0</v>
      </c>
      <c r="J95" s="90"/>
      <c r="K95" s="91"/>
      <c r="L95" s="113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5"/>
      <c r="AL95" s="92">
        <f t="shared" si="10"/>
        <v>0</v>
      </c>
      <c r="AM95" s="122" t="str">
        <f t="shared" si="9"/>
        <v>OK</v>
      </c>
    </row>
    <row r="96" spans="1:39" ht="17.25" hidden="1" thickBot="1">
      <c r="A96" s="97"/>
      <c r="B96" s="98"/>
      <c r="C96" s="99"/>
      <c r="D96" s="83"/>
      <c r="E96" s="83"/>
      <c r="F96" s="83"/>
      <c r="G96" s="84"/>
      <c r="H96" s="107"/>
      <c r="I96" s="108">
        <f t="shared" si="7"/>
        <v>0</v>
      </c>
      <c r="J96" s="85"/>
      <c r="K96" s="16"/>
      <c r="L96" s="119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1"/>
      <c r="AL96" s="66">
        <f t="shared" si="10"/>
        <v>0</v>
      </c>
      <c r="AM96" s="28" t="str">
        <f t="shared" si="9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32959</v>
      </c>
      <c r="I97" s="46">
        <f>SUM(I6:I96)</f>
        <v>21</v>
      </c>
      <c r="J97" s="47">
        <f>SUM(J6:J74)</f>
        <v>0</v>
      </c>
      <c r="K97" s="9"/>
      <c r="L97" s="45">
        <f>SUM(L6:L96)</f>
        <v>6</v>
      </c>
      <c r="M97" s="45">
        <f t="shared" ref="M97:AI97" si="11">SUM(M6:M96)</f>
        <v>0</v>
      </c>
      <c r="N97" s="45">
        <f t="shared" si="11"/>
        <v>0</v>
      </c>
      <c r="O97" s="45">
        <f t="shared" si="11"/>
        <v>0</v>
      </c>
      <c r="P97" s="45">
        <f t="shared" si="11"/>
        <v>0</v>
      </c>
      <c r="Q97" s="45">
        <f t="shared" si="11"/>
        <v>0</v>
      </c>
      <c r="R97" s="45">
        <f t="shared" si="11"/>
        <v>0</v>
      </c>
      <c r="S97" s="45">
        <f t="shared" si="11"/>
        <v>0</v>
      </c>
      <c r="T97" s="45">
        <f t="shared" si="11"/>
        <v>0</v>
      </c>
      <c r="U97" s="45">
        <f t="shared" si="11"/>
        <v>1</v>
      </c>
      <c r="V97" s="45">
        <f t="shared" si="11"/>
        <v>0</v>
      </c>
      <c r="W97" s="45">
        <f t="shared" si="11"/>
        <v>0</v>
      </c>
      <c r="X97" s="45">
        <f t="shared" si="11"/>
        <v>0</v>
      </c>
      <c r="Y97" s="45">
        <f t="shared" si="11"/>
        <v>1</v>
      </c>
      <c r="Z97" s="45">
        <f t="shared" si="11"/>
        <v>0</v>
      </c>
      <c r="AA97" s="45">
        <f t="shared" si="11"/>
        <v>0</v>
      </c>
      <c r="AB97" s="45">
        <f t="shared" si="11"/>
        <v>0</v>
      </c>
      <c r="AC97" s="45">
        <f t="shared" si="11"/>
        <v>1</v>
      </c>
      <c r="AD97" s="45">
        <f t="shared" si="11"/>
        <v>0</v>
      </c>
      <c r="AE97" s="45">
        <f t="shared" si="11"/>
        <v>0</v>
      </c>
      <c r="AF97" s="45">
        <f t="shared" si="11"/>
        <v>0</v>
      </c>
      <c r="AG97" s="45">
        <f t="shared" si="11"/>
        <v>6</v>
      </c>
      <c r="AH97" s="45">
        <f t="shared" si="11"/>
        <v>0</v>
      </c>
      <c r="AI97" s="45">
        <f t="shared" si="11"/>
        <v>6</v>
      </c>
      <c r="AJ97" s="49">
        <f>SUM(AJ6:AJ96)</f>
        <v>0</v>
      </c>
      <c r="AK97" s="61">
        <f>SUM(AK6:AK96)</f>
        <v>0</v>
      </c>
      <c r="AL97" s="67">
        <f>SUM(AL6:AL96)</f>
        <v>21</v>
      </c>
      <c r="AM97" s="48" t="str">
        <f>IF(AL97=SUM(I97),"OK","NG")</f>
        <v>OK</v>
      </c>
    </row>
    <row r="107" spans="1:39" ht="15.75" customHeight="1"/>
  </sheetData>
  <autoFilter ref="A5:AM97" xr:uid="{00000000-0001-0000-1A00-000000000000}">
    <filterColumn colId="8">
      <filters>
        <filter val="1"/>
        <filter val="2"/>
        <filter val="21"/>
        <filter val="3"/>
        <filter val="5"/>
        <filter val="7"/>
      </filters>
    </filterColumn>
  </autoFilter>
  <mergeCells count="37">
    <mergeCell ref="AM4:AM5"/>
    <mergeCell ref="AG4:AG5"/>
    <mergeCell ref="AH4:AH5"/>
    <mergeCell ref="AI4:AI5"/>
    <mergeCell ref="AJ4:AJ5"/>
    <mergeCell ref="AK4:AK5"/>
    <mergeCell ref="AL4:AL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B1:C1"/>
    <mergeCell ref="F1:G1"/>
    <mergeCell ref="H1:J3"/>
    <mergeCell ref="B2:C2"/>
    <mergeCell ref="AM2:AM3"/>
    <mergeCell ref="B3:C3"/>
  </mergeCells>
  <phoneticPr fontId="3" type="noConversion"/>
  <conditionalFormatting sqref="A4 AM6:AM97">
    <cfRule type="containsText" dxfId="9" priority="7" operator="containsText" text="NG">
      <formula>NOT(ISERROR(SEARCH("NG",A4)))</formula>
    </cfRule>
    <cfRule type="containsText" dxfId="8" priority="8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50" orientation="landscape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 filterMode="1">
    <pageSetUpPr fitToPage="1"/>
  </sheetPr>
  <dimension ref="A1:AM97"/>
  <sheetViews>
    <sheetView showGridLines="0" tabSelected="1" zoomScale="85" zoomScaleNormal="85" workbookViewId="0">
      <pane ySplit="5" topLeftCell="A19" activePane="bottomLeft" state="frozen"/>
      <selection activeCell="P19" sqref="P19"/>
      <selection pane="bottomLeft" activeCell="C28" sqref="C28"/>
    </sheetView>
  </sheetViews>
  <sheetFormatPr defaultColWidth="9" defaultRowHeight="16.5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16" width="8.75"/>
    <col min="17" max="20" width="9" customWidth="1"/>
    <col min="21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5" customHeight="1" thickBot="1">
      <c r="A1" s="37" t="s">
        <v>13</v>
      </c>
      <c r="B1" s="168">
        <f>H97</f>
        <v>34599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4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5" customHeight="1" thickBot="1">
      <c r="A2" s="37" t="s">
        <v>14</v>
      </c>
      <c r="B2" s="173">
        <f>I97</f>
        <v>18</v>
      </c>
      <c r="C2" s="174"/>
      <c r="D2" s="75"/>
      <c r="E2" s="71"/>
      <c r="F2" s="2"/>
      <c r="G2" s="2"/>
      <c r="H2" s="171"/>
      <c r="I2" s="171"/>
      <c r="J2" s="171"/>
      <c r="K2" s="3"/>
      <c r="L2" s="4">
        <f t="shared" ref="L2:AK2" si="0">SUBTOTAL(9,L6:L96)</f>
        <v>8</v>
      </c>
      <c r="M2" s="4">
        <f t="shared" si="0"/>
        <v>0</v>
      </c>
      <c r="N2" s="4">
        <f t="shared" si="0"/>
        <v>1</v>
      </c>
      <c r="O2" s="4">
        <f t="shared" si="0"/>
        <v>0</v>
      </c>
      <c r="P2" s="4">
        <f t="shared" si="0"/>
        <v>1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39">
        <f t="shared" si="0"/>
        <v>0</v>
      </c>
      <c r="U2" s="5">
        <f t="shared" si="0"/>
        <v>1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0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2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0</v>
      </c>
      <c r="AH2" s="5">
        <f t="shared" si="0"/>
        <v>0</v>
      </c>
      <c r="AI2" s="5">
        <f t="shared" si="0"/>
        <v>5</v>
      </c>
      <c r="AJ2" s="5">
        <f t="shared" si="0"/>
        <v>0</v>
      </c>
      <c r="AK2" s="59">
        <f t="shared" si="0"/>
        <v>0</v>
      </c>
      <c r="AL2" s="62">
        <f>SUBTOTAL(9,AL6:AL96)</f>
        <v>18</v>
      </c>
      <c r="AM2" s="175"/>
    </row>
    <row r="3" spans="1:39" customFormat="1" ht="22.5" customHeight="1" thickBot="1">
      <c r="A3" s="38" t="s">
        <v>15</v>
      </c>
      <c r="B3" s="177">
        <f>IF(ISERROR(B2/(B2+B1)*1000000),"",(B2/(B2+B1)*1000000))</f>
        <v>519.97573446572494</v>
      </c>
      <c r="C3" s="178"/>
      <c r="D3" s="73"/>
      <c r="E3" s="72"/>
      <c r="F3" s="32"/>
      <c r="G3" s="32"/>
      <c r="H3" s="172"/>
      <c r="I3" s="172"/>
      <c r="J3" s="172"/>
      <c r="K3" s="6"/>
      <c r="L3" s="7">
        <f t="shared" ref="L3:AK3" si="1">SUM(L6:L96)</f>
        <v>8</v>
      </c>
      <c r="M3" s="7">
        <f t="shared" si="1"/>
        <v>0</v>
      </c>
      <c r="N3" s="7">
        <f t="shared" si="1"/>
        <v>1</v>
      </c>
      <c r="O3" s="7">
        <f t="shared" si="1"/>
        <v>0</v>
      </c>
      <c r="P3" s="7">
        <f t="shared" si="1"/>
        <v>1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40">
        <f t="shared" si="1"/>
        <v>0</v>
      </c>
      <c r="U3" s="8">
        <f t="shared" si="1"/>
        <v>1</v>
      </c>
      <c r="V3" s="8">
        <f t="shared" si="1"/>
        <v>0</v>
      </c>
      <c r="W3" s="8">
        <f t="shared" si="1"/>
        <v>0</v>
      </c>
      <c r="X3" s="8">
        <f t="shared" si="1"/>
        <v>0</v>
      </c>
      <c r="Y3" s="8">
        <f t="shared" si="1"/>
        <v>0</v>
      </c>
      <c r="Z3" s="8">
        <f t="shared" si="1"/>
        <v>0</v>
      </c>
      <c r="AA3" s="8">
        <f t="shared" si="1"/>
        <v>0</v>
      </c>
      <c r="AB3" s="8">
        <f t="shared" si="1"/>
        <v>0</v>
      </c>
      <c r="AC3" s="8">
        <f t="shared" si="1"/>
        <v>2</v>
      </c>
      <c r="AD3" s="8">
        <f t="shared" si="1"/>
        <v>0</v>
      </c>
      <c r="AE3" s="8">
        <f t="shared" si="1"/>
        <v>0</v>
      </c>
      <c r="AF3" s="8">
        <f t="shared" si="1"/>
        <v>0</v>
      </c>
      <c r="AG3" s="8">
        <f t="shared" si="1"/>
        <v>0</v>
      </c>
      <c r="AH3" s="8">
        <f t="shared" si="1"/>
        <v>0</v>
      </c>
      <c r="AI3" s="8">
        <f t="shared" si="1"/>
        <v>5</v>
      </c>
      <c r="AJ3" s="8">
        <f t="shared" si="1"/>
        <v>0</v>
      </c>
      <c r="AK3" s="60">
        <f t="shared" si="1"/>
        <v>0</v>
      </c>
      <c r="AL3" s="63">
        <f>SUM(AL6:AL96)</f>
        <v>18</v>
      </c>
      <c r="AM3" s="176"/>
    </row>
    <row r="4" spans="1:39" customFormat="1" ht="43.5" customHeight="1">
      <c r="A4" s="163" t="str">
        <f>AM97</f>
        <v>OK</v>
      </c>
      <c r="B4" s="163"/>
      <c r="C4" s="163"/>
      <c r="D4" s="164"/>
      <c r="E4" s="165" t="s">
        <v>16</v>
      </c>
      <c r="F4" s="165"/>
      <c r="G4" s="165"/>
      <c r="H4" s="165" t="s">
        <v>17</v>
      </c>
      <c r="I4" s="165"/>
      <c r="J4" s="165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1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56" t="s">
        <v>12</v>
      </c>
      <c r="AL4" s="158" t="s">
        <v>36</v>
      </c>
      <c r="AM4" s="149" t="s">
        <v>37</v>
      </c>
    </row>
    <row r="5" spans="1:39" customFormat="1" ht="33.75" thickBot="1">
      <c r="A5" s="34" t="s">
        <v>3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138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6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3"/>
      <c r="AJ5" s="155"/>
      <c r="AK5" s="157"/>
      <c r="AL5" s="159"/>
      <c r="AM5" s="150"/>
    </row>
    <row r="6" spans="1:39" customFormat="1" hidden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34"/>
      <c r="I6" s="15">
        <f>SUM(L6:AK6)</f>
        <v>0</v>
      </c>
      <c r="J6" s="15"/>
      <c r="K6" s="16"/>
      <c r="L6" s="15"/>
      <c r="M6" s="15"/>
      <c r="N6" s="15"/>
      <c r="O6" s="15"/>
      <c r="P6" s="15"/>
      <c r="Q6" s="15"/>
      <c r="R6" s="15"/>
      <c r="S6" s="15"/>
      <c r="T6" s="41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3"/>
      <c r="AJ6" s="56"/>
      <c r="AK6" s="53"/>
      <c r="AL6" s="64">
        <f>SUM(L6:AK6)</f>
        <v>0</v>
      </c>
      <c r="AM6" s="31" t="str">
        <f t="shared" ref="AM6:AM74" si="2">IF(AL6=I6,"OK","NG")</f>
        <v>OK</v>
      </c>
    </row>
    <row r="7" spans="1:39" customFormat="1" hidden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135"/>
      <c r="I7" s="21">
        <f t="shared" ref="I7:I70" si="3">SUM(L7:AK7)</f>
        <v>0</v>
      </c>
      <c r="J7" s="21"/>
      <c r="K7" s="16"/>
      <c r="L7" s="21"/>
      <c r="M7" s="21"/>
      <c r="N7" s="21"/>
      <c r="O7" s="21"/>
      <c r="P7" s="21"/>
      <c r="Q7" s="21"/>
      <c r="R7" s="21"/>
      <c r="S7" s="21"/>
      <c r="T7" s="42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4"/>
      <c r="AJ7" s="57"/>
      <c r="AK7" s="54"/>
      <c r="AL7" s="65">
        <f t="shared" ref="AL7:AL74" si="4">SUM(L7:AK7)</f>
        <v>0</v>
      </c>
      <c r="AM7" s="22" t="str">
        <f t="shared" si="2"/>
        <v>OK</v>
      </c>
    </row>
    <row r="8" spans="1:39" customFormat="1" hidden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36"/>
      <c r="I8" s="27">
        <f t="shared" si="3"/>
        <v>0</v>
      </c>
      <c r="J8" s="27"/>
      <c r="K8" s="16"/>
      <c r="L8" s="27"/>
      <c r="M8" s="27"/>
      <c r="N8" s="27"/>
      <c r="O8" s="27"/>
      <c r="P8" s="27"/>
      <c r="Q8" s="27"/>
      <c r="R8" s="27"/>
      <c r="S8" s="27"/>
      <c r="T8" s="4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5"/>
      <c r="AJ8" s="58"/>
      <c r="AK8" s="55"/>
      <c r="AL8" s="66">
        <f t="shared" si="4"/>
        <v>0</v>
      </c>
      <c r="AM8" s="28" t="str">
        <f t="shared" si="2"/>
        <v>OK</v>
      </c>
    </row>
    <row r="9" spans="1:39" customFormat="1" hidden="1">
      <c r="A9" s="17" t="s">
        <v>68</v>
      </c>
      <c r="B9" s="77">
        <v>10897</v>
      </c>
      <c r="C9" s="17" t="s">
        <v>62</v>
      </c>
      <c r="D9" s="69"/>
      <c r="E9" s="18"/>
      <c r="F9" s="18"/>
      <c r="G9" s="19"/>
      <c r="H9" s="135"/>
      <c r="I9" s="21">
        <f t="shared" si="3"/>
        <v>0</v>
      </c>
      <c r="J9" s="21"/>
      <c r="K9" s="16"/>
      <c r="L9" s="21"/>
      <c r="M9" s="21"/>
      <c r="N9" s="21"/>
      <c r="O9" s="21"/>
      <c r="P9" s="21"/>
      <c r="Q9" s="21"/>
      <c r="R9" s="21"/>
      <c r="S9" s="21"/>
      <c r="T9" s="42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4"/>
      <c r="AJ9" s="57"/>
      <c r="AK9" s="54"/>
      <c r="AL9" s="65">
        <f t="shared" si="4"/>
        <v>0</v>
      </c>
      <c r="AM9" s="22" t="str">
        <f t="shared" si="2"/>
        <v>OK</v>
      </c>
    </row>
    <row r="10" spans="1:39" customFormat="1" hidden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36"/>
      <c r="I10" s="27">
        <f t="shared" si="3"/>
        <v>0</v>
      </c>
      <c r="J10" s="27"/>
      <c r="K10" s="16"/>
      <c r="L10" s="27"/>
      <c r="M10" s="27"/>
      <c r="N10" s="27"/>
      <c r="O10" s="27"/>
      <c r="P10" s="27"/>
      <c r="Q10" s="27"/>
      <c r="R10" s="27"/>
      <c r="S10" s="27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5"/>
      <c r="AJ10" s="58"/>
      <c r="AK10" s="55"/>
      <c r="AL10" s="66">
        <f t="shared" si="4"/>
        <v>0</v>
      </c>
      <c r="AM10" s="28" t="str">
        <f t="shared" si="2"/>
        <v>OK</v>
      </c>
    </row>
    <row r="11" spans="1:39" customFormat="1" hidden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135"/>
      <c r="I11" s="21">
        <f t="shared" si="3"/>
        <v>0</v>
      </c>
      <c r="J11" s="21"/>
      <c r="K11" s="16"/>
      <c r="L11" s="21"/>
      <c r="M11" s="21"/>
      <c r="N11" s="21"/>
      <c r="O11" s="21"/>
      <c r="P11" s="21"/>
      <c r="Q11" s="21"/>
      <c r="R11" s="21"/>
      <c r="S11" s="21"/>
      <c r="T11" s="42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4"/>
      <c r="AJ11" s="57"/>
      <c r="AK11" s="54"/>
      <c r="AL11" s="65">
        <f t="shared" si="4"/>
        <v>0</v>
      </c>
      <c r="AM11" s="22" t="str">
        <f t="shared" si="2"/>
        <v>OK</v>
      </c>
    </row>
    <row r="12" spans="1:39" customFormat="1" hidden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36"/>
      <c r="I12" s="27">
        <f t="shared" si="3"/>
        <v>0</v>
      </c>
      <c r="J12" s="27"/>
      <c r="K12" s="16"/>
      <c r="L12" s="27"/>
      <c r="M12" s="27"/>
      <c r="N12" s="27"/>
      <c r="O12" s="27"/>
      <c r="P12" s="27"/>
      <c r="Q12" s="27"/>
      <c r="R12" s="27"/>
      <c r="S12" s="27"/>
      <c r="T12" s="43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8"/>
      <c r="AK12" s="55"/>
      <c r="AL12" s="66">
        <f t="shared" si="4"/>
        <v>0</v>
      </c>
      <c r="AM12" s="28" t="str">
        <f t="shared" si="2"/>
        <v>OK</v>
      </c>
    </row>
    <row r="13" spans="1:39" customFormat="1" hidden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135"/>
      <c r="I13" s="21">
        <f t="shared" si="3"/>
        <v>0</v>
      </c>
      <c r="J13" s="21"/>
      <c r="K13" s="16"/>
      <c r="L13" s="21"/>
      <c r="M13" s="21"/>
      <c r="N13" s="21"/>
      <c r="O13" s="21"/>
      <c r="P13" s="21"/>
      <c r="Q13" s="21"/>
      <c r="R13" s="21"/>
      <c r="S13" s="21"/>
      <c r="T13" s="4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4"/>
      <c r="AJ13" s="57"/>
      <c r="AK13" s="54"/>
      <c r="AL13" s="65">
        <f t="shared" si="4"/>
        <v>0</v>
      </c>
      <c r="AM13" s="22" t="str">
        <f t="shared" si="2"/>
        <v>OK</v>
      </c>
    </row>
    <row r="14" spans="1:39" customFormat="1" hidden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36"/>
      <c r="I14" s="27">
        <f t="shared" si="3"/>
        <v>0</v>
      </c>
      <c r="J14" s="27"/>
      <c r="K14" s="16"/>
      <c r="L14" s="27"/>
      <c r="M14" s="27"/>
      <c r="N14" s="27"/>
      <c r="O14" s="27"/>
      <c r="P14" s="27"/>
      <c r="Q14" s="27"/>
      <c r="R14" s="27"/>
      <c r="S14" s="27"/>
      <c r="T14" s="43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5"/>
      <c r="AJ14" s="58"/>
      <c r="AK14" s="55"/>
      <c r="AL14" s="66">
        <f t="shared" si="4"/>
        <v>0</v>
      </c>
      <c r="AM14" s="28" t="str">
        <f t="shared" si="2"/>
        <v>OK</v>
      </c>
    </row>
    <row r="15" spans="1:39" customFormat="1" hidden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135"/>
      <c r="I15" s="21">
        <f t="shared" si="3"/>
        <v>0</v>
      </c>
      <c r="J15" s="21"/>
      <c r="K15" s="16"/>
      <c r="L15" s="21"/>
      <c r="M15" s="21"/>
      <c r="N15" s="21"/>
      <c r="O15" s="21"/>
      <c r="P15" s="21"/>
      <c r="Q15" s="21"/>
      <c r="R15" s="21"/>
      <c r="S15" s="21"/>
      <c r="T15" s="42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4"/>
      <c r="AJ15" s="57"/>
      <c r="AK15" s="54"/>
      <c r="AL15" s="65">
        <f t="shared" si="4"/>
        <v>0</v>
      </c>
      <c r="AM15" s="22" t="str">
        <f t="shared" si="2"/>
        <v>OK</v>
      </c>
    </row>
    <row r="16" spans="1:39" customFormat="1" hidden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36"/>
      <c r="I16" s="27">
        <f t="shared" si="3"/>
        <v>0</v>
      </c>
      <c r="J16" s="27"/>
      <c r="K16" s="16"/>
      <c r="L16" s="27"/>
      <c r="M16" s="27"/>
      <c r="N16" s="27"/>
      <c r="O16" s="27"/>
      <c r="P16" s="27"/>
      <c r="Q16" s="27"/>
      <c r="R16" s="27"/>
      <c r="S16" s="27"/>
      <c r="T16" s="43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8"/>
      <c r="AK16" s="55"/>
      <c r="AL16" s="66">
        <f t="shared" si="4"/>
        <v>0</v>
      </c>
      <c r="AM16" s="28" t="str">
        <f t="shared" si="2"/>
        <v>OK</v>
      </c>
    </row>
    <row r="17" spans="1:39" customFormat="1" hidden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135"/>
      <c r="I17" s="21">
        <f t="shared" si="3"/>
        <v>0</v>
      </c>
      <c r="J17" s="21"/>
      <c r="K17" s="16"/>
      <c r="L17" s="21"/>
      <c r="M17" s="21"/>
      <c r="N17" s="21"/>
      <c r="O17" s="21"/>
      <c r="P17" s="21"/>
      <c r="Q17" s="21"/>
      <c r="R17" s="21"/>
      <c r="S17" s="21"/>
      <c r="T17" s="42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4"/>
      <c r="AJ17" s="57"/>
      <c r="AK17" s="54"/>
      <c r="AL17" s="65">
        <f t="shared" si="4"/>
        <v>0</v>
      </c>
      <c r="AM17" s="22" t="str">
        <f t="shared" si="2"/>
        <v>OK</v>
      </c>
    </row>
    <row r="18" spans="1:39" customFormat="1" hidden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36"/>
      <c r="I18" s="27">
        <f t="shared" si="3"/>
        <v>0</v>
      </c>
      <c r="J18" s="27"/>
      <c r="K18" s="16"/>
      <c r="L18" s="27"/>
      <c r="M18" s="27"/>
      <c r="N18" s="27"/>
      <c r="O18" s="27"/>
      <c r="P18" s="27"/>
      <c r="Q18" s="27"/>
      <c r="R18" s="27"/>
      <c r="S18" s="27"/>
      <c r="T18" s="43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8"/>
      <c r="AK18" s="55"/>
      <c r="AL18" s="66">
        <f t="shared" si="4"/>
        <v>0</v>
      </c>
      <c r="AM18" s="28" t="str">
        <f t="shared" si="2"/>
        <v>OK</v>
      </c>
    </row>
    <row r="19" spans="1:39" customFormat="1">
      <c r="A19" s="17" t="s">
        <v>91</v>
      </c>
      <c r="B19" s="77">
        <v>14988</v>
      </c>
      <c r="C19" s="17" t="s">
        <v>64</v>
      </c>
      <c r="D19" s="69"/>
      <c r="E19" s="18"/>
      <c r="F19" s="18"/>
      <c r="G19" s="19"/>
      <c r="H19" s="135">
        <f>3300+3600+2320+2400</f>
        <v>11620</v>
      </c>
      <c r="I19" s="21">
        <f t="shared" si="3"/>
        <v>1</v>
      </c>
      <c r="J19" s="21"/>
      <c r="K19" s="16"/>
      <c r="L19" s="21"/>
      <c r="M19" s="21"/>
      <c r="N19" s="21"/>
      <c r="O19" s="21"/>
      <c r="P19" s="21">
        <v>1</v>
      </c>
      <c r="Q19" s="21"/>
      <c r="R19" s="21"/>
      <c r="S19" s="21"/>
      <c r="T19" s="42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4"/>
      <c r="AJ19" s="57"/>
      <c r="AK19" s="54"/>
      <c r="AL19" s="65">
        <f t="shared" si="4"/>
        <v>1</v>
      </c>
      <c r="AM19" s="22" t="str">
        <f t="shared" si="2"/>
        <v>OK</v>
      </c>
    </row>
    <row r="20" spans="1:39" customFormat="1" hidden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136"/>
      <c r="I20" s="27">
        <f t="shared" si="3"/>
        <v>0</v>
      </c>
      <c r="J20" s="27"/>
      <c r="K20" s="16"/>
      <c r="L20" s="27"/>
      <c r="M20" s="27"/>
      <c r="N20" s="27"/>
      <c r="O20" s="27"/>
      <c r="P20" s="27"/>
      <c r="Q20" s="27"/>
      <c r="R20" s="27"/>
      <c r="S20" s="27"/>
      <c r="T20" s="43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8"/>
      <c r="AK20" s="55"/>
      <c r="AL20" s="66">
        <f t="shared" si="4"/>
        <v>0</v>
      </c>
      <c r="AM20" s="28" t="str">
        <f t="shared" si="2"/>
        <v>OK</v>
      </c>
    </row>
    <row r="21" spans="1:39" customFormat="1" hidden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135"/>
      <c r="I21" s="21">
        <f t="shared" si="3"/>
        <v>0</v>
      </c>
      <c r="J21" s="21"/>
      <c r="K21" s="16"/>
      <c r="L21" s="21"/>
      <c r="M21" s="21"/>
      <c r="N21" s="21"/>
      <c r="O21" s="21"/>
      <c r="P21" s="21"/>
      <c r="Q21" s="21"/>
      <c r="R21" s="21"/>
      <c r="S21" s="21"/>
      <c r="T21" s="4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4"/>
      <c r="AJ21" s="57"/>
      <c r="AK21" s="54"/>
      <c r="AL21" s="65">
        <f t="shared" si="4"/>
        <v>0</v>
      </c>
      <c r="AM21" s="22" t="str">
        <f t="shared" si="2"/>
        <v>OK</v>
      </c>
    </row>
    <row r="22" spans="1:39" customFormat="1" hidden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36"/>
      <c r="I22" s="27">
        <f t="shared" si="3"/>
        <v>0</v>
      </c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43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5"/>
      <c r="AJ22" s="58"/>
      <c r="AK22" s="55"/>
      <c r="AL22" s="66">
        <f t="shared" si="4"/>
        <v>0</v>
      </c>
      <c r="AM22" s="28" t="str">
        <f t="shared" si="2"/>
        <v>OK</v>
      </c>
    </row>
    <row r="23" spans="1:39" customFormat="1" hidden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135"/>
      <c r="I23" s="21">
        <f t="shared" si="3"/>
        <v>0</v>
      </c>
      <c r="J23" s="21"/>
      <c r="K23" s="16"/>
      <c r="L23" s="21"/>
      <c r="M23" s="21"/>
      <c r="N23" s="21"/>
      <c r="O23" s="21"/>
      <c r="P23" s="21"/>
      <c r="Q23" s="21"/>
      <c r="R23" s="21"/>
      <c r="S23" s="21"/>
      <c r="T23" s="42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7"/>
      <c r="AK23" s="54"/>
      <c r="AL23" s="65">
        <f>SUM(L23:AK23)</f>
        <v>0</v>
      </c>
      <c r="AM23" s="22" t="str">
        <f t="shared" si="2"/>
        <v>OK</v>
      </c>
    </row>
    <row r="24" spans="1:39" customFormat="1">
      <c r="A24" s="68" t="s">
        <v>44</v>
      </c>
      <c r="B24" s="78">
        <v>10163</v>
      </c>
      <c r="C24" s="23" t="s">
        <v>45</v>
      </c>
      <c r="D24" s="24"/>
      <c r="E24" s="24"/>
      <c r="F24" s="24"/>
      <c r="G24" s="25"/>
      <c r="H24" s="136">
        <f>336+672</f>
        <v>1008</v>
      </c>
      <c r="I24" s="27">
        <f t="shared" si="3"/>
        <v>5</v>
      </c>
      <c r="J24" s="27"/>
      <c r="K24" s="16"/>
      <c r="L24" s="27">
        <v>4</v>
      </c>
      <c r="M24" s="27"/>
      <c r="N24" s="27">
        <v>1</v>
      </c>
      <c r="O24" s="27"/>
      <c r="P24" s="27"/>
      <c r="Q24" s="27"/>
      <c r="R24" s="27"/>
      <c r="S24" s="27"/>
      <c r="T24" s="43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5"/>
      <c r="AJ24" s="58"/>
      <c r="AK24" s="55"/>
      <c r="AL24" s="66">
        <f t="shared" si="4"/>
        <v>5</v>
      </c>
      <c r="AM24" s="28" t="str">
        <f t="shared" si="2"/>
        <v>OK</v>
      </c>
    </row>
    <row r="25" spans="1:39" customFormat="1" hidden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135"/>
      <c r="I25" s="21">
        <f t="shared" si="3"/>
        <v>0</v>
      </c>
      <c r="J25" s="21"/>
      <c r="K25" s="16"/>
      <c r="L25" s="21"/>
      <c r="M25" s="21"/>
      <c r="N25" s="21"/>
      <c r="O25" s="21"/>
      <c r="P25" s="21"/>
      <c r="Q25" s="21"/>
      <c r="R25" s="21"/>
      <c r="S25" s="21"/>
      <c r="T25" s="42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4"/>
      <c r="AJ25" s="57"/>
      <c r="AK25" s="54"/>
      <c r="AL25" s="65">
        <f t="shared" si="4"/>
        <v>0</v>
      </c>
      <c r="AM25" s="22" t="str">
        <f t="shared" si="2"/>
        <v>OK</v>
      </c>
    </row>
    <row r="26" spans="1:39" customFormat="1" hidden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36"/>
      <c r="I26" s="27">
        <f t="shared" si="3"/>
        <v>0</v>
      </c>
      <c r="J26" s="27"/>
      <c r="K26" s="16"/>
      <c r="L26" s="27"/>
      <c r="M26" s="27"/>
      <c r="N26" s="27"/>
      <c r="O26" s="27"/>
      <c r="P26" s="27"/>
      <c r="Q26" s="27"/>
      <c r="R26" s="27"/>
      <c r="S26" s="27"/>
      <c r="T26" s="43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8"/>
      <c r="AK26" s="55"/>
      <c r="AL26" s="66">
        <f t="shared" si="4"/>
        <v>0</v>
      </c>
      <c r="AM26" s="28" t="str">
        <f t="shared" si="2"/>
        <v>OK</v>
      </c>
    </row>
    <row r="27" spans="1:39" customFormat="1" hidden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135"/>
      <c r="I27" s="21">
        <f t="shared" si="3"/>
        <v>0</v>
      </c>
      <c r="J27" s="21"/>
      <c r="K27" s="16"/>
      <c r="L27" s="21"/>
      <c r="M27" s="21"/>
      <c r="N27" s="21"/>
      <c r="O27" s="21"/>
      <c r="P27" s="21"/>
      <c r="Q27" s="21"/>
      <c r="R27" s="21"/>
      <c r="S27" s="21"/>
      <c r="T27" s="4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7"/>
      <c r="AK27" s="54"/>
      <c r="AL27" s="65">
        <f t="shared" si="4"/>
        <v>0</v>
      </c>
      <c r="AM27" s="22" t="str">
        <f t="shared" si="2"/>
        <v>OK</v>
      </c>
    </row>
    <row r="28" spans="1:39" customFormat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136">
        <v>624</v>
      </c>
      <c r="I28" s="27">
        <f t="shared" si="3"/>
        <v>0</v>
      </c>
      <c r="J28" s="27"/>
      <c r="K28" s="16"/>
      <c r="L28" s="27"/>
      <c r="M28" s="27"/>
      <c r="N28" s="27"/>
      <c r="O28" s="27"/>
      <c r="P28" s="27"/>
      <c r="Q28" s="27"/>
      <c r="R28" s="27"/>
      <c r="S28" s="27"/>
      <c r="T28" s="43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5"/>
      <c r="AJ28" s="58"/>
      <c r="AK28" s="55"/>
      <c r="AL28" s="66">
        <f t="shared" si="4"/>
        <v>0</v>
      </c>
      <c r="AM28" s="28" t="str">
        <f t="shared" si="2"/>
        <v>OK</v>
      </c>
    </row>
    <row r="29" spans="1:39" customFormat="1">
      <c r="A29" s="80" t="s">
        <v>71</v>
      </c>
      <c r="B29" s="77">
        <v>10151</v>
      </c>
      <c r="C29" s="17" t="s">
        <v>51</v>
      </c>
      <c r="D29" s="69"/>
      <c r="E29" s="18"/>
      <c r="F29" s="18"/>
      <c r="G29" s="19"/>
      <c r="H29" s="135">
        <v>1900</v>
      </c>
      <c r="I29" s="21">
        <f t="shared" si="3"/>
        <v>0</v>
      </c>
      <c r="J29" s="21"/>
      <c r="K29" s="16"/>
      <c r="L29" s="21"/>
      <c r="M29" s="21"/>
      <c r="N29" s="21"/>
      <c r="O29" s="21"/>
      <c r="P29" s="21"/>
      <c r="Q29" s="21"/>
      <c r="R29" s="21"/>
      <c r="S29" s="21"/>
      <c r="T29" s="42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4"/>
      <c r="AJ29" s="57"/>
      <c r="AK29" s="54"/>
      <c r="AL29" s="65">
        <f t="shared" si="4"/>
        <v>0</v>
      </c>
      <c r="AM29" s="22" t="str">
        <f t="shared" si="2"/>
        <v>OK</v>
      </c>
    </row>
    <row r="30" spans="1:39" customFormat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137">
        <f>1296+300</f>
        <v>1596</v>
      </c>
      <c r="I30" s="27">
        <f t="shared" si="3"/>
        <v>2</v>
      </c>
      <c r="J30" s="27"/>
      <c r="K30" s="16"/>
      <c r="L30" s="27"/>
      <c r="M30" s="27"/>
      <c r="N30" s="27"/>
      <c r="O30" s="27"/>
      <c r="P30" s="27"/>
      <c r="Q30" s="27"/>
      <c r="R30" s="27"/>
      <c r="S30" s="27"/>
      <c r="T30" s="43"/>
      <c r="U30" s="52"/>
      <c r="V30" s="52"/>
      <c r="W30" s="52"/>
      <c r="X30" s="52"/>
      <c r="Y30" s="52"/>
      <c r="Z30" s="52"/>
      <c r="AA30" s="52"/>
      <c r="AB30" s="52"/>
      <c r="AC30" s="52">
        <v>2</v>
      </c>
      <c r="AD30" s="52"/>
      <c r="AE30" s="52"/>
      <c r="AF30" s="52"/>
      <c r="AG30" s="52"/>
      <c r="AH30" s="52"/>
      <c r="AI30" s="55"/>
      <c r="AJ30" s="58"/>
      <c r="AK30" s="55"/>
      <c r="AL30" s="66">
        <f t="shared" si="4"/>
        <v>2</v>
      </c>
      <c r="AM30" s="28" t="str">
        <f t="shared" si="2"/>
        <v>OK</v>
      </c>
    </row>
    <row r="31" spans="1:39" customFormat="1" hidden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135"/>
      <c r="I31" s="21">
        <f t="shared" si="3"/>
        <v>0</v>
      </c>
      <c r="J31" s="21"/>
      <c r="K31" s="16"/>
      <c r="L31" s="21"/>
      <c r="M31" s="21"/>
      <c r="N31" s="21"/>
      <c r="O31" s="21"/>
      <c r="P31" s="21"/>
      <c r="Q31" s="21"/>
      <c r="R31" s="21"/>
      <c r="S31" s="21"/>
      <c r="T31" s="4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7"/>
      <c r="AK31" s="54"/>
      <c r="AL31" s="65">
        <f t="shared" si="4"/>
        <v>0</v>
      </c>
      <c r="AM31" s="22" t="str">
        <f t="shared" si="2"/>
        <v>OK</v>
      </c>
    </row>
    <row r="32" spans="1:39" customFormat="1" hidden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136"/>
      <c r="I32" s="27">
        <f t="shared" si="3"/>
        <v>0</v>
      </c>
      <c r="J32" s="27"/>
      <c r="K32" s="16"/>
      <c r="L32" s="27"/>
      <c r="M32" s="27"/>
      <c r="N32" s="27"/>
      <c r="O32" s="27"/>
      <c r="P32" s="27"/>
      <c r="Q32" s="27"/>
      <c r="R32" s="27"/>
      <c r="S32" s="27"/>
      <c r="T32" s="43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5"/>
      <c r="AJ32" s="58"/>
      <c r="AK32" s="55"/>
      <c r="AL32" s="66">
        <f t="shared" si="4"/>
        <v>0</v>
      </c>
      <c r="AM32" s="28" t="str">
        <f t="shared" si="2"/>
        <v>OK</v>
      </c>
    </row>
    <row r="33" spans="1:39" customFormat="1" hidden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135"/>
      <c r="I33" s="21">
        <f t="shared" si="3"/>
        <v>0</v>
      </c>
      <c r="J33" s="21"/>
      <c r="K33" s="16"/>
      <c r="L33" s="21"/>
      <c r="M33" s="21"/>
      <c r="N33" s="21"/>
      <c r="O33" s="21"/>
      <c r="P33" s="21"/>
      <c r="Q33" s="21"/>
      <c r="R33" s="21"/>
      <c r="S33" s="21"/>
      <c r="T33" s="42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4"/>
      <c r="AJ33" s="57"/>
      <c r="AK33" s="54"/>
      <c r="AL33" s="65">
        <f t="shared" si="4"/>
        <v>0</v>
      </c>
      <c r="AM33" s="22" t="str">
        <f t="shared" si="2"/>
        <v>OK</v>
      </c>
    </row>
    <row r="34" spans="1:39" customFormat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136">
        <f>1320+750</f>
        <v>2070</v>
      </c>
      <c r="I34" s="27">
        <f t="shared" si="3"/>
        <v>0</v>
      </c>
      <c r="J34" s="27"/>
      <c r="K34" s="16"/>
      <c r="L34" s="27"/>
      <c r="M34" s="27"/>
      <c r="N34" s="27"/>
      <c r="O34" s="27"/>
      <c r="P34" s="27"/>
      <c r="Q34" s="27"/>
      <c r="R34" s="27"/>
      <c r="S34" s="27"/>
      <c r="T34" s="43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5"/>
      <c r="AJ34" s="58"/>
      <c r="AK34" s="55"/>
      <c r="AL34" s="66">
        <f t="shared" si="4"/>
        <v>0</v>
      </c>
      <c r="AM34" s="28" t="str">
        <f t="shared" si="2"/>
        <v>OK</v>
      </c>
    </row>
    <row r="35" spans="1:39" customFormat="1" hidden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135"/>
      <c r="I35" s="21">
        <f t="shared" si="3"/>
        <v>0</v>
      </c>
      <c r="J35" s="21"/>
      <c r="K35" s="16"/>
      <c r="L35" s="21"/>
      <c r="M35" s="21"/>
      <c r="N35" s="21"/>
      <c r="O35" s="21"/>
      <c r="P35" s="21"/>
      <c r="Q35" s="21"/>
      <c r="R35" s="21"/>
      <c r="S35" s="21"/>
      <c r="T35" s="42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4"/>
      <c r="AJ35" s="57"/>
      <c r="AK35" s="54"/>
      <c r="AL35" s="65">
        <f t="shared" si="4"/>
        <v>0</v>
      </c>
      <c r="AM35" s="22" t="str">
        <f t="shared" si="2"/>
        <v>OK</v>
      </c>
    </row>
    <row r="36" spans="1:39" customFormat="1" hidden="1">
      <c r="A36" s="68" t="s">
        <v>76</v>
      </c>
      <c r="B36" s="78">
        <v>10135</v>
      </c>
      <c r="C36" s="23" t="s">
        <v>56</v>
      </c>
      <c r="D36" s="24"/>
      <c r="E36" s="24"/>
      <c r="F36" s="24"/>
      <c r="G36" s="25"/>
      <c r="H36" s="136"/>
      <c r="I36" s="27">
        <f t="shared" si="3"/>
        <v>0</v>
      </c>
      <c r="J36" s="27"/>
      <c r="K36" s="16"/>
      <c r="L36" s="27"/>
      <c r="M36" s="27"/>
      <c r="N36" s="27"/>
      <c r="O36" s="27"/>
      <c r="P36" s="27"/>
      <c r="Q36" s="27"/>
      <c r="R36" s="27"/>
      <c r="S36" s="27"/>
      <c r="T36" s="43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5"/>
      <c r="AJ36" s="58"/>
      <c r="AK36" s="55"/>
      <c r="AL36" s="66">
        <f t="shared" si="4"/>
        <v>0</v>
      </c>
      <c r="AM36" s="28" t="str">
        <f t="shared" si="2"/>
        <v>OK</v>
      </c>
    </row>
    <row r="37" spans="1:39" customFormat="1" hidden="1">
      <c r="A37" s="80" t="s">
        <v>77</v>
      </c>
      <c r="B37" s="77">
        <v>10133</v>
      </c>
      <c r="C37" s="17" t="s">
        <v>55</v>
      </c>
      <c r="D37" s="69"/>
      <c r="E37" s="18"/>
      <c r="F37" s="18"/>
      <c r="G37" s="19"/>
      <c r="H37" s="135"/>
      <c r="I37" s="21">
        <f t="shared" si="3"/>
        <v>0</v>
      </c>
      <c r="J37" s="21"/>
      <c r="K37" s="16"/>
      <c r="L37" s="21"/>
      <c r="M37" s="21"/>
      <c r="N37" s="21"/>
      <c r="O37" s="21"/>
      <c r="P37" s="21"/>
      <c r="Q37" s="21"/>
      <c r="R37" s="21"/>
      <c r="S37" s="21"/>
      <c r="T37" s="42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4"/>
      <c r="AJ37" s="57"/>
      <c r="AK37" s="54"/>
      <c r="AL37" s="65">
        <f t="shared" si="4"/>
        <v>0</v>
      </c>
      <c r="AM37" s="22" t="str">
        <f t="shared" si="2"/>
        <v>OK</v>
      </c>
    </row>
    <row r="38" spans="1:39" customFormat="1">
      <c r="A38" s="68" t="s">
        <v>78</v>
      </c>
      <c r="B38" s="78">
        <v>10131</v>
      </c>
      <c r="C38" s="23" t="s">
        <v>56</v>
      </c>
      <c r="D38" s="24"/>
      <c r="E38" s="24"/>
      <c r="F38" s="24"/>
      <c r="G38" s="25"/>
      <c r="H38" s="136">
        <f>900+200</f>
        <v>1100</v>
      </c>
      <c r="I38" s="27">
        <f t="shared" si="3"/>
        <v>0</v>
      </c>
      <c r="J38" s="27"/>
      <c r="K38" s="16"/>
      <c r="L38" s="27"/>
      <c r="M38" s="27"/>
      <c r="N38" s="27"/>
      <c r="O38" s="27"/>
      <c r="P38" s="27"/>
      <c r="Q38" s="27"/>
      <c r="R38" s="27"/>
      <c r="S38" s="27"/>
      <c r="T38" s="43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5"/>
      <c r="AJ38" s="58"/>
      <c r="AK38" s="55"/>
      <c r="AL38" s="66">
        <f t="shared" ref="AL38:AL50" si="5">SUM(L38:AK38)</f>
        <v>0</v>
      </c>
      <c r="AM38" s="28" t="str">
        <f t="shared" si="2"/>
        <v>OK</v>
      </c>
    </row>
    <row r="39" spans="1:39" customFormat="1" hidden="1">
      <c r="A39" s="17" t="s">
        <v>79</v>
      </c>
      <c r="B39" s="77">
        <v>10129</v>
      </c>
      <c r="C39" s="17" t="s">
        <v>57</v>
      </c>
      <c r="D39" s="69"/>
      <c r="E39" s="18"/>
      <c r="F39" s="18"/>
      <c r="G39" s="19"/>
      <c r="H39" s="135"/>
      <c r="I39" s="21">
        <f t="shared" si="3"/>
        <v>0</v>
      </c>
      <c r="J39" s="21"/>
      <c r="K39" s="16"/>
      <c r="L39" s="21"/>
      <c r="M39" s="21"/>
      <c r="N39" s="21"/>
      <c r="O39" s="21"/>
      <c r="P39" s="21"/>
      <c r="Q39" s="21"/>
      <c r="R39" s="21"/>
      <c r="S39" s="21"/>
      <c r="T39" s="42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4"/>
      <c r="AJ39" s="57"/>
      <c r="AK39" s="54"/>
      <c r="AL39" s="65">
        <f t="shared" si="5"/>
        <v>0</v>
      </c>
      <c r="AM39" s="22" t="str">
        <f t="shared" si="2"/>
        <v>OK</v>
      </c>
    </row>
    <row r="40" spans="1:39" customFormat="1">
      <c r="A40" s="68" t="s">
        <v>80</v>
      </c>
      <c r="B40" s="78">
        <v>10127</v>
      </c>
      <c r="C40" s="23" t="s">
        <v>58</v>
      </c>
      <c r="D40" s="24"/>
      <c r="E40" s="24"/>
      <c r="F40" s="24"/>
      <c r="G40" s="25"/>
      <c r="H40" s="136">
        <f>1600+1000+1599</f>
        <v>4199</v>
      </c>
      <c r="I40" s="27">
        <f t="shared" si="3"/>
        <v>7</v>
      </c>
      <c r="J40" s="27"/>
      <c r="K40" s="16"/>
      <c r="L40" s="27">
        <v>4</v>
      </c>
      <c r="M40" s="27"/>
      <c r="N40" s="27"/>
      <c r="O40" s="27"/>
      <c r="P40" s="27"/>
      <c r="Q40" s="27"/>
      <c r="R40" s="27"/>
      <c r="S40" s="27"/>
      <c r="T40" s="43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5">
        <v>3</v>
      </c>
      <c r="AJ40" s="58"/>
      <c r="AK40" s="55"/>
      <c r="AL40" s="66">
        <f t="shared" si="5"/>
        <v>7</v>
      </c>
      <c r="AM40" s="28" t="str">
        <f t="shared" si="2"/>
        <v>OK</v>
      </c>
    </row>
    <row r="41" spans="1:39" customFormat="1" hidden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135"/>
      <c r="I41" s="21">
        <f t="shared" si="3"/>
        <v>0</v>
      </c>
      <c r="J41" s="21"/>
      <c r="K41" s="16"/>
      <c r="L41" s="21"/>
      <c r="M41" s="21"/>
      <c r="N41" s="21"/>
      <c r="O41" s="21"/>
      <c r="P41" s="21"/>
      <c r="Q41" s="21"/>
      <c r="R41" s="21"/>
      <c r="S41" s="21"/>
      <c r="T41" s="4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4"/>
      <c r="AJ41" s="57"/>
      <c r="AK41" s="54"/>
      <c r="AL41" s="65">
        <f t="shared" si="5"/>
        <v>0</v>
      </c>
      <c r="AM41" s="22" t="str">
        <f t="shared" si="2"/>
        <v>OK</v>
      </c>
    </row>
    <row r="42" spans="1:39" customFormat="1" hidden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136"/>
      <c r="I42" s="27">
        <f t="shared" si="3"/>
        <v>0</v>
      </c>
      <c r="J42" s="27"/>
      <c r="K42" s="16"/>
      <c r="L42" s="27"/>
      <c r="M42" s="27"/>
      <c r="N42" s="27"/>
      <c r="O42" s="27"/>
      <c r="P42" s="27"/>
      <c r="Q42" s="27"/>
      <c r="R42" s="27"/>
      <c r="S42" s="27"/>
      <c r="T42" s="43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5"/>
      <c r="AJ42" s="58"/>
      <c r="AK42" s="55"/>
      <c r="AL42" s="66">
        <f t="shared" si="5"/>
        <v>0</v>
      </c>
      <c r="AM42" s="28" t="str">
        <f t="shared" si="2"/>
        <v>OK</v>
      </c>
    </row>
    <row r="43" spans="1:39" customFormat="1" hidden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135"/>
      <c r="I43" s="21">
        <f t="shared" si="3"/>
        <v>0</v>
      </c>
      <c r="J43" s="21"/>
      <c r="K43" s="16"/>
      <c r="L43" s="21"/>
      <c r="M43" s="21"/>
      <c r="N43" s="21"/>
      <c r="O43" s="21"/>
      <c r="P43" s="21"/>
      <c r="Q43" s="21"/>
      <c r="R43" s="21"/>
      <c r="S43" s="21"/>
      <c r="T43" s="42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4"/>
      <c r="AJ43" s="57"/>
      <c r="AK43" s="54"/>
      <c r="AL43" s="65">
        <f t="shared" si="5"/>
        <v>0</v>
      </c>
      <c r="AM43" s="22" t="str">
        <f t="shared" si="2"/>
        <v>OK</v>
      </c>
    </row>
    <row r="44" spans="1:39" customFormat="1" hidden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136"/>
      <c r="I44" s="27">
        <f t="shared" si="3"/>
        <v>0</v>
      </c>
      <c r="J44" s="27"/>
      <c r="K44" s="16"/>
      <c r="L44" s="27"/>
      <c r="M44" s="27"/>
      <c r="N44" s="27"/>
      <c r="O44" s="27"/>
      <c r="P44" s="27"/>
      <c r="Q44" s="27"/>
      <c r="R44" s="27"/>
      <c r="S44" s="27"/>
      <c r="T44" s="43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5"/>
      <c r="AJ44" s="58"/>
      <c r="AK44" s="55"/>
      <c r="AL44" s="66">
        <f t="shared" si="5"/>
        <v>0</v>
      </c>
      <c r="AM44" s="28" t="str">
        <f t="shared" si="2"/>
        <v>OK</v>
      </c>
    </row>
    <row r="45" spans="1:39" customFormat="1">
      <c r="A45" s="17" t="s">
        <v>107</v>
      </c>
      <c r="B45" s="77">
        <v>13467</v>
      </c>
      <c r="C45" s="17" t="s">
        <v>87</v>
      </c>
      <c r="D45" s="69"/>
      <c r="E45" s="18"/>
      <c r="F45" s="18"/>
      <c r="G45" s="19"/>
      <c r="H45" s="135">
        <v>504</v>
      </c>
      <c r="I45" s="21">
        <f t="shared" si="3"/>
        <v>0</v>
      </c>
      <c r="J45" s="21"/>
      <c r="K45" s="16"/>
      <c r="L45" s="21"/>
      <c r="M45" s="21"/>
      <c r="N45" s="21"/>
      <c r="O45" s="21"/>
      <c r="P45" s="21"/>
      <c r="Q45" s="21"/>
      <c r="R45" s="21"/>
      <c r="S45" s="21"/>
      <c r="T45" s="4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4"/>
      <c r="AJ45" s="57"/>
      <c r="AK45" s="54"/>
      <c r="AL45" s="65">
        <f t="shared" si="5"/>
        <v>0</v>
      </c>
      <c r="AM45" s="22" t="str">
        <f t="shared" si="2"/>
        <v>OK</v>
      </c>
    </row>
    <row r="46" spans="1:39" customFormat="1" hidden="1">
      <c r="A46" s="68" t="s">
        <v>111</v>
      </c>
      <c r="B46" s="78">
        <v>15948</v>
      </c>
      <c r="C46" s="23" t="s">
        <v>87</v>
      </c>
      <c r="D46" s="24"/>
      <c r="E46" s="24"/>
      <c r="F46" s="24"/>
      <c r="G46" s="25"/>
      <c r="H46" s="136"/>
      <c r="I46" s="27">
        <f t="shared" si="3"/>
        <v>0</v>
      </c>
      <c r="J46" s="27"/>
      <c r="K46" s="16"/>
      <c r="L46" s="27"/>
      <c r="M46" s="27"/>
      <c r="N46" s="27"/>
      <c r="O46" s="27"/>
      <c r="P46" s="27"/>
      <c r="Q46" s="27"/>
      <c r="R46" s="27"/>
      <c r="S46" s="27"/>
      <c r="T46" s="43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5"/>
      <c r="AJ46" s="58"/>
      <c r="AK46" s="55"/>
      <c r="AL46" s="66">
        <f t="shared" si="5"/>
        <v>0</v>
      </c>
      <c r="AM46" s="28" t="str">
        <f t="shared" si="2"/>
        <v>OK</v>
      </c>
    </row>
    <row r="47" spans="1:39" customFormat="1" hidden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135"/>
      <c r="I47" s="21">
        <f t="shared" si="3"/>
        <v>0</v>
      </c>
      <c r="J47" s="21"/>
      <c r="K47" s="16"/>
      <c r="L47" s="21"/>
      <c r="M47" s="21"/>
      <c r="N47" s="21"/>
      <c r="O47" s="21"/>
      <c r="P47" s="21"/>
      <c r="Q47" s="21"/>
      <c r="R47" s="21"/>
      <c r="S47" s="21"/>
      <c r="T47" s="42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4"/>
      <c r="AJ47" s="57"/>
      <c r="AK47" s="54"/>
      <c r="AL47" s="65">
        <f t="shared" si="5"/>
        <v>0</v>
      </c>
      <c r="AM47" s="22" t="str">
        <f t="shared" si="2"/>
        <v>OK</v>
      </c>
    </row>
    <row r="48" spans="1:39" customFormat="1">
      <c r="A48" s="68" t="s">
        <v>121</v>
      </c>
      <c r="B48" s="78">
        <v>16598</v>
      </c>
      <c r="C48" s="23" t="s">
        <v>87</v>
      </c>
      <c r="D48" s="24"/>
      <c r="E48" s="24"/>
      <c r="F48" s="24"/>
      <c r="G48" s="25"/>
      <c r="H48" s="136">
        <f>990+916</f>
        <v>1906</v>
      </c>
      <c r="I48" s="27">
        <f t="shared" si="3"/>
        <v>2</v>
      </c>
      <c r="J48" s="27"/>
      <c r="K48" s="16"/>
      <c r="L48" s="27"/>
      <c r="M48" s="27"/>
      <c r="N48" s="27"/>
      <c r="O48" s="27"/>
      <c r="P48" s="27"/>
      <c r="Q48" s="27"/>
      <c r="R48" s="27"/>
      <c r="S48" s="27"/>
      <c r="T48" s="43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5">
        <v>2</v>
      </c>
      <c r="AJ48" s="58"/>
      <c r="AK48" s="55"/>
      <c r="AL48" s="66">
        <f t="shared" si="5"/>
        <v>2</v>
      </c>
      <c r="AM48" s="28" t="str">
        <f t="shared" si="2"/>
        <v>OK</v>
      </c>
    </row>
    <row r="49" spans="1:39" customFormat="1" hidden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135"/>
      <c r="I49" s="21">
        <f t="shared" si="3"/>
        <v>0</v>
      </c>
      <c r="J49" s="21"/>
      <c r="K49" s="16"/>
      <c r="L49" s="21"/>
      <c r="M49" s="21"/>
      <c r="N49" s="21"/>
      <c r="O49" s="21"/>
      <c r="P49" s="21"/>
      <c r="Q49" s="21"/>
      <c r="R49" s="21"/>
      <c r="S49" s="21"/>
      <c r="T49" s="4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4"/>
      <c r="AJ49" s="57"/>
      <c r="AK49" s="54"/>
      <c r="AL49" s="65">
        <f t="shared" si="5"/>
        <v>0</v>
      </c>
      <c r="AM49" s="22" t="str">
        <f t="shared" si="2"/>
        <v>OK</v>
      </c>
    </row>
    <row r="50" spans="1:39" customFormat="1" hidden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136"/>
      <c r="I50" s="27">
        <f t="shared" si="3"/>
        <v>0</v>
      </c>
      <c r="J50" s="27"/>
      <c r="K50" s="16"/>
      <c r="L50" s="27"/>
      <c r="M50" s="27"/>
      <c r="N50" s="27"/>
      <c r="O50" s="27"/>
      <c r="P50" s="27"/>
      <c r="Q50" s="27"/>
      <c r="R50" s="27"/>
      <c r="S50" s="27"/>
      <c r="T50" s="43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8"/>
      <c r="AK50" s="55"/>
      <c r="AL50" s="66">
        <f t="shared" si="5"/>
        <v>0</v>
      </c>
      <c r="AM50" s="28" t="str">
        <f t="shared" si="2"/>
        <v>OK</v>
      </c>
    </row>
    <row r="51" spans="1:39" customFormat="1" hidden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135"/>
      <c r="I51" s="21">
        <f t="shared" si="3"/>
        <v>0</v>
      </c>
      <c r="J51" s="21"/>
      <c r="K51" s="16"/>
      <c r="L51" s="21"/>
      <c r="M51" s="21"/>
      <c r="N51" s="21"/>
      <c r="O51" s="21"/>
      <c r="P51" s="21"/>
      <c r="Q51" s="21"/>
      <c r="R51" s="21"/>
      <c r="S51" s="21"/>
      <c r="T51" s="4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4"/>
      <c r="AJ51" s="57"/>
      <c r="AK51" s="54"/>
      <c r="AL51" s="65">
        <f>SUM(L51:AK51)</f>
        <v>0</v>
      </c>
      <c r="AM51" s="22" t="str">
        <f t="shared" si="2"/>
        <v>OK</v>
      </c>
    </row>
    <row r="52" spans="1:39" customFormat="1" hidden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136"/>
      <c r="I52" s="27">
        <f t="shared" si="3"/>
        <v>0</v>
      </c>
      <c r="J52" s="27"/>
      <c r="K52" s="16"/>
      <c r="L52" s="27"/>
      <c r="M52" s="27"/>
      <c r="N52" s="27"/>
      <c r="O52" s="27"/>
      <c r="P52" s="27"/>
      <c r="Q52" s="27"/>
      <c r="R52" s="27"/>
      <c r="S52" s="27"/>
      <c r="T52" s="43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5"/>
      <c r="AJ52" s="58"/>
      <c r="AK52" s="55"/>
      <c r="AL52" s="66">
        <f t="shared" ref="AL52:AL64" si="6">SUM(L52:AK52)</f>
        <v>0</v>
      </c>
      <c r="AM52" s="28" t="str">
        <f t="shared" si="2"/>
        <v>OK</v>
      </c>
    </row>
    <row r="53" spans="1:39" customFormat="1" hidden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135"/>
      <c r="I53" s="21">
        <f t="shared" si="3"/>
        <v>0</v>
      </c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42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4"/>
      <c r="AJ53" s="57"/>
      <c r="AK53" s="54"/>
      <c r="AL53" s="65">
        <f t="shared" si="6"/>
        <v>0</v>
      </c>
      <c r="AM53" s="22" t="str">
        <f t="shared" si="2"/>
        <v>OK</v>
      </c>
    </row>
    <row r="54" spans="1:39" customFormat="1" hidden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136"/>
      <c r="I54" s="27">
        <f t="shared" si="3"/>
        <v>0</v>
      </c>
      <c r="J54" s="27"/>
      <c r="K54" s="16"/>
      <c r="L54" s="27"/>
      <c r="M54" s="27"/>
      <c r="N54" s="27"/>
      <c r="O54" s="27"/>
      <c r="P54" s="27"/>
      <c r="Q54" s="27"/>
      <c r="R54" s="27"/>
      <c r="S54" s="27"/>
      <c r="T54" s="43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5"/>
      <c r="AJ54" s="58"/>
      <c r="AK54" s="55"/>
      <c r="AL54" s="66">
        <f t="shared" si="6"/>
        <v>0</v>
      </c>
      <c r="AM54" s="28" t="str">
        <f t="shared" si="2"/>
        <v>OK</v>
      </c>
    </row>
    <row r="55" spans="1:39" customFormat="1" hidden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135"/>
      <c r="I55" s="21">
        <f t="shared" si="3"/>
        <v>0</v>
      </c>
      <c r="J55" s="21"/>
      <c r="K55" s="16"/>
      <c r="L55" s="21"/>
      <c r="M55" s="21"/>
      <c r="N55" s="21"/>
      <c r="O55" s="21"/>
      <c r="P55" s="21"/>
      <c r="Q55" s="21"/>
      <c r="R55" s="21"/>
      <c r="S55" s="21"/>
      <c r="T55" s="42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4"/>
      <c r="AJ55" s="57"/>
      <c r="AK55" s="54"/>
      <c r="AL55" s="65">
        <f t="shared" si="6"/>
        <v>0</v>
      </c>
      <c r="AM55" s="22" t="str">
        <f t="shared" si="2"/>
        <v>OK</v>
      </c>
    </row>
    <row r="56" spans="1:39" customFormat="1" hidden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136"/>
      <c r="I56" s="27">
        <f t="shared" si="3"/>
        <v>0</v>
      </c>
      <c r="J56" s="27"/>
      <c r="K56" s="16"/>
      <c r="L56" s="27"/>
      <c r="M56" s="27"/>
      <c r="N56" s="27"/>
      <c r="O56" s="27"/>
      <c r="P56" s="27"/>
      <c r="Q56" s="27"/>
      <c r="R56" s="27"/>
      <c r="S56" s="27"/>
      <c r="T56" s="43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5"/>
      <c r="AJ56" s="58"/>
      <c r="AK56" s="55"/>
      <c r="AL56" s="66">
        <f t="shared" si="6"/>
        <v>0</v>
      </c>
      <c r="AM56" s="28" t="str">
        <f t="shared" si="2"/>
        <v>OK</v>
      </c>
    </row>
    <row r="57" spans="1:39" customFormat="1" hidden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135"/>
      <c r="I57" s="21">
        <f t="shared" si="3"/>
        <v>0</v>
      </c>
      <c r="J57" s="21"/>
      <c r="K57" s="16"/>
      <c r="L57" s="21"/>
      <c r="M57" s="21"/>
      <c r="N57" s="21"/>
      <c r="O57" s="21"/>
      <c r="P57" s="21"/>
      <c r="Q57" s="21"/>
      <c r="R57" s="21"/>
      <c r="S57" s="21"/>
      <c r="T57" s="42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4"/>
      <c r="AJ57" s="57"/>
      <c r="AK57" s="54"/>
      <c r="AL57" s="65">
        <f t="shared" si="6"/>
        <v>0</v>
      </c>
      <c r="AM57" s="22" t="str">
        <f t="shared" si="2"/>
        <v>OK</v>
      </c>
    </row>
    <row r="58" spans="1:39" customFormat="1" hidden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136"/>
      <c r="I58" s="27">
        <f t="shared" si="3"/>
        <v>0</v>
      </c>
      <c r="J58" s="27"/>
      <c r="K58" s="16"/>
      <c r="L58" s="27"/>
      <c r="M58" s="27"/>
      <c r="N58" s="27"/>
      <c r="O58" s="27"/>
      <c r="P58" s="27"/>
      <c r="Q58" s="27"/>
      <c r="R58" s="27"/>
      <c r="S58" s="27"/>
      <c r="T58" s="43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5"/>
      <c r="AJ58" s="58"/>
      <c r="AK58" s="55"/>
      <c r="AL58" s="66">
        <f t="shared" si="6"/>
        <v>0</v>
      </c>
      <c r="AM58" s="28" t="str">
        <f t="shared" si="2"/>
        <v>OK</v>
      </c>
    </row>
    <row r="59" spans="1:39" customFormat="1" hidden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135"/>
      <c r="I59" s="21">
        <f t="shared" si="3"/>
        <v>0</v>
      </c>
      <c r="J59" s="21"/>
      <c r="K59" s="16"/>
      <c r="L59" s="21"/>
      <c r="M59" s="21"/>
      <c r="N59" s="21"/>
      <c r="O59" s="21"/>
      <c r="P59" s="21"/>
      <c r="Q59" s="21"/>
      <c r="R59" s="21"/>
      <c r="S59" s="21"/>
      <c r="T59" s="4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4"/>
      <c r="AJ59" s="57"/>
      <c r="AK59" s="54"/>
      <c r="AL59" s="65">
        <f t="shared" si="6"/>
        <v>0</v>
      </c>
      <c r="AM59" s="22" t="str">
        <f t="shared" si="2"/>
        <v>OK</v>
      </c>
    </row>
    <row r="60" spans="1:39" customFormat="1">
      <c r="A60" s="68" t="s">
        <v>84</v>
      </c>
      <c r="B60" s="78">
        <v>11380</v>
      </c>
      <c r="C60" s="23" t="s">
        <v>60</v>
      </c>
      <c r="D60" s="24"/>
      <c r="E60" s="24"/>
      <c r="F60" s="24"/>
      <c r="G60" s="25"/>
      <c r="H60" s="136">
        <f>1160+780+1070</f>
        <v>3010</v>
      </c>
      <c r="I60" s="27">
        <f t="shared" si="3"/>
        <v>1</v>
      </c>
      <c r="J60" s="27"/>
      <c r="K60" s="16"/>
      <c r="L60" s="27"/>
      <c r="M60" s="27"/>
      <c r="N60" s="27"/>
      <c r="O60" s="27"/>
      <c r="P60" s="27"/>
      <c r="Q60" s="27"/>
      <c r="R60" s="27"/>
      <c r="S60" s="27"/>
      <c r="T60" s="43"/>
      <c r="U60" s="52">
        <v>1</v>
      </c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5"/>
      <c r="AJ60" s="58"/>
      <c r="AK60" s="55"/>
      <c r="AL60" s="66">
        <f t="shared" si="6"/>
        <v>1</v>
      </c>
      <c r="AM60" s="28" t="str">
        <f t="shared" si="2"/>
        <v>OK</v>
      </c>
    </row>
    <row r="61" spans="1:39" customFormat="1">
      <c r="A61" s="80" t="s">
        <v>112</v>
      </c>
      <c r="B61" s="77">
        <v>18518</v>
      </c>
      <c r="C61" s="17" t="s">
        <v>87</v>
      </c>
      <c r="D61" s="69"/>
      <c r="E61" s="18"/>
      <c r="F61" s="18"/>
      <c r="G61" s="19"/>
      <c r="H61" s="135">
        <f>644+1008+552</f>
        <v>2204</v>
      </c>
      <c r="I61" s="21">
        <f t="shared" si="3"/>
        <v>0</v>
      </c>
      <c r="J61" s="21"/>
      <c r="K61" s="16"/>
      <c r="L61" s="21"/>
      <c r="M61" s="21"/>
      <c r="N61" s="21"/>
      <c r="O61" s="21"/>
      <c r="P61" s="21"/>
      <c r="Q61" s="21"/>
      <c r="R61" s="21"/>
      <c r="S61" s="21"/>
      <c r="T61" s="4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4"/>
      <c r="AJ61" s="57"/>
      <c r="AK61" s="54"/>
      <c r="AL61" s="65">
        <f t="shared" si="6"/>
        <v>0</v>
      </c>
      <c r="AM61" s="22" t="str">
        <f t="shared" si="2"/>
        <v>OK</v>
      </c>
    </row>
    <row r="62" spans="1:39" customFormat="1" hidden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136"/>
      <c r="I62" s="27">
        <f t="shared" si="3"/>
        <v>0</v>
      </c>
      <c r="J62" s="27"/>
      <c r="K62" s="16"/>
      <c r="L62" s="27"/>
      <c r="M62" s="27"/>
      <c r="N62" s="27"/>
      <c r="O62" s="27"/>
      <c r="P62" s="27"/>
      <c r="Q62" s="27"/>
      <c r="R62" s="27"/>
      <c r="S62" s="27"/>
      <c r="T62" s="43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5"/>
      <c r="AJ62" s="58"/>
      <c r="AK62" s="55"/>
      <c r="AL62" s="66">
        <f t="shared" si="6"/>
        <v>0</v>
      </c>
      <c r="AM62" s="28" t="str">
        <f t="shared" si="2"/>
        <v>OK</v>
      </c>
    </row>
    <row r="63" spans="1:39" customFormat="1" hidden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135"/>
      <c r="I63" s="21">
        <f t="shared" si="3"/>
        <v>0</v>
      </c>
      <c r="J63" s="21"/>
      <c r="K63" s="16"/>
      <c r="L63" s="21"/>
      <c r="M63" s="21"/>
      <c r="N63" s="21"/>
      <c r="O63" s="21"/>
      <c r="P63" s="21"/>
      <c r="Q63" s="21"/>
      <c r="R63" s="21"/>
      <c r="S63" s="21"/>
      <c r="T63" s="4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4"/>
      <c r="AJ63" s="57"/>
      <c r="AK63" s="54"/>
      <c r="AL63" s="65">
        <f t="shared" si="6"/>
        <v>0</v>
      </c>
      <c r="AM63" s="22" t="str">
        <f t="shared" si="2"/>
        <v>OK</v>
      </c>
    </row>
    <row r="64" spans="1:39" customFormat="1" hidden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136"/>
      <c r="I64" s="27">
        <f t="shared" si="3"/>
        <v>0</v>
      </c>
      <c r="J64" s="27"/>
      <c r="K64" s="16"/>
      <c r="L64" s="27"/>
      <c r="M64" s="27"/>
      <c r="N64" s="27"/>
      <c r="O64" s="27"/>
      <c r="P64" s="27"/>
      <c r="Q64" s="27"/>
      <c r="R64" s="27"/>
      <c r="S64" s="27"/>
      <c r="T64" s="43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5"/>
      <c r="AJ64" s="58"/>
      <c r="AK64" s="55"/>
      <c r="AL64" s="66">
        <f t="shared" si="6"/>
        <v>0</v>
      </c>
      <c r="AM64" s="28" t="str">
        <f t="shared" si="2"/>
        <v>OK</v>
      </c>
    </row>
    <row r="65" spans="1:39" customFormat="1" hidden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135"/>
      <c r="I65" s="21">
        <f t="shared" si="3"/>
        <v>0</v>
      </c>
      <c r="J65" s="21"/>
      <c r="K65" s="16"/>
      <c r="L65" s="21"/>
      <c r="M65" s="21"/>
      <c r="N65" s="21"/>
      <c r="O65" s="21"/>
      <c r="P65" s="21"/>
      <c r="Q65" s="21"/>
      <c r="R65" s="21"/>
      <c r="S65" s="21"/>
      <c r="T65" s="4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4"/>
      <c r="AJ65" s="57"/>
      <c r="AK65" s="54"/>
      <c r="AL65" s="65">
        <f t="shared" si="4"/>
        <v>0</v>
      </c>
      <c r="AM65" s="22" t="str">
        <f t="shared" si="2"/>
        <v>OK</v>
      </c>
    </row>
    <row r="66" spans="1:39" customFormat="1" hidden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136"/>
      <c r="I66" s="27">
        <f t="shared" si="3"/>
        <v>0</v>
      </c>
      <c r="J66" s="27"/>
      <c r="K66" s="16"/>
      <c r="L66" s="27"/>
      <c r="M66" s="27"/>
      <c r="N66" s="27"/>
      <c r="O66" s="27"/>
      <c r="P66" s="27"/>
      <c r="Q66" s="27"/>
      <c r="R66" s="27"/>
      <c r="S66" s="27"/>
      <c r="T66" s="43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5"/>
      <c r="AJ66" s="58"/>
      <c r="AK66" s="55"/>
      <c r="AL66" s="66">
        <f t="shared" si="4"/>
        <v>0</v>
      </c>
      <c r="AM66" s="28" t="str">
        <f t="shared" si="2"/>
        <v>OK</v>
      </c>
    </row>
    <row r="67" spans="1:39" customFormat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135">
        <v>280</v>
      </c>
      <c r="I67" s="21">
        <f t="shared" si="3"/>
        <v>0</v>
      </c>
      <c r="J67" s="21"/>
      <c r="K67" s="16"/>
      <c r="L67" s="21"/>
      <c r="M67" s="21"/>
      <c r="N67" s="21"/>
      <c r="O67" s="21"/>
      <c r="P67" s="21"/>
      <c r="Q67" s="21"/>
      <c r="R67" s="21"/>
      <c r="S67" s="21"/>
      <c r="T67" s="4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4"/>
      <c r="AJ67" s="57"/>
      <c r="AK67" s="54"/>
      <c r="AL67" s="65">
        <f t="shared" si="4"/>
        <v>0</v>
      </c>
      <c r="AM67" s="22" t="str">
        <f t="shared" si="2"/>
        <v>OK</v>
      </c>
    </row>
    <row r="68" spans="1:39" customFormat="1" hidden="1">
      <c r="A68" s="81" t="s">
        <v>132</v>
      </c>
      <c r="B68" s="78">
        <v>20269</v>
      </c>
      <c r="C68" s="23" t="s">
        <v>131</v>
      </c>
      <c r="D68" s="24"/>
      <c r="E68" s="24"/>
      <c r="F68" s="24"/>
      <c r="G68" s="25"/>
      <c r="H68" s="136"/>
      <c r="I68" s="27">
        <f t="shared" si="3"/>
        <v>0</v>
      </c>
      <c r="J68" s="27"/>
      <c r="K68" s="16"/>
      <c r="L68" s="27"/>
      <c r="M68" s="27"/>
      <c r="N68" s="27"/>
      <c r="O68" s="27"/>
      <c r="P68" s="27"/>
      <c r="Q68" s="27"/>
      <c r="R68" s="27"/>
      <c r="S68" s="27"/>
      <c r="T68" s="43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5"/>
      <c r="AJ68" s="58"/>
      <c r="AK68" s="55"/>
      <c r="AL68" s="66">
        <f t="shared" si="4"/>
        <v>0</v>
      </c>
      <c r="AM68" s="28" t="str">
        <f t="shared" si="2"/>
        <v>OK</v>
      </c>
    </row>
    <row r="69" spans="1:39" customFormat="1" hidden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141"/>
      <c r="I69" s="21">
        <f t="shared" si="3"/>
        <v>0</v>
      </c>
      <c r="J69" s="21"/>
      <c r="K69" s="16"/>
      <c r="L69" s="21"/>
      <c r="M69" s="21"/>
      <c r="N69" s="21"/>
      <c r="O69" s="21"/>
      <c r="P69" s="21"/>
      <c r="Q69" s="21"/>
      <c r="R69" s="21"/>
      <c r="S69" s="21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7"/>
      <c r="AK69" s="54"/>
      <c r="AL69" s="65">
        <f t="shared" si="4"/>
        <v>0</v>
      </c>
      <c r="AM69" s="22" t="str">
        <f t="shared" si="2"/>
        <v>OK</v>
      </c>
    </row>
    <row r="70" spans="1:39" customFormat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136">
        <v>1098</v>
      </c>
      <c r="I70" s="27">
        <f t="shared" si="3"/>
        <v>0</v>
      </c>
      <c r="J70" s="27"/>
      <c r="K70" s="16"/>
      <c r="L70" s="27"/>
      <c r="M70" s="27"/>
      <c r="N70" s="27"/>
      <c r="O70" s="27"/>
      <c r="P70" s="27"/>
      <c r="Q70" s="27"/>
      <c r="R70" s="27"/>
      <c r="S70" s="27"/>
      <c r="T70" s="43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5"/>
      <c r="AJ70" s="58"/>
      <c r="AK70" s="55"/>
      <c r="AL70" s="66">
        <f t="shared" si="4"/>
        <v>0</v>
      </c>
      <c r="AM70" s="28" t="str">
        <f t="shared" si="2"/>
        <v>OK</v>
      </c>
    </row>
    <row r="71" spans="1:39" customFormat="1" hidden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135"/>
      <c r="I71" s="21">
        <f t="shared" ref="I71:I96" si="7">SUM(L71:AK71)</f>
        <v>0</v>
      </c>
      <c r="J71" s="21"/>
      <c r="K71" s="16"/>
      <c r="L71" s="21"/>
      <c r="M71" s="21"/>
      <c r="N71" s="21"/>
      <c r="O71" s="21"/>
      <c r="P71" s="21"/>
      <c r="Q71" s="21"/>
      <c r="R71" s="21"/>
      <c r="S71" s="21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4"/>
      <c r="AJ71" s="57"/>
      <c r="AK71" s="54"/>
      <c r="AL71" s="65">
        <f t="shared" si="4"/>
        <v>0</v>
      </c>
      <c r="AM71" s="22" t="str">
        <f t="shared" si="2"/>
        <v>OK</v>
      </c>
    </row>
    <row r="72" spans="1:39" customFormat="1" hidden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136"/>
      <c r="I72" s="27">
        <f t="shared" si="7"/>
        <v>0</v>
      </c>
      <c r="J72" s="27"/>
      <c r="K72" s="16"/>
      <c r="L72" s="27"/>
      <c r="M72" s="27"/>
      <c r="N72" s="27"/>
      <c r="O72" s="27"/>
      <c r="P72" s="27"/>
      <c r="Q72" s="27"/>
      <c r="R72" s="27"/>
      <c r="S72" s="27"/>
      <c r="T72" s="43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5"/>
      <c r="AJ72" s="58"/>
      <c r="AK72" s="55"/>
      <c r="AL72" s="66">
        <f t="shared" si="4"/>
        <v>0</v>
      </c>
      <c r="AM72" s="28" t="str">
        <f t="shared" si="2"/>
        <v>OK</v>
      </c>
    </row>
    <row r="73" spans="1:39" customFormat="1" hidden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138"/>
      <c r="I73" s="101">
        <f t="shared" si="7"/>
        <v>0</v>
      </c>
      <c r="J73" s="21"/>
      <c r="K73" s="16"/>
      <c r="L73" s="21"/>
      <c r="M73" s="21"/>
      <c r="N73" s="21"/>
      <c r="O73" s="21"/>
      <c r="P73" s="21"/>
      <c r="Q73" s="21"/>
      <c r="R73" s="21"/>
      <c r="S73" s="21"/>
      <c r="T73" s="42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4"/>
      <c r="AJ73" s="57"/>
      <c r="AK73" s="54"/>
      <c r="AL73" s="65">
        <f t="shared" si="4"/>
        <v>0</v>
      </c>
      <c r="AM73" s="22" t="str">
        <f t="shared" si="2"/>
        <v>OK</v>
      </c>
    </row>
    <row r="74" spans="1:39" customFormat="1" ht="17.25" thickBot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139">
        <v>1480</v>
      </c>
      <c r="I74" s="103">
        <f t="shared" si="7"/>
        <v>0</v>
      </c>
      <c r="J74" s="27"/>
      <c r="K74" s="16"/>
      <c r="L74" s="100"/>
      <c r="M74" s="100"/>
      <c r="N74" s="100"/>
      <c r="O74" s="100"/>
      <c r="P74" s="100"/>
      <c r="Q74" s="100"/>
      <c r="R74" s="100"/>
      <c r="S74" s="100"/>
      <c r="T74" s="109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1"/>
      <c r="AJ74" s="112"/>
      <c r="AK74" s="111"/>
      <c r="AL74" s="66">
        <f t="shared" si="4"/>
        <v>0</v>
      </c>
      <c r="AM74" s="28" t="str">
        <f t="shared" si="2"/>
        <v>OK</v>
      </c>
    </row>
    <row r="75" spans="1:39" ht="17.25" hidden="1" thickBot="1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40"/>
      <c r="I75" s="105">
        <f t="shared" si="7"/>
        <v>0</v>
      </c>
      <c r="J75" s="90"/>
      <c r="K75" s="91"/>
      <c r="L75" s="113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5"/>
      <c r="AL75" s="92">
        <f t="shared" ref="AL75:AL80" si="8">SUM(L75:AK75)</f>
        <v>0</v>
      </c>
      <c r="AM75" s="122" t="str">
        <f t="shared" ref="AM75:AM96" si="9">IF(AL75=I75,"OK","NG")</f>
        <v>OK</v>
      </c>
    </row>
    <row r="76" spans="1:39" ht="17.25" hidden="1" thickBot="1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139"/>
      <c r="I76" s="106">
        <f t="shared" si="7"/>
        <v>0</v>
      </c>
      <c r="J76" s="85"/>
      <c r="K76" s="16"/>
      <c r="L76" s="1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8"/>
      <c r="AL76" s="66">
        <f t="shared" si="8"/>
        <v>0</v>
      </c>
      <c r="AM76" s="28" t="str">
        <f t="shared" si="9"/>
        <v>OK</v>
      </c>
    </row>
    <row r="77" spans="1:39" ht="17.25" hidden="1" thickBot="1">
      <c r="A77" s="87" t="s">
        <v>165</v>
      </c>
      <c r="B77" s="93">
        <v>13007</v>
      </c>
      <c r="C77" s="94" t="s">
        <v>164</v>
      </c>
      <c r="D77" s="88"/>
      <c r="E77" s="88"/>
      <c r="F77" s="88"/>
      <c r="G77" s="89"/>
      <c r="H77" s="104"/>
      <c r="I77" s="105">
        <f t="shared" si="7"/>
        <v>0</v>
      </c>
      <c r="J77" s="90"/>
      <c r="K77" s="91"/>
      <c r="L77" s="113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5"/>
      <c r="AL77" s="92">
        <f t="shared" si="8"/>
        <v>0</v>
      </c>
      <c r="AM77" s="122" t="str">
        <f t="shared" si="9"/>
        <v>OK</v>
      </c>
    </row>
    <row r="78" spans="1:39" ht="17.25" hidden="1" thickBot="1">
      <c r="A78" s="68"/>
      <c r="B78" s="78"/>
      <c r="C78" s="95"/>
      <c r="D78" s="83"/>
      <c r="E78" s="83"/>
      <c r="F78" s="83"/>
      <c r="G78" s="84"/>
      <c r="H78" s="102"/>
      <c r="I78" s="106">
        <f t="shared" si="7"/>
        <v>0</v>
      </c>
      <c r="J78" s="85"/>
      <c r="K78" s="16"/>
      <c r="L78" s="1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66">
        <f t="shared" si="8"/>
        <v>0</v>
      </c>
      <c r="AM78" s="28" t="str">
        <f t="shared" si="9"/>
        <v>OK</v>
      </c>
    </row>
    <row r="79" spans="1:39" ht="17.25" hidden="1" thickBot="1">
      <c r="A79" s="87"/>
      <c r="B79" s="93"/>
      <c r="C79" s="94"/>
      <c r="D79" s="88"/>
      <c r="E79" s="88"/>
      <c r="F79" s="88"/>
      <c r="G79" s="89"/>
      <c r="H79" s="104"/>
      <c r="I79" s="105">
        <f t="shared" si="7"/>
        <v>0</v>
      </c>
      <c r="J79" s="90"/>
      <c r="K79" s="91"/>
      <c r="L79" s="113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5"/>
      <c r="AL79" s="92">
        <f t="shared" si="8"/>
        <v>0</v>
      </c>
      <c r="AM79" s="122" t="str">
        <f t="shared" si="9"/>
        <v>OK</v>
      </c>
    </row>
    <row r="80" spans="1:39" ht="17.25" hidden="1" thickBot="1">
      <c r="A80" s="68"/>
      <c r="B80" s="78"/>
      <c r="C80" s="95"/>
      <c r="D80" s="83"/>
      <c r="E80" s="83"/>
      <c r="F80" s="83"/>
      <c r="G80" s="84"/>
      <c r="H80" s="102"/>
      <c r="I80" s="106">
        <f t="shared" si="7"/>
        <v>0</v>
      </c>
      <c r="J80" s="85"/>
      <c r="K80" s="16"/>
      <c r="L80" s="116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66">
        <f t="shared" si="8"/>
        <v>0</v>
      </c>
      <c r="AM80" s="28" t="str">
        <f t="shared" si="9"/>
        <v>OK</v>
      </c>
    </row>
    <row r="81" spans="1:39" ht="17.25" hidden="1" thickBot="1">
      <c r="A81" s="87"/>
      <c r="B81" s="93"/>
      <c r="C81" s="94"/>
      <c r="D81" s="88"/>
      <c r="E81" s="88"/>
      <c r="F81" s="88"/>
      <c r="G81" s="89"/>
      <c r="H81" s="104"/>
      <c r="I81" s="105">
        <f t="shared" si="7"/>
        <v>0</v>
      </c>
      <c r="J81" s="90"/>
      <c r="K81" s="91"/>
      <c r="L81" s="113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5"/>
      <c r="AL81" s="92">
        <f t="shared" ref="AL81:AL96" si="10">SUM(L81:AK81)</f>
        <v>0</v>
      </c>
      <c r="AM81" s="122" t="str">
        <f t="shared" si="9"/>
        <v>OK</v>
      </c>
    </row>
    <row r="82" spans="1:39" ht="17.25" hidden="1" thickBot="1">
      <c r="A82" s="68"/>
      <c r="B82" s="78"/>
      <c r="C82" s="95"/>
      <c r="D82" s="83"/>
      <c r="E82" s="83"/>
      <c r="F82" s="83"/>
      <c r="G82" s="84"/>
      <c r="H82" s="102"/>
      <c r="I82" s="106">
        <f t="shared" si="7"/>
        <v>0</v>
      </c>
      <c r="J82" s="85"/>
      <c r="K82" s="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66">
        <f t="shared" si="10"/>
        <v>0</v>
      </c>
      <c r="AM82" s="28" t="str">
        <f t="shared" si="9"/>
        <v>OK</v>
      </c>
    </row>
    <row r="83" spans="1:39" ht="17.25" hidden="1" thickBot="1">
      <c r="A83" s="96"/>
      <c r="B83" s="93"/>
      <c r="C83" s="94"/>
      <c r="D83" s="88"/>
      <c r="E83" s="88"/>
      <c r="F83" s="88"/>
      <c r="G83" s="89"/>
      <c r="H83" s="104"/>
      <c r="I83" s="105">
        <f t="shared" si="7"/>
        <v>0</v>
      </c>
      <c r="J83" s="90"/>
      <c r="K83" s="91"/>
      <c r="L83" s="113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5"/>
      <c r="AL83" s="92">
        <f t="shared" si="10"/>
        <v>0</v>
      </c>
      <c r="AM83" s="122" t="str">
        <f t="shared" si="9"/>
        <v>OK</v>
      </c>
    </row>
    <row r="84" spans="1:39" ht="17.25" hidden="1" thickBot="1">
      <c r="A84" s="68"/>
      <c r="B84" s="78"/>
      <c r="C84" s="95"/>
      <c r="D84" s="83"/>
      <c r="E84" s="83"/>
      <c r="F84" s="83"/>
      <c r="G84" s="84"/>
      <c r="H84" s="102"/>
      <c r="I84" s="106">
        <f t="shared" si="7"/>
        <v>0</v>
      </c>
      <c r="J84" s="85"/>
      <c r="K84" s="16"/>
      <c r="L84" s="116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66">
        <f t="shared" si="10"/>
        <v>0</v>
      </c>
      <c r="AM84" s="28" t="str">
        <f t="shared" si="9"/>
        <v>OK</v>
      </c>
    </row>
    <row r="85" spans="1:39" ht="17.25" hidden="1" thickBot="1">
      <c r="A85" s="87"/>
      <c r="B85" s="93"/>
      <c r="C85" s="94"/>
      <c r="D85" s="88"/>
      <c r="E85" s="88"/>
      <c r="F85" s="88"/>
      <c r="G85" s="89"/>
      <c r="H85" s="104"/>
      <c r="I85" s="105">
        <f t="shared" si="7"/>
        <v>0</v>
      </c>
      <c r="J85" s="90"/>
      <c r="K85" s="91"/>
      <c r="L85" s="113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5"/>
      <c r="AL85" s="92">
        <f t="shared" si="10"/>
        <v>0</v>
      </c>
      <c r="AM85" s="122" t="str">
        <f t="shared" si="9"/>
        <v>OK</v>
      </c>
    </row>
    <row r="86" spans="1:39" ht="17.25" hidden="1" thickBot="1">
      <c r="A86" s="68"/>
      <c r="B86" s="78"/>
      <c r="C86" s="95"/>
      <c r="D86" s="83"/>
      <c r="E86" s="83"/>
      <c r="F86" s="83"/>
      <c r="G86" s="84"/>
      <c r="H86" s="102"/>
      <c r="I86" s="106">
        <f t="shared" si="7"/>
        <v>0</v>
      </c>
      <c r="J86" s="85"/>
      <c r="K86" s="16"/>
      <c r="L86" s="116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66">
        <f t="shared" si="10"/>
        <v>0</v>
      </c>
      <c r="AM86" s="28" t="str">
        <f t="shared" si="9"/>
        <v>OK</v>
      </c>
    </row>
    <row r="87" spans="1:39" ht="17.25" hidden="1" thickBot="1">
      <c r="A87" s="87"/>
      <c r="B87" s="93"/>
      <c r="C87" s="94"/>
      <c r="D87" s="88"/>
      <c r="E87" s="88"/>
      <c r="F87" s="88"/>
      <c r="G87" s="89"/>
      <c r="H87" s="104"/>
      <c r="I87" s="105">
        <f t="shared" si="7"/>
        <v>0</v>
      </c>
      <c r="J87" s="90"/>
      <c r="K87" s="91"/>
      <c r="L87" s="113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5"/>
      <c r="AL87" s="92">
        <f t="shared" si="10"/>
        <v>0</v>
      </c>
      <c r="AM87" s="122" t="str">
        <f t="shared" si="9"/>
        <v>OK</v>
      </c>
    </row>
    <row r="88" spans="1:39" ht="17.25" hidden="1" thickBot="1">
      <c r="A88" s="68"/>
      <c r="B88" s="78"/>
      <c r="C88" s="95"/>
      <c r="D88" s="83"/>
      <c r="E88" s="83"/>
      <c r="F88" s="83"/>
      <c r="G88" s="84"/>
      <c r="H88" s="102"/>
      <c r="I88" s="106">
        <f t="shared" si="7"/>
        <v>0</v>
      </c>
      <c r="J88" s="85"/>
      <c r="K88" s="16"/>
      <c r="L88" s="116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66">
        <f t="shared" si="10"/>
        <v>0</v>
      </c>
      <c r="AM88" s="28" t="str">
        <f t="shared" si="9"/>
        <v>OK</v>
      </c>
    </row>
    <row r="89" spans="1:39" ht="17.25" hidden="1" thickBot="1">
      <c r="A89" s="87"/>
      <c r="B89" s="93"/>
      <c r="C89" s="94"/>
      <c r="D89" s="88"/>
      <c r="E89" s="88"/>
      <c r="F89" s="88"/>
      <c r="G89" s="89"/>
      <c r="H89" s="104"/>
      <c r="I89" s="105">
        <f t="shared" si="7"/>
        <v>0</v>
      </c>
      <c r="J89" s="90"/>
      <c r="K89" s="91"/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5"/>
      <c r="AL89" s="92">
        <f t="shared" si="10"/>
        <v>0</v>
      </c>
      <c r="AM89" s="122" t="str">
        <f t="shared" si="9"/>
        <v>OK</v>
      </c>
    </row>
    <row r="90" spans="1:39" ht="17.25" hidden="1" thickBot="1">
      <c r="A90" s="68"/>
      <c r="B90" s="78"/>
      <c r="C90" s="95"/>
      <c r="D90" s="83"/>
      <c r="E90" s="83"/>
      <c r="F90" s="83"/>
      <c r="G90" s="84"/>
      <c r="H90" s="102"/>
      <c r="I90" s="106">
        <f t="shared" si="7"/>
        <v>0</v>
      </c>
      <c r="J90" s="85"/>
      <c r="K90" s="16"/>
      <c r="L90" s="116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66">
        <f t="shared" si="10"/>
        <v>0</v>
      </c>
      <c r="AM90" s="28" t="str">
        <f t="shared" si="9"/>
        <v>OK</v>
      </c>
    </row>
    <row r="91" spans="1:39" ht="17.25" hidden="1" thickBot="1">
      <c r="A91" s="87"/>
      <c r="B91" s="93"/>
      <c r="C91" s="94"/>
      <c r="D91" s="88"/>
      <c r="E91" s="88"/>
      <c r="F91" s="88"/>
      <c r="G91" s="89"/>
      <c r="H91" s="104"/>
      <c r="I91" s="105">
        <f t="shared" si="7"/>
        <v>0</v>
      </c>
      <c r="J91" s="90"/>
      <c r="K91" s="91"/>
      <c r="L91" s="113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5"/>
      <c r="AL91" s="92">
        <f t="shared" si="10"/>
        <v>0</v>
      </c>
      <c r="AM91" s="122" t="str">
        <f t="shared" si="9"/>
        <v>OK</v>
      </c>
    </row>
    <row r="92" spans="1:39" ht="17.25" hidden="1" thickBot="1">
      <c r="A92" s="68"/>
      <c r="B92" s="78"/>
      <c r="C92" s="95"/>
      <c r="D92" s="83"/>
      <c r="E92" s="83"/>
      <c r="F92" s="83"/>
      <c r="G92" s="84"/>
      <c r="H92" s="102"/>
      <c r="I92" s="106">
        <f t="shared" si="7"/>
        <v>0</v>
      </c>
      <c r="J92" s="85"/>
      <c r="K92" s="16"/>
      <c r="L92" s="116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66">
        <f t="shared" si="10"/>
        <v>0</v>
      </c>
      <c r="AM92" s="28" t="str">
        <f t="shared" si="9"/>
        <v>OK</v>
      </c>
    </row>
    <row r="93" spans="1:39" ht="17.25" hidden="1" thickBot="1">
      <c r="A93" s="87"/>
      <c r="B93" s="93"/>
      <c r="C93" s="94"/>
      <c r="D93" s="88"/>
      <c r="E93" s="88"/>
      <c r="F93" s="88"/>
      <c r="G93" s="89"/>
      <c r="H93" s="104"/>
      <c r="I93" s="105">
        <f t="shared" si="7"/>
        <v>0</v>
      </c>
      <c r="J93" s="90"/>
      <c r="K93" s="91"/>
      <c r="L93" s="113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5"/>
      <c r="AL93" s="92">
        <f t="shared" si="10"/>
        <v>0</v>
      </c>
      <c r="AM93" s="122" t="str">
        <f t="shared" si="9"/>
        <v>OK</v>
      </c>
    </row>
    <row r="94" spans="1:39" ht="17.25" hidden="1" thickBot="1">
      <c r="A94" s="68"/>
      <c r="B94" s="78"/>
      <c r="C94" s="95"/>
      <c r="D94" s="83"/>
      <c r="E94" s="83"/>
      <c r="F94" s="83"/>
      <c r="G94" s="84"/>
      <c r="H94" s="102"/>
      <c r="I94" s="106">
        <f t="shared" si="7"/>
        <v>0</v>
      </c>
      <c r="J94" s="85"/>
      <c r="K94" s="16"/>
      <c r="L94" s="116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66">
        <f t="shared" si="10"/>
        <v>0</v>
      </c>
      <c r="AM94" s="28" t="str">
        <f t="shared" si="9"/>
        <v>OK</v>
      </c>
    </row>
    <row r="95" spans="1:39" ht="17.25" hidden="1" thickBot="1">
      <c r="A95" s="87"/>
      <c r="B95" s="93"/>
      <c r="C95" s="94"/>
      <c r="D95" s="88"/>
      <c r="E95" s="88"/>
      <c r="F95" s="88"/>
      <c r="G95" s="89"/>
      <c r="H95" s="104"/>
      <c r="I95" s="105">
        <f t="shared" si="7"/>
        <v>0</v>
      </c>
      <c r="J95" s="90"/>
      <c r="K95" s="91"/>
      <c r="L95" s="113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5"/>
      <c r="AL95" s="92">
        <f t="shared" si="10"/>
        <v>0</v>
      </c>
      <c r="AM95" s="122" t="str">
        <f t="shared" si="9"/>
        <v>OK</v>
      </c>
    </row>
    <row r="96" spans="1:39" ht="17.25" hidden="1" thickBot="1">
      <c r="A96" s="97"/>
      <c r="B96" s="98"/>
      <c r="C96" s="99"/>
      <c r="D96" s="83"/>
      <c r="E96" s="83"/>
      <c r="F96" s="83"/>
      <c r="G96" s="84"/>
      <c r="H96" s="107"/>
      <c r="I96" s="108">
        <f t="shared" si="7"/>
        <v>0</v>
      </c>
      <c r="J96" s="85"/>
      <c r="K96" s="16"/>
      <c r="L96" s="119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1"/>
      <c r="AL96" s="66">
        <f t="shared" si="10"/>
        <v>0</v>
      </c>
      <c r="AM96" s="28" t="str">
        <f t="shared" si="9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34599</v>
      </c>
      <c r="I97" s="46">
        <f>SUM(I6:I96)</f>
        <v>18</v>
      </c>
      <c r="J97" s="47">
        <f>SUM(J6:J74)</f>
        <v>0</v>
      </c>
      <c r="K97" s="9"/>
      <c r="L97" s="45">
        <f>SUM(L6:L96)</f>
        <v>8</v>
      </c>
      <c r="M97" s="45">
        <f t="shared" ref="M97:AI97" si="11">SUM(M6:M96)</f>
        <v>0</v>
      </c>
      <c r="N97" s="45">
        <f t="shared" si="11"/>
        <v>1</v>
      </c>
      <c r="O97" s="45">
        <f t="shared" si="11"/>
        <v>0</v>
      </c>
      <c r="P97" s="45">
        <f t="shared" si="11"/>
        <v>1</v>
      </c>
      <c r="Q97" s="45">
        <f t="shared" si="11"/>
        <v>0</v>
      </c>
      <c r="R97" s="45">
        <f t="shared" si="11"/>
        <v>0</v>
      </c>
      <c r="S97" s="45">
        <f t="shared" si="11"/>
        <v>0</v>
      </c>
      <c r="T97" s="45">
        <f t="shared" si="11"/>
        <v>0</v>
      </c>
      <c r="U97" s="45">
        <f t="shared" si="11"/>
        <v>1</v>
      </c>
      <c r="V97" s="45">
        <f t="shared" si="11"/>
        <v>0</v>
      </c>
      <c r="W97" s="45">
        <f t="shared" si="11"/>
        <v>0</v>
      </c>
      <c r="X97" s="45">
        <f t="shared" si="11"/>
        <v>0</v>
      </c>
      <c r="Y97" s="45">
        <f t="shared" si="11"/>
        <v>0</v>
      </c>
      <c r="Z97" s="45">
        <f t="shared" si="11"/>
        <v>0</v>
      </c>
      <c r="AA97" s="45">
        <f t="shared" si="11"/>
        <v>0</v>
      </c>
      <c r="AB97" s="45">
        <f t="shared" si="11"/>
        <v>0</v>
      </c>
      <c r="AC97" s="45">
        <f t="shared" si="11"/>
        <v>2</v>
      </c>
      <c r="AD97" s="45">
        <f t="shared" si="11"/>
        <v>0</v>
      </c>
      <c r="AE97" s="45">
        <f t="shared" si="11"/>
        <v>0</v>
      </c>
      <c r="AF97" s="45">
        <f t="shared" si="11"/>
        <v>0</v>
      </c>
      <c r="AG97" s="45">
        <f t="shared" si="11"/>
        <v>0</v>
      </c>
      <c r="AH97" s="45">
        <f t="shared" si="11"/>
        <v>0</v>
      </c>
      <c r="AI97" s="45">
        <f t="shared" si="11"/>
        <v>5</v>
      </c>
      <c r="AJ97" s="49">
        <f>SUM(AJ6:AJ96)</f>
        <v>0</v>
      </c>
      <c r="AK97" s="61">
        <f>SUM(AK6:AK96)</f>
        <v>0</v>
      </c>
      <c r="AL97" s="67">
        <f>SUM(AL6:AL96)</f>
        <v>18</v>
      </c>
      <c r="AM97" s="48" t="str">
        <f>IF(AL97=SUM(I97),"OK","NG")</f>
        <v>OK</v>
      </c>
    </row>
  </sheetData>
  <autoFilter ref="A5:AM97" xr:uid="{00000000-0001-0000-1C00-000000000000}">
    <filterColumn colId="7">
      <customFilters>
        <customFilter operator="notEqual" val=" "/>
      </customFilters>
    </filterColumn>
  </autoFilter>
  <mergeCells count="37">
    <mergeCell ref="AM4:AM5"/>
    <mergeCell ref="AG4:AG5"/>
    <mergeCell ref="AH4:AH5"/>
    <mergeCell ref="AI4:AI5"/>
    <mergeCell ref="AJ4:AJ5"/>
    <mergeCell ref="AK4:AK5"/>
    <mergeCell ref="AL4:AL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B1:C1"/>
    <mergeCell ref="F1:G1"/>
    <mergeCell ref="H1:J3"/>
    <mergeCell ref="B2:C2"/>
    <mergeCell ref="AM2:AM3"/>
    <mergeCell ref="B3:C3"/>
  </mergeCells>
  <phoneticPr fontId="3" type="noConversion"/>
  <conditionalFormatting sqref="A4 AM6:AM97">
    <cfRule type="containsText" dxfId="7" priority="7" operator="containsText" text="NG">
      <formula>NOT(ISERROR(SEARCH("NG",A4)))</formula>
    </cfRule>
    <cfRule type="containsText" dxfId="6" priority="8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51" orientation="landscape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pageSetUpPr fitToPage="1"/>
  </sheetPr>
  <dimension ref="A1:AM102"/>
  <sheetViews>
    <sheetView showGridLines="0" zoomScale="85" zoomScaleNormal="85" workbookViewId="0">
      <pane ySplit="5" topLeftCell="A18" activePane="bottomLeft" state="frozen"/>
      <selection activeCell="P19" sqref="P19"/>
      <selection pane="bottomLeft" activeCell="P19" sqref="P19"/>
    </sheetView>
  </sheetViews>
  <sheetFormatPr defaultColWidth="9" defaultRowHeight="16.5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16" width="8.75"/>
    <col min="17" max="20" width="9" customWidth="1"/>
    <col min="21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5" customHeight="1" thickBot="1">
      <c r="A1" s="37" t="s">
        <v>13</v>
      </c>
      <c r="B1" s="168">
        <f>H97</f>
        <v>0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5" customHeight="1" thickBot="1">
      <c r="A2" s="37" t="s">
        <v>14</v>
      </c>
      <c r="B2" s="173">
        <f>I97</f>
        <v>0</v>
      </c>
      <c r="C2" s="174"/>
      <c r="D2" s="75"/>
      <c r="E2" s="71"/>
      <c r="F2" s="2"/>
      <c r="G2" s="2"/>
      <c r="H2" s="171"/>
      <c r="I2" s="171"/>
      <c r="J2" s="171"/>
      <c r="K2" s="3"/>
      <c r="L2" s="4">
        <f t="shared" ref="L2:AK2" si="0">SUBTOTAL(9,L6:L96)</f>
        <v>0</v>
      </c>
      <c r="M2" s="4">
        <f t="shared" si="0"/>
        <v>0</v>
      </c>
      <c r="N2" s="4">
        <f t="shared" si="0"/>
        <v>0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39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0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0</v>
      </c>
      <c r="AH2" s="5">
        <f t="shared" si="0"/>
        <v>0</v>
      </c>
      <c r="AI2" s="5">
        <f t="shared" si="0"/>
        <v>0</v>
      </c>
      <c r="AJ2" s="5">
        <f t="shared" si="0"/>
        <v>0</v>
      </c>
      <c r="AK2" s="59">
        <f t="shared" si="0"/>
        <v>0</v>
      </c>
      <c r="AL2" s="62">
        <f>SUBTOTAL(9,AL6:AL96)</f>
        <v>0</v>
      </c>
      <c r="AM2" s="175"/>
    </row>
    <row r="3" spans="1:39" customFormat="1" ht="22.5" customHeight="1" thickBot="1">
      <c r="A3" s="38" t="s">
        <v>15</v>
      </c>
      <c r="B3" s="177" t="str">
        <f>IF(ISERROR(B2/(B2+B1)*1000000),"",(B2/(B2+B1)*1000000))</f>
        <v/>
      </c>
      <c r="C3" s="178"/>
      <c r="D3" s="73"/>
      <c r="E3" s="72"/>
      <c r="F3" s="32"/>
      <c r="G3" s="32"/>
      <c r="H3" s="172"/>
      <c r="I3" s="172"/>
      <c r="J3" s="172"/>
      <c r="K3" s="6"/>
      <c r="L3" s="7">
        <f t="shared" ref="L3:AK3" si="1">SUM(L6:L96)</f>
        <v>0</v>
      </c>
      <c r="M3" s="7">
        <f t="shared" si="1"/>
        <v>0</v>
      </c>
      <c r="N3" s="7">
        <f t="shared" si="1"/>
        <v>0</v>
      </c>
      <c r="O3" s="7">
        <f t="shared" si="1"/>
        <v>0</v>
      </c>
      <c r="P3" s="7">
        <f t="shared" si="1"/>
        <v>0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40">
        <f t="shared" si="1"/>
        <v>0</v>
      </c>
      <c r="U3" s="8">
        <f t="shared" si="1"/>
        <v>0</v>
      </c>
      <c r="V3" s="8">
        <f t="shared" si="1"/>
        <v>0</v>
      </c>
      <c r="W3" s="8">
        <f t="shared" si="1"/>
        <v>0</v>
      </c>
      <c r="X3" s="8">
        <f t="shared" si="1"/>
        <v>0</v>
      </c>
      <c r="Y3" s="8">
        <f t="shared" si="1"/>
        <v>0</v>
      </c>
      <c r="Z3" s="8">
        <f t="shared" si="1"/>
        <v>0</v>
      </c>
      <c r="AA3" s="8">
        <f t="shared" si="1"/>
        <v>0</v>
      </c>
      <c r="AB3" s="8">
        <f t="shared" si="1"/>
        <v>0</v>
      </c>
      <c r="AC3" s="8">
        <f t="shared" si="1"/>
        <v>0</v>
      </c>
      <c r="AD3" s="8">
        <f t="shared" si="1"/>
        <v>0</v>
      </c>
      <c r="AE3" s="8">
        <f t="shared" si="1"/>
        <v>0</v>
      </c>
      <c r="AF3" s="8">
        <f t="shared" si="1"/>
        <v>0</v>
      </c>
      <c r="AG3" s="8">
        <f t="shared" si="1"/>
        <v>0</v>
      </c>
      <c r="AH3" s="8">
        <f t="shared" si="1"/>
        <v>0</v>
      </c>
      <c r="AI3" s="8">
        <f t="shared" si="1"/>
        <v>0</v>
      </c>
      <c r="AJ3" s="8">
        <f t="shared" si="1"/>
        <v>0</v>
      </c>
      <c r="AK3" s="60">
        <f t="shared" si="1"/>
        <v>0</v>
      </c>
      <c r="AL3" s="63">
        <f>SUM(AL6:AL96)</f>
        <v>0</v>
      </c>
      <c r="AM3" s="176"/>
    </row>
    <row r="4" spans="1:39" customFormat="1" ht="43.5" customHeight="1">
      <c r="A4" s="163" t="str">
        <f>AM97</f>
        <v>OK</v>
      </c>
      <c r="B4" s="163"/>
      <c r="C4" s="163"/>
      <c r="D4" s="164"/>
      <c r="E4" s="165" t="s">
        <v>16</v>
      </c>
      <c r="F4" s="165"/>
      <c r="G4" s="165"/>
      <c r="H4" s="165" t="s">
        <v>17</v>
      </c>
      <c r="I4" s="165"/>
      <c r="J4" s="165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1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56" t="s">
        <v>12</v>
      </c>
      <c r="AL4" s="158" t="s">
        <v>36</v>
      </c>
      <c r="AM4" s="149" t="s">
        <v>37</v>
      </c>
    </row>
    <row r="5" spans="1:39" customFormat="1" ht="33.75" thickBot="1">
      <c r="A5" s="34" t="s">
        <v>3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6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3"/>
      <c r="AJ5" s="155"/>
      <c r="AK5" s="157"/>
      <c r="AL5" s="159"/>
      <c r="AM5" s="150"/>
    </row>
    <row r="6" spans="1:39" customFormat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34"/>
      <c r="I6" s="15">
        <f>SUM(L6:AK6)</f>
        <v>0</v>
      </c>
      <c r="J6" s="15"/>
      <c r="K6" s="16"/>
      <c r="L6" s="15"/>
      <c r="M6" s="15"/>
      <c r="N6" s="15"/>
      <c r="O6" s="15"/>
      <c r="P6" s="15"/>
      <c r="Q6" s="15"/>
      <c r="R6" s="15"/>
      <c r="S6" s="15"/>
      <c r="T6" s="41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3"/>
      <c r="AJ6" s="56"/>
      <c r="AK6" s="53"/>
      <c r="AL6" s="64">
        <f>SUM(L6:AK6)</f>
        <v>0</v>
      </c>
      <c r="AM6" s="31" t="str">
        <f t="shared" ref="AM6:AM74" si="2">IF(AL6=I6,"OK","NG")</f>
        <v>OK</v>
      </c>
    </row>
    <row r="7" spans="1:39" customFormat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135"/>
      <c r="I7" s="21">
        <f t="shared" ref="I7:I70" si="3">SUM(L7:AK7)</f>
        <v>0</v>
      </c>
      <c r="J7" s="21"/>
      <c r="K7" s="16"/>
      <c r="L7" s="21"/>
      <c r="M7" s="21"/>
      <c r="N7" s="21"/>
      <c r="O7" s="21"/>
      <c r="P7" s="21"/>
      <c r="Q7" s="21"/>
      <c r="R7" s="21"/>
      <c r="S7" s="21"/>
      <c r="T7" s="42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4"/>
      <c r="AJ7" s="57"/>
      <c r="AK7" s="54"/>
      <c r="AL7" s="65">
        <f t="shared" ref="AL7:AL74" si="4">SUM(L7:AK7)</f>
        <v>0</v>
      </c>
      <c r="AM7" s="22" t="str">
        <f t="shared" si="2"/>
        <v>OK</v>
      </c>
    </row>
    <row r="8" spans="1:39" customFormat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36"/>
      <c r="I8" s="27">
        <f t="shared" si="3"/>
        <v>0</v>
      </c>
      <c r="J8" s="27"/>
      <c r="K8" s="16"/>
      <c r="L8" s="27"/>
      <c r="M8" s="27"/>
      <c r="N8" s="27"/>
      <c r="O8" s="27"/>
      <c r="P8" s="27"/>
      <c r="Q8" s="27"/>
      <c r="R8" s="27"/>
      <c r="S8" s="27"/>
      <c r="T8" s="4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5"/>
      <c r="AJ8" s="58"/>
      <c r="AK8" s="55"/>
      <c r="AL8" s="66">
        <f t="shared" si="4"/>
        <v>0</v>
      </c>
      <c r="AM8" s="28" t="str">
        <f t="shared" si="2"/>
        <v>OK</v>
      </c>
    </row>
    <row r="9" spans="1:39" customFormat="1">
      <c r="A9" s="17" t="s">
        <v>68</v>
      </c>
      <c r="B9" s="77">
        <v>10897</v>
      </c>
      <c r="C9" s="17" t="s">
        <v>62</v>
      </c>
      <c r="D9" s="69"/>
      <c r="E9" s="18"/>
      <c r="F9" s="18"/>
      <c r="G9" s="19"/>
      <c r="H9" s="135"/>
      <c r="I9" s="21">
        <f t="shared" si="3"/>
        <v>0</v>
      </c>
      <c r="J9" s="21"/>
      <c r="K9" s="16"/>
      <c r="L9" s="21"/>
      <c r="M9" s="21"/>
      <c r="N9" s="21"/>
      <c r="O9" s="21"/>
      <c r="P9" s="21"/>
      <c r="Q9" s="21"/>
      <c r="R9" s="21"/>
      <c r="S9" s="21"/>
      <c r="T9" s="42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4"/>
      <c r="AJ9" s="57"/>
      <c r="AK9" s="54"/>
      <c r="AL9" s="65">
        <f t="shared" si="4"/>
        <v>0</v>
      </c>
      <c r="AM9" s="22" t="str">
        <f t="shared" si="2"/>
        <v>OK</v>
      </c>
    </row>
    <row r="10" spans="1:39" customFormat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36"/>
      <c r="I10" s="27">
        <f t="shared" si="3"/>
        <v>0</v>
      </c>
      <c r="J10" s="27"/>
      <c r="K10" s="16"/>
      <c r="L10" s="27"/>
      <c r="M10" s="27"/>
      <c r="N10" s="27"/>
      <c r="O10" s="27"/>
      <c r="P10" s="27"/>
      <c r="Q10" s="27"/>
      <c r="R10" s="27"/>
      <c r="S10" s="27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5"/>
      <c r="AJ10" s="58"/>
      <c r="AK10" s="55"/>
      <c r="AL10" s="66">
        <f t="shared" si="4"/>
        <v>0</v>
      </c>
      <c r="AM10" s="28" t="str">
        <f t="shared" si="2"/>
        <v>OK</v>
      </c>
    </row>
    <row r="11" spans="1:39" customFormat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135"/>
      <c r="I11" s="21">
        <f t="shared" si="3"/>
        <v>0</v>
      </c>
      <c r="J11" s="21"/>
      <c r="K11" s="16"/>
      <c r="L11" s="21"/>
      <c r="M11" s="21"/>
      <c r="N11" s="21"/>
      <c r="O11" s="21"/>
      <c r="P11" s="21"/>
      <c r="Q11" s="21"/>
      <c r="R11" s="21"/>
      <c r="S11" s="21"/>
      <c r="T11" s="42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4"/>
      <c r="AJ11" s="57"/>
      <c r="AK11" s="54"/>
      <c r="AL11" s="65">
        <f t="shared" si="4"/>
        <v>0</v>
      </c>
      <c r="AM11" s="22" t="str">
        <f t="shared" si="2"/>
        <v>OK</v>
      </c>
    </row>
    <row r="12" spans="1:39" customFormat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36"/>
      <c r="I12" s="27">
        <f t="shared" si="3"/>
        <v>0</v>
      </c>
      <c r="J12" s="27"/>
      <c r="K12" s="16"/>
      <c r="L12" s="27"/>
      <c r="M12" s="27"/>
      <c r="N12" s="27"/>
      <c r="O12" s="27"/>
      <c r="P12" s="27"/>
      <c r="Q12" s="27"/>
      <c r="R12" s="27"/>
      <c r="S12" s="27"/>
      <c r="T12" s="43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8"/>
      <c r="AK12" s="55"/>
      <c r="AL12" s="66">
        <f t="shared" si="4"/>
        <v>0</v>
      </c>
      <c r="AM12" s="28" t="str">
        <f t="shared" si="2"/>
        <v>OK</v>
      </c>
    </row>
    <row r="13" spans="1:39" customFormat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135"/>
      <c r="I13" s="21">
        <f t="shared" si="3"/>
        <v>0</v>
      </c>
      <c r="J13" s="21"/>
      <c r="K13" s="16"/>
      <c r="L13" s="21"/>
      <c r="M13" s="21"/>
      <c r="N13" s="21"/>
      <c r="O13" s="21"/>
      <c r="P13" s="21"/>
      <c r="Q13" s="21"/>
      <c r="R13" s="21"/>
      <c r="S13" s="21"/>
      <c r="T13" s="4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4"/>
      <c r="AJ13" s="57"/>
      <c r="AK13" s="54"/>
      <c r="AL13" s="65">
        <f t="shared" si="4"/>
        <v>0</v>
      </c>
      <c r="AM13" s="22" t="str">
        <f t="shared" si="2"/>
        <v>OK</v>
      </c>
    </row>
    <row r="14" spans="1:39" customFormat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36"/>
      <c r="I14" s="27">
        <f t="shared" si="3"/>
        <v>0</v>
      </c>
      <c r="J14" s="27"/>
      <c r="K14" s="16"/>
      <c r="L14" s="27"/>
      <c r="M14" s="27"/>
      <c r="N14" s="27"/>
      <c r="O14" s="27"/>
      <c r="P14" s="27"/>
      <c r="Q14" s="27"/>
      <c r="R14" s="27"/>
      <c r="S14" s="27"/>
      <c r="T14" s="43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5"/>
      <c r="AJ14" s="58"/>
      <c r="AK14" s="55"/>
      <c r="AL14" s="66">
        <f t="shared" si="4"/>
        <v>0</v>
      </c>
      <c r="AM14" s="28" t="str">
        <f t="shared" si="2"/>
        <v>OK</v>
      </c>
    </row>
    <row r="15" spans="1:39" customFormat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135"/>
      <c r="I15" s="21">
        <f t="shared" si="3"/>
        <v>0</v>
      </c>
      <c r="J15" s="21"/>
      <c r="K15" s="16"/>
      <c r="L15" s="21"/>
      <c r="M15" s="21"/>
      <c r="N15" s="21"/>
      <c r="O15" s="21"/>
      <c r="P15" s="21"/>
      <c r="Q15" s="21"/>
      <c r="R15" s="21"/>
      <c r="S15" s="21"/>
      <c r="T15" s="42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4"/>
      <c r="AJ15" s="57"/>
      <c r="AK15" s="54"/>
      <c r="AL15" s="65">
        <f t="shared" si="4"/>
        <v>0</v>
      </c>
      <c r="AM15" s="22" t="str">
        <f t="shared" si="2"/>
        <v>OK</v>
      </c>
    </row>
    <row r="16" spans="1:39" customFormat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36"/>
      <c r="I16" s="27">
        <f t="shared" si="3"/>
        <v>0</v>
      </c>
      <c r="J16" s="27"/>
      <c r="K16" s="16"/>
      <c r="L16" s="27"/>
      <c r="M16" s="27"/>
      <c r="N16" s="27"/>
      <c r="O16" s="27"/>
      <c r="P16" s="27"/>
      <c r="Q16" s="27"/>
      <c r="R16" s="27"/>
      <c r="S16" s="27"/>
      <c r="T16" s="43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8"/>
      <c r="AK16" s="55"/>
      <c r="AL16" s="66">
        <f t="shared" si="4"/>
        <v>0</v>
      </c>
      <c r="AM16" s="28" t="str">
        <f t="shared" si="2"/>
        <v>OK</v>
      </c>
    </row>
    <row r="17" spans="1:39" customFormat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135"/>
      <c r="I17" s="21">
        <f t="shared" si="3"/>
        <v>0</v>
      </c>
      <c r="J17" s="21"/>
      <c r="K17" s="16"/>
      <c r="L17" s="21"/>
      <c r="M17" s="21"/>
      <c r="N17" s="21"/>
      <c r="O17" s="21"/>
      <c r="P17" s="21"/>
      <c r="Q17" s="21"/>
      <c r="R17" s="21"/>
      <c r="S17" s="21"/>
      <c r="T17" s="42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4"/>
      <c r="AJ17" s="57"/>
      <c r="AK17" s="54"/>
      <c r="AL17" s="65">
        <f t="shared" si="4"/>
        <v>0</v>
      </c>
      <c r="AM17" s="22" t="str">
        <f t="shared" si="2"/>
        <v>OK</v>
      </c>
    </row>
    <row r="18" spans="1:39" customFormat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36"/>
      <c r="I18" s="27">
        <f t="shared" si="3"/>
        <v>0</v>
      </c>
      <c r="J18" s="27"/>
      <c r="K18" s="16"/>
      <c r="L18" s="27"/>
      <c r="M18" s="27"/>
      <c r="N18" s="27"/>
      <c r="O18" s="27"/>
      <c r="P18" s="27"/>
      <c r="Q18" s="27"/>
      <c r="R18" s="27"/>
      <c r="S18" s="27"/>
      <c r="T18" s="43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8"/>
      <c r="AK18" s="55"/>
      <c r="AL18" s="66">
        <f t="shared" si="4"/>
        <v>0</v>
      </c>
      <c r="AM18" s="28" t="str">
        <f t="shared" si="2"/>
        <v>OK</v>
      </c>
    </row>
    <row r="19" spans="1:39" customFormat="1">
      <c r="A19" s="17" t="s">
        <v>91</v>
      </c>
      <c r="B19" s="77">
        <v>14988</v>
      </c>
      <c r="C19" s="17" t="s">
        <v>64</v>
      </c>
      <c r="D19" s="69"/>
      <c r="E19" s="18"/>
      <c r="F19" s="18"/>
      <c r="G19" s="19"/>
      <c r="H19" s="135"/>
      <c r="I19" s="21">
        <f t="shared" si="3"/>
        <v>0</v>
      </c>
      <c r="J19" s="21"/>
      <c r="K19" s="16"/>
      <c r="L19" s="21"/>
      <c r="M19" s="21"/>
      <c r="N19" s="21"/>
      <c r="O19" s="21"/>
      <c r="P19" s="21"/>
      <c r="Q19" s="21"/>
      <c r="R19" s="21"/>
      <c r="S19" s="21"/>
      <c r="T19" s="42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4"/>
      <c r="AJ19" s="57"/>
      <c r="AK19" s="54"/>
      <c r="AL19" s="65">
        <f t="shared" si="4"/>
        <v>0</v>
      </c>
      <c r="AM19" s="22" t="str">
        <f t="shared" si="2"/>
        <v>OK</v>
      </c>
    </row>
    <row r="20" spans="1:39" customFormat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136"/>
      <c r="I20" s="27">
        <f t="shared" si="3"/>
        <v>0</v>
      </c>
      <c r="J20" s="27"/>
      <c r="K20" s="16"/>
      <c r="L20" s="27"/>
      <c r="M20" s="27"/>
      <c r="N20" s="27"/>
      <c r="O20" s="27"/>
      <c r="P20" s="27"/>
      <c r="Q20" s="27"/>
      <c r="R20" s="27"/>
      <c r="S20" s="27"/>
      <c r="T20" s="43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8"/>
      <c r="AK20" s="55"/>
      <c r="AL20" s="66">
        <f t="shared" si="4"/>
        <v>0</v>
      </c>
      <c r="AM20" s="28" t="str">
        <f t="shared" si="2"/>
        <v>OK</v>
      </c>
    </row>
    <row r="21" spans="1:39" customFormat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135"/>
      <c r="I21" s="21">
        <f t="shared" si="3"/>
        <v>0</v>
      </c>
      <c r="J21" s="21"/>
      <c r="K21" s="16"/>
      <c r="L21" s="21"/>
      <c r="M21" s="21"/>
      <c r="N21" s="21"/>
      <c r="O21" s="21"/>
      <c r="P21" s="21"/>
      <c r="Q21" s="21"/>
      <c r="R21" s="21"/>
      <c r="S21" s="21"/>
      <c r="T21" s="4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4"/>
      <c r="AJ21" s="57"/>
      <c r="AK21" s="54"/>
      <c r="AL21" s="65">
        <f t="shared" si="4"/>
        <v>0</v>
      </c>
      <c r="AM21" s="22" t="str">
        <f t="shared" si="2"/>
        <v>OK</v>
      </c>
    </row>
    <row r="22" spans="1:39" customFormat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36"/>
      <c r="I22" s="27">
        <f t="shared" si="3"/>
        <v>0</v>
      </c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43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5"/>
      <c r="AJ22" s="58"/>
      <c r="AK22" s="55"/>
      <c r="AL22" s="66">
        <f t="shared" si="4"/>
        <v>0</v>
      </c>
      <c r="AM22" s="28" t="str">
        <f t="shared" si="2"/>
        <v>OK</v>
      </c>
    </row>
    <row r="23" spans="1:39" customFormat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135"/>
      <c r="I23" s="21">
        <f t="shared" si="3"/>
        <v>0</v>
      </c>
      <c r="J23" s="21"/>
      <c r="K23" s="16"/>
      <c r="L23" s="21"/>
      <c r="M23" s="21"/>
      <c r="N23" s="21"/>
      <c r="O23" s="21"/>
      <c r="P23" s="21"/>
      <c r="Q23" s="21"/>
      <c r="R23" s="21"/>
      <c r="S23" s="21"/>
      <c r="T23" s="42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7"/>
      <c r="AK23" s="54"/>
      <c r="AL23" s="65">
        <f>SUM(L23:AK23)</f>
        <v>0</v>
      </c>
      <c r="AM23" s="22" t="str">
        <f t="shared" si="2"/>
        <v>OK</v>
      </c>
    </row>
    <row r="24" spans="1:39" customFormat="1">
      <c r="A24" s="68" t="s">
        <v>44</v>
      </c>
      <c r="B24" s="78">
        <v>10163</v>
      </c>
      <c r="C24" s="23" t="s">
        <v>160</v>
      </c>
      <c r="D24" s="24"/>
      <c r="E24" s="24"/>
      <c r="F24" s="24"/>
      <c r="G24" s="25"/>
      <c r="H24" s="136"/>
      <c r="I24" s="27">
        <f t="shared" si="3"/>
        <v>0</v>
      </c>
      <c r="J24" s="27"/>
      <c r="K24" s="16"/>
      <c r="L24" s="27"/>
      <c r="M24" s="27"/>
      <c r="N24" s="27"/>
      <c r="O24" s="27"/>
      <c r="P24" s="27"/>
      <c r="Q24" s="27"/>
      <c r="R24" s="27"/>
      <c r="S24" s="27"/>
      <c r="T24" s="43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5"/>
      <c r="AJ24" s="58"/>
      <c r="AK24" s="55"/>
      <c r="AL24" s="66">
        <f t="shared" si="4"/>
        <v>0</v>
      </c>
      <c r="AM24" s="28" t="str">
        <f t="shared" si="2"/>
        <v>OK</v>
      </c>
    </row>
    <row r="25" spans="1:39" customFormat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135"/>
      <c r="I25" s="21">
        <f t="shared" si="3"/>
        <v>0</v>
      </c>
      <c r="J25" s="21"/>
      <c r="K25" s="16"/>
      <c r="L25" s="21"/>
      <c r="M25" s="21"/>
      <c r="N25" s="21"/>
      <c r="O25" s="21"/>
      <c r="P25" s="21"/>
      <c r="Q25" s="21"/>
      <c r="R25" s="21"/>
      <c r="S25" s="21"/>
      <c r="T25" s="42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4"/>
      <c r="AJ25" s="57"/>
      <c r="AK25" s="54"/>
      <c r="AL25" s="65">
        <f t="shared" si="4"/>
        <v>0</v>
      </c>
      <c r="AM25" s="22" t="str">
        <f t="shared" si="2"/>
        <v>OK</v>
      </c>
    </row>
    <row r="26" spans="1:39" customFormat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36"/>
      <c r="I26" s="27">
        <f t="shared" si="3"/>
        <v>0</v>
      </c>
      <c r="J26" s="27"/>
      <c r="K26" s="16"/>
      <c r="L26" s="27"/>
      <c r="M26" s="27"/>
      <c r="N26" s="27"/>
      <c r="O26" s="27"/>
      <c r="P26" s="27"/>
      <c r="Q26" s="27"/>
      <c r="R26" s="27"/>
      <c r="S26" s="27"/>
      <c r="T26" s="43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8"/>
      <c r="AK26" s="55"/>
      <c r="AL26" s="66">
        <f t="shared" si="4"/>
        <v>0</v>
      </c>
      <c r="AM26" s="28" t="str">
        <f t="shared" si="2"/>
        <v>OK</v>
      </c>
    </row>
    <row r="27" spans="1:39" customFormat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135"/>
      <c r="I27" s="21">
        <f t="shared" si="3"/>
        <v>0</v>
      </c>
      <c r="J27" s="21"/>
      <c r="K27" s="16"/>
      <c r="L27" s="21"/>
      <c r="M27" s="21"/>
      <c r="N27" s="21"/>
      <c r="O27" s="21"/>
      <c r="P27" s="21"/>
      <c r="Q27" s="21"/>
      <c r="R27" s="21"/>
      <c r="S27" s="21"/>
      <c r="T27" s="4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7"/>
      <c r="AK27" s="54"/>
      <c r="AL27" s="65">
        <f t="shared" si="4"/>
        <v>0</v>
      </c>
      <c r="AM27" s="22" t="str">
        <f t="shared" si="2"/>
        <v>OK</v>
      </c>
    </row>
    <row r="28" spans="1:39" customFormat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136"/>
      <c r="I28" s="27">
        <f t="shared" si="3"/>
        <v>0</v>
      </c>
      <c r="J28" s="27"/>
      <c r="K28" s="16"/>
      <c r="L28" s="27"/>
      <c r="M28" s="27"/>
      <c r="N28" s="27"/>
      <c r="O28" s="27"/>
      <c r="P28" s="27"/>
      <c r="Q28" s="27"/>
      <c r="R28" s="27"/>
      <c r="S28" s="27"/>
      <c r="T28" s="43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5"/>
      <c r="AJ28" s="58"/>
      <c r="AK28" s="55"/>
      <c r="AL28" s="66">
        <f t="shared" si="4"/>
        <v>0</v>
      </c>
      <c r="AM28" s="28" t="str">
        <f t="shared" si="2"/>
        <v>OK</v>
      </c>
    </row>
    <row r="29" spans="1:39" customFormat="1">
      <c r="A29" s="80" t="s">
        <v>71</v>
      </c>
      <c r="B29" s="77">
        <v>10151</v>
      </c>
      <c r="C29" s="17" t="s">
        <v>51</v>
      </c>
      <c r="D29" s="69"/>
      <c r="E29" s="18"/>
      <c r="F29" s="18"/>
      <c r="G29" s="19"/>
      <c r="H29" s="135"/>
      <c r="I29" s="21">
        <f t="shared" si="3"/>
        <v>0</v>
      </c>
      <c r="J29" s="21"/>
      <c r="K29" s="16"/>
      <c r="L29" s="21"/>
      <c r="M29" s="21"/>
      <c r="N29" s="21"/>
      <c r="O29" s="21"/>
      <c r="P29" s="21"/>
      <c r="Q29" s="21"/>
      <c r="R29" s="21"/>
      <c r="S29" s="21"/>
      <c r="T29" s="42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4"/>
      <c r="AJ29" s="57"/>
      <c r="AK29" s="54"/>
      <c r="AL29" s="65">
        <f t="shared" si="4"/>
        <v>0</v>
      </c>
      <c r="AM29" s="22" t="str">
        <f t="shared" si="2"/>
        <v>OK</v>
      </c>
    </row>
    <row r="30" spans="1:39" customFormat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137"/>
      <c r="I30" s="27">
        <f t="shared" si="3"/>
        <v>0</v>
      </c>
      <c r="J30" s="27"/>
      <c r="K30" s="16"/>
      <c r="L30" s="27"/>
      <c r="M30" s="27"/>
      <c r="N30" s="27"/>
      <c r="O30" s="27"/>
      <c r="P30" s="27"/>
      <c r="Q30" s="27"/>
      <c r="R30" s="27"/>
      <c r="S30" s="27"/>
      <c r="T30" s="43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5"/>
      <c r="AJ30" s="58"/>
      <c r="AK30" s="55"/>
      <c r="AL30" s="66">
        <f t="shared" si="4"/>
        <v>0</v>
      </c>
      <c r="AM30" s="28" t="str">
        <f t="shared" si="2"/>
        <v>OK</v>
      </c>
    </row>
    <row r="31" spans="1:39" customFormat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135"/>
      <c r="I31" s="21">
        <f t="shared" si="3"/>
        <v>0</v>
      </c>
      <c r="J31" s="21"/>
      <c r="K31" s="16"/>
      <c r="L31" s="21"/>
      <c r="M31" s="21"/>
      <c r="N31" s="21"/>
      <c r="O31" s="21"/>
      <c r="P31" s="21"/>
      <c r="Q31" s="21"/>
      <c r="R31" s="21"/>
      <c r="S31" s="21"/>
      <c r="T31" s="4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7"/>
      <c r="AK31" s="54"/>
      <c r="AL31" s="65">
        <f t="shared" si="4"/>
        <v>0</v>
      </c>
      <c r="AM31" s="22" t="str">
        <f t="shared" si="2"/>
        <v>OK</v>
      </c>
    </row>
    <row r="32" spans="1:39" customFormat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136"/>
      <c r="I32" s="27">
        <f t="shared" si="3"/>
        <v>0</v>
      </c>
      <c r="J32" s="27"/>
      <c r="K32" s="16"/>
      <c r="L32" s="27"/>
      <c r="M32" s="27"/>
      <c r="N32" s="27"/>
      <c r="O32" s="27"/>
      <c r="P32" s="27"/>
      <c r="Q32" s="27"/>
      <c r="R32" s="27"/>
      <c r="S32" s="27"/>
      <c r="T32" s="43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5"/>
      <c r="AJ32" s="58"/>
      <c r="AK32" s="55"/>
      <c r="AL32" s="66">
        <f t="shared" si="4"/>
        <v>0</v>
      </c>
      <c r="AM32" s="28" t="str">
        <f t="shared" si="2"/>
        <v>OK</v>
      </c>
    </row>
    <row r="33" spans="1:39" customFormat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135"/>
      <c r="I33" s="21">
        <f t="shared" si="3"/>
        <v>0</v>
      </c>
      <c r="J33" s="21"/>
      <c r="K33" s="16"/>
      <c r="L33" s="21"/>
      <c r="M33" s="21"/>
      <c r="N33" s="21"/>
      <c r="O33" s="21"/>
      <c r="P33" s="21"/>
      <c r="Q33" s="21"/>
      <c r="R33" s="21"/>
      <c r="S33" s="21"/>
      <c r="T33" s="42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4"/>
      <c r="AJ33" s="57"/>
      <c r="AK33" s="54"/>
      <c r="AL33" s="65">
        <f t="shared" si="4"/>
        <v>0</v>
      </c>
      <c r="AM33" s="22" t="str">
        <f t="shared" si="2"/>
        <v>OK</v>
      </c>
    </row>
    <row r="34" spans="1:39" customFormat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136"/>
      <c r="I34" s="27">
        <f t="shared" si="3"/>
        <v>0</v>
      </c>
      <c r="J34" s="27"/>
      <c r="K34" s="16"/>
      <c r="L34" s="27"/>
      <c r="M34" s="27"/>
      <c r="N34" s="27"/>
      <c r="O34" s="27"/>
      <c r="P34" s="27"/>
      <c r="Q34" s="27"/>
      <c r="R34" s="27"/>
      <c r="S34" s="27"/>
      <c r="T34" s="43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5"/>
      <c r="AJ34" s="58"/>
      <c r="AK34" s="55"/>
      <c r="AL34" s="66">
        <f t="shared" si="4"/>
        <v>0</v>
      </c>
      <c r="AM34" s="28" t="str">
        <f t="shared" si="2"/>
        <v>OK</v>
      </c>
    </row>
    <row r="35" spans="1:39" customFormat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135"/>
      <c r="I35" s="21">
        <f t="shared" si="3"/>
        <v>0</v>
      </c>
      <c r="J35" s="21"/>
      <c r="K35" s="16"/>
      <c r="L35" s="21"/>
      <c r="M35" s="21"/>
      <c r="N35" s="21"/>
      <c r="O35" s="21"/>
      <c r="P35" s="21"/>
      <c r="Q35" s="21"/>
      <c r="R35" s="21"/>
      <c r="S35" s="21"/>
      <c r="T35" s="42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4"/>
      <c r="AJ35" s="57"/>
      <c r="AK35" s="54"/>
      <c r="AL35" s="65">
        <f t="shared" si="4"/>
        <v>0</v>
      </c>
      <c r="AM35" s="22" t="str">
        <f t="shared" si="2"/>
        <v>OK</v>
      </c>
    </row>
    <row r="36" spans="1:39" customFormat="1">
      <c r="A36" s="68" t="s">
        <v>76</v>
      </c>
      <c r="B36" s="78">
        <v>10135</v>
      </c>
      <c r="C36" s="23" t="s">
        <v>56</v>
      </c>
      <c r="D36" s="24"/>
      <c r="E36" s="24"/>
      <c r="F36" s="24"/>
      <c r="G36" s="25"/>
      <c r="H36" s="136"/>
      <c r="I36" s="27">
        <f t="shared" si="3"/>
        <v>0</v>
      </c>
      <c r="J36" s="27"/>
      <c r="K36" s="16"/>
      <c r="L36" s="27"/>
      <c r="M36" s="27"/>
      <c r="N36" s="27"/>
      <c r="O36" s="27"/>
      <c r="P36" s="27"/>
      <c r="Q36" s="27"/>
      <c r="R36" s="27"/>
      <c r="S36" s="27"/>
      <c r="T36" s="43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5"/>
      <c r="AJ36" s="58"/>
      <c r="AK36" s="55"/>
      <c r="AL36" s="66">
        <f t="shared" si="4"/>
        <v>0</v>
      </c>
      <c r="AM36" s="28" t="str">
        <f t="shared" si="2"/>
        <v>OK</v>
      </c>
    </row>
    <row r="37" spans="1:39" customFormat="1">
      <c r="A37" s="80" t="s">
        <v>77</v>
      </c>
      <c r="B37" s="77">
        <v>10133</v>
      </c>
      <c r="C37" s="17" t="s">
        <v>55</v>
      </c>
      <c r="D37" s="69"/>
      <c r="E37" s="18"/>
      <c r="F37" s="18"/>
      <c r="G37" s="19"/>
      <c r="H37" s="135"/>
      <c r="I37" s="21">
        <f t="shared" si="3"/>
        <v>0</v>
      </c>
      <c r="J37" s="21"/>
      <c r="K37" s="16"/>
      <c r="L37" s="21"/>
      <c r="M37" s="21"/>
      <c r="N37" s="21"/>
      <c r="O37" s="21"/>
      <c r="P37" s="21"/>
      <c r="Q37" s="21"/>
      <c r="R37" s="21"/>
      <c r="S37" s="21"/>
      <c r="T37" s="42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4"/>
      <c r="AJ37" s="57"/>
      <c r="AK37" s="54"/>
      <c r="AL37" s="65">
        <f t="shared" si="4"/>
        <v>0</v>
      </c>
      <c r="AM37" s="22" t="str">
        <f t="shared" si="2"/>
        <v>OK</v>
      </c>
    </row>
    <row r="38" spans="1:39" customFormat="1">
      <c r="A38" s="68" t="s">
        <v>78</v>
      </c>
      <c r="B38" s="78">
        <v>10131</v>
      </c>
      <c r="C38" s="23" t="s">
        <v>56</v>
      </c>
      <c r="D38" s="24"/>
      <c r="E38" s="24"/>
      <c r="F38" s="24"/>
      <c r="G38" s="25"/>
      <c r="H38" s="136"/>
      <c r="I38" s="27">
        <f t="shared" si="3"/>
        <v>0</v>
      </c>
      <c r="J38" s="27"/>
      <c r="K38" s="16"/>
      <c r="L38" s="27"/>
      <c r="M38" s="27"/>
      <c r="N38" s="27"/>
      <c r="O38" s="27"/>
      <c r="P38" s="27"/>
      <c r="Q38" s="27"/>
      <c r="R38" s="27"/>
      <c r="S38" s="27"/>
      <c r="T38" s="43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5"/>
      <c r="AJ38" s="58"/>
      <c r="AK38" s="55"/>
      <c r="AL38" s="66">
        <f t="shared" ref="AL38:AL50" si="5">SUM(L38:AK38)</f>
        <v>0</v>
      </c>
      <c r="AM38" s="28" t="str">
        <f t="shared" si="2"/>
        <v>OK</v>
      </c>
    </row>
    <row r="39" spans="1:39" customFormat="1">
      <c r="A39" s="17" t="s">
        <v>79</v>
      </c>
      <c r="B39" s="77">
        <v>10129</v>
      </c>
      <c r="C39" s="17" t="s">
        <v>57</v>
      </c>
      <c r="D39" s="69"/>
      <c r="E39" s="18"/>
      <c r="F39" s="18"/>
      <c r="G39" s="19"/>
      <c r="H39" s="135"/>
      <c r="I39" s="21">
        <f t="shared" si="3"/>
        <v>0</v>
      </c>
      <c r="J39" s="21"/>
      <c r="K39" s="16"/>
      <c r="L39" s="21"/>
      <c r="M39" s="21"/>
      <c r="N39" s="21"/>
      <c r="O39" s="21"/>
      <c r="P39" s="21"/>
      <c r="Q39" s="21"/>
      <c r="R39" s="21"/>
      <c r="S39" s="21"/>
      <c r="T39" s="42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4"/>
      <c r="AJ39" s="57"/>
      <c r="AK39" s="54"/>
      <c r="AL39" s="65">
        <f t="shared" si="5"/>
        <v>0</v>
      </c>
      <c r="AM39" s="22" t="str">
        <f t="shared" si="2"/>
        <v>OK</v>
      </c>
    </row>
    <row r="40" spans="1:39" customFormat="1">
      <c r="A40" s="68" t="s">
        <v>80</v>
      </c>
      <c r="B40" s="78">
        <v>10127</v>
      </c>
      <c r="C40" s="23" t="s">
        <v>58</v>
      </c>
      <c r="D40" s="24"/>
      <c r="E40" s="24"/>
      <c r="F40" s="24"/>
      <c r="G40" s="25"/>
      <c r="H40" s="136"/>
      <c r="I40" s="27">
        <f t="shared" si="3"/>
        <v>0</v>
      </c>
      <c r="J40" s="27"/>
      <c r="K40" s="16"/>
      <c r="L40" s="27"/>
      <c r="M40" s="27"/>
      <c r="N40" s="27"/>
      <c r="O40" s="27"/>
      <c r="P40" s="27"/>
      <c r="Q40" s="27"/>
      <c r="R40" s="27"/>
      <c r="S40" s="27"/>
      <c r="T40" s="43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5"/>
      <c r="AJ40" s="58"/>
      <c r="AK40" s="55"/>
      <c r="AL40" s="66">
        <f t="shared" si="5"/>
        <v>0</v>
      </c>
      <c r="AM40" s="28" t="str">
        <f t="shared" si="2"/>
        <v>OK</v>
      </c>
    </row>
    <row r="41" spans="1:39" customFormat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135"/>
      <c r="I41" s="21">
        <f t="shared" si="3"/>
        <v>0</v>
      </c>
      <c r="J41" s="21"/>
      <c r="K41" s="16"/>
      <c r="L41" s="21"/>
      <c r="M41" s="21"/>
      <c r="N41" s="21"/>
      <c r="O41" s="21"/>
      <c r="P41" s="21"/>
      <c r="Q41" s="21"/>
      <c r="R41" s="21"/>
      <c r="S41" s="21"/>
      <c r="T41" s="4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4"/>
      <c r="AJ41" s="57"/>
      <c r="AK41" s="54"/>
      <c r="AL41" s="65">
        <f t="shared" si="5"/>
        <v>0</v>
      </c>
      <c r="AM41" s="22" t="str">
        <f t="shared" si="2"/>
        <v>OK</v>
      </c>
    </row>
    <row r="42" spans="1:39" customFormat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136"/>
      <c r="I42" s="27">
        <f t="shared" si="3"/>
        <v>0</v>
      </c>
      <c r="J42" s="27"/>
      <c r="K42" s="16"/>
      <c r="L42" s="27"/>
      <c r="M42" s="27"/>
      <c r="N42" s="27"/>
      <c r="O42" s="27"/>
      <c r="P42" s="27"/>
      <c r="Q42" s="27"/>
      <c r="R42" s="27"/>
      <c r="S42" s="27"/>
      <c r="T42" s="43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5"/>
      <c r="AJ42" s="58"/>
      <c r="AK42" s="55"/>
      <c r="AL42" s="66">
        <f t="shared" si="5"/>
        <v>0</v>
      </c>
      <c r="AM42" s="28" t="str">
        <f t="shared" si="2"/>
        <v>OK</v>
      </c>
    </row>
    <row r="43" spans="1:39" customFormat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135"/>
      <c r="I43" s="21">
        <f t="shared" si="3"/>
        <v>0</v>
      </c>
      <c r="J43" s="21"/>
      <c r="K43" s="16"/>
      <c r="L43" s="21"/>
      <c r="M43" s="21"/>
      <c r="N43" s="21"/>
      <c r="O43" s="21"/>
      <c r="P43" s="21"/>
      <c r="Q43" s="21"/>
      <c r="R43" s="21"/>
      <c r="S43" s="21"/>
      <c r="T43" s="42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4"/>
      <c r="AJ43" s="57"/>
      <c r="AK43" s="54"/>
      <c r="AL43" s="65">
        <f t="shared" si="5"/>
        <v>0</v>
      </c>
      <c r="AM43" s="22" t="str">
        <f t="shared" si="2"/>
        <v>OK</v>
      </c>
    </row>
    <row r="44" spans="1:39" customFormat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136"/>
      <c r="I44" s="27">
        <f t="shared" si="3"/>
        <v>0</v>
      </c>
      <c r="J44" s="27"/>
      <c r="K44" s="16"/>
      <c r="L44" s="27"/>
      <c r="M44" s="27"/>
      <c r="N44" s="27"/>
      <c r="O44" s="27"/>
      <c r="P44" s="27"/>
      <c r="Q44" s="27"/>
      <c r="R44" s="27"/>
      <c r="S44" s="27"/>
      <c r="T44" s="43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5"/>
      <c r="AJ44" s="58"/>
      <c r="AK44" s="55"/>
      <c r="AL44" s="66">
        <f t="shared" si="5"/>
        <v>0</v>
      </c>
      <c r="AM44" s="28" t="str">
        <f t="shared" si="2"/>
        <v>OK</v>
      </c>
    </row>
    <row r="45" spans="1:39" customFormat="1">
      <c r="A45" s="17" t="s">
        <v>107</v>
      </c>
      <c r="B45" s="77">
        <v>13467</v>
      </c>
      <c r="C45" s="17" t="s">
        <v>87</v>
      </c>
      <c r="D45" s="69"/>
      <c r="E45" s="18"/>
      <c r="F45" s="18"/>
      <c r="G45" s="19"/>
      <c r="H45" s="135"/>
      <c r="I45" s="21">
        <f t="shared" si="3"/>
        <v>0</v>
      </c>
      <c r="J45" s="21"/>
      <c r="K45" s="16"/>
      <c r="L45" s="21"/>
      <c r="M45" s="21"/>
      <c r="N45" s="21"/>
      <c r="O45" s="21"/>
      <c r="P45" s="21"/>
      <c r="Q45" s="21"/>
      <c r="R45" s="21"/>
      <c r="S45" s="21"/>
      <c r="T45" s="4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4"/>
      <c r="AJ45" s="57"/>
      <c r="AK45" s="54"/>
      <c r="AL45" s="65">
        <f t="shared" si="5"/>
        <v>0</v>
      </c>
      <c r="AM45" s="22" t="str">
        <f t="shared" si="2"/>
        <v>OK</v>
      </c>
    </row>
    <row r="46" spans="1:39" customFormat="1">
      <c r="A46" s="68" t="s">
        <v>111</v>
      </c>
      <c r="B46" s="78">
        <v>15948</v>
      </c>
      <c r="C46" s="23" t="s">
        <v>87</v>
      </c>
      <c r="D46" s="24"/>
      <c r="E46" s="24"/>
      <c r="F46" s="24"/>
      <c r="G46" s="25"/>
      <c r="H46" s="136"/>
      <c r="I46" s="27">
        <f t="shared" si="3"/>
        <v>0</v>
      </c>
      <c r="J46" s="27"/>
      <c r="K46" s="16"/>
      <c r="L46" s="27"/>
      <c r="M46" s="27"/>
      <c r="N46" s="27"/>
      <c r="O46" s="27"/>
      <c r="P46" s="27"/>
      <c r="Q46" s="27"/>
      <c r="R46" s="27"/>
      <c r="S46" s="27"/>
      <c r="T46" s="43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5"/>
      <c r="AJ46" s="58"/>
      <c r="AK46" s="55"/>
      <c r="AL46" s="66">
        <f t="shared" si="5"/>
        <v>0</v>
      </c>
      <c r="AM46" s="28" t="str">
        <f t="shared" si="2"/>
        <v>OK</v>
      </c>
    </row>
    <row r="47" spans="1:39" customFormat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135"/>
      <c r="I47" s="21">
        <f t="shared" si="3"/>
        <v>0</v>
      </c>
      <c r="J47" s="21"/>
      <c r="K47" s="16"/>
      <c r="L47" s="21"/>
      <c r="M47" s="21"/>
      <c r="N47" s="21"/>
      <c r="O47" s="21"/>
      <c r="P47" s="21"/>
      <c r="Q47" s="21"/>
      <c r="R47" s="21"/>
      <c r="S47" s="21"/>
      <c r="T47" s="42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4"/>
      <c r="AJ47" s="57"/>
      <c r="AK47" s="54"/>
      <c r="AL47" s="65">
        <f t="shared" si="5"/>
        <v>0</v>
      </c>
      <c r="AM47" s="22" t="str">
        <f t="shared" si="2"/>
        <v>OK</v>
      </c>
    </row>
    <row r="48" spans="1:39" customFormat="1">
      <c r="A48" s="68" t="s">
        <v>121</v>
      </c>
      <c r="B48" s="78">
        <v>16598</v>
      </c>
      <c r="C48" s="23" t="s">
        <v>87</v>
      </c>
      <c r="D48" s="24"/>
      <c r="E48" s="24"/>
      <c r="F48" s="24"/>
      <c r="G48" s="25"/>
      <c r="H48" s="136"/>
      <c r="I48" s="27">
        <f t="shared" si="3"/>
        <v>0</v>
      </c>
      <c r="J48" s="27"/>
      <c r="K48" s="16"/>
      <c r="L48" s="27"/>
      <c r="M48" s="27"/>
      <c r="N48" s="27"/>
      <c r="O48" s="27"/>
      <c r="P48" s="27"/>
      <c r="Q48" s="27"/>
      <c r="R48" s="27"/>
      <c r="S48" s="27"/>
      <c r="T48" s="43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5"/>
      <c r="AJ48" s="58"/>
      <c r="AK48" s="55"/>
      <c r="AL48" s="66">
        <f t="shared" si="5"/>
        <v>0</v>
      </c>
      <c r="AM48" s="28" t="str">
        <f t="shared" si="2"/>
        <v>OK</v>
      </c>
    </row>
    <row r="49" spans="1:39" customFormat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135"/>
      <c r="I49" s="21">
        <f t="shared" si="3"/>
        <v>0</v>
      </c>
      <c r="J49" s="21"/>
      <c r="K49" s="16"/>
      <c r="L49" s="21"/>
      <c r="M49" s="21"/>
      <c r="N49" s="21"/>
      <c r="O49" s="21"/>
      <c r="P49" s="21"/>
      <c r="Q49" s="21"/>
      <c r="R49" s="21"/>
      <c r="S49" s="21"/>
      <c r="T49" s="4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4"/>
      <c r="AJ49" s="57"/>
      <c r="AK49" s="54"/>
      <c r="AL49" s="65">
        <f t="shared" si="5"/>
        <v>0</v>
      </c>
      <c r="AM49" s="22" t="str">
        <f t="shared" si="2"/>
        <v>OK</v>
      </c>
    </row>
    <row r="50" spans="1:39" customFormat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136"/>
      <c r="I50" s="27">
        <f t="shared" si="3"/>
        <v>0</v>
      </c>
      <c r="J50" s="27"/>
      <c r="K50" s="16"/>
      <c r="L50" s="27"/>
      <c r="M50" s="27"/>
      <c r="N50" s="27"/>
      <c r="O50" s="27"/>
      <c r="P50" s="27"/>
      <c r="Q50" s="27"/>
      <c r="R50" s="27"/>
      <c r="S50" s="27"/>
      <c r="T50" s="43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8"/>
      <c r="AK50" s="55"/>
      <c r="AL50" s="66">
        <f t="shared" si="5"/>
        <v>0</v>
      </c>
      <c r="AM50" s="28" t="str">
        <f t="shared" si="2"/>
        <v>OK</v>
      </c>
    </row>
    <row r="51" spans="1:39" customFormat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135"/>
      <c r="I51" s="21">
        <f t="shared" si="3"/>
        <v>0</v>
      </c>
      <c r="J51" s="21"/>
      <c r="K51" s="16"/>
      <c r="L51" s="21"/>
      <c r="M51" s="21"/>
      <c r="N51" s="21"/>
      <c r="O51" s="21"/>
      <c r="P51" s="21"/>
      <c r="Q51" s="21"/>
      <c r="R51" s="21"/>
      <c r="S51" s="21"/>
      <c r="T51" s="4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4"/>
      <c r="AJ51" s="57"/>
      <c r="AK51" s="54"/>
      <c r="AL51" s="65">
        <f>SUM(L51:AK51)</f>
        <v>0</v>
      </c>
      <c r="AM51" s="22" t="str">
        <f t="shared" si="2"/>
        <v>OK</v>
      </c>
    </row>
    <row r="52" spans="1:39" customFormat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136"/>
      <c r="I52" s="27">
        <f t="shared" si="3"/>
        <v>0</v>
      </c>
      <c r="J52" s="27"/>
      <c r="K52" s="16"/>
      <c r="L52" s="27"/>
      <c r="M52" s="27"/>
      <c r="N52" s="27"/>
      <c r="O52" s="27"/>
      <c r="P52" s="27"/>
      <c r="Q52" s="27"/>
      <c r="R52" s="27"/>
      <c r="S52" s="27"/>
      <c r="T52" s="43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5"/>
      <c r="AJ52" s="58"/>
      <c r="AK52" s="55"/>
      <c r="AL52" s="66">
        <f t="shared" ref="AL52:AL64" si="6">SUM(L52:AK52)</f>
        <v>0</v>
      </c>
      <c r="AM52" s="28" t="str">
        <f t="shared" si="2"/>
        <v>OK</v>
      </c>
    </row>
    <row r="53" spans="1:39" customFormat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135"/>
      <c r="I53" s="21">
        <f t="shared" si="3"/>
        <v>0</v>
      </c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42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4"/>
      <c r="AJ53" s="57"/>
      <c r="AK53" s="54"/>
      <c r="AL53" s="65">
        <f t="shared" si="6"/>
        <v>0</v>
      </c>
      <c r="AM53" s="22" t="str">
        <f t="shared" si="2"/>
        <v>OK</v>
      </c>
    </row>
    <row r="54" spans="1:39" customFormat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136"/>
      <c r="I54" s="27">
        <f t="shared" si="3"/>
        <v>0</v>
      </c>
      <c r="J54" s="27"/>
      <c r="K54" s="16"/>
      <c r="L54" s="27"/>
      <c r="M54" s="27"/>
      <c r="N54" s="27"/>
      <c r="O54" s="27"/>
      <c r="P54" s="27"/>
      <c r="Q54" s="27"/>
      <c r="R54" s="27"/>
      <c r="S54" s="27"/>
      <c r="T54" s="43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5"/>
      <c r="AJ54" s="58"/>
      <c r="AK54" s="55"/>
      <c r="AL54" s="66">
        <f t="shared" si="6"/>
        <v>0</v>
      </c>
      <c r="AM54" s="28" t="str">
        <f t="shared" si="2"/>
        <v>OK</v>
      </c>
    </row>
    <row r="55" spans="1:39" customFormat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135"/>
      <c r="I55" s="21">
        <f t="shared" si="3"/>
        <v>0</v>
      </c>
      <c r="J55" s="21"/>
      <c r="K55" s="16"/>
      <c r="L55" s="21"/>
      <c r="M55" s="21"/>
      <c r="N55" s="21"/>
      <c r="O55" s="21"/>
      <c r="P55" s="21"/>
      <c r="Q55" s="21"/>
      <c r="R55" s="21"/>
      <c r="S55" s="21"/>
      <c r="T55" s="42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4"/>
      <c r="AJ55" s="57"/>
      <c r="AK55" s="54"/>
      <c r="AL55" s="65">
        <f t="shared" si="6"/>
        <v>0</v>
      </c>
      <c r="AM55" s="22" t="str">
        <f t="shared" si="2"/>
        <v>OK</v>
      </c>
    </row>
    <row r="56" spans="1:39" customFormat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136"/>
      <c r="I56" s="27">
        <f t="shared" si="3"/>
        <v>0</v>
      </c>
      <c r="J56" s="27"/>
      <c r="K56" s="16"/>
      <c r="L56" s="27"/>
      <c r="M56" s="27"/>
      <c r="N56" s="27"/>
      <c r="O56" s="27"/>
      <c r="P56" s="27"/>
      <c r="Q56" s="27"/>
      <c r="R56" s="27"/>
      <c r="S56" s="27"/>
      <c r="T56" s="43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5"/>
      <c r="AJ56" s="58"/>
      <c r="AK56" s="55"/>
      <c r="AL56" s="66">
        <f t="shared" si="6"/>
        <v>0</v>
      </c>
      <c r="AM56" s="28" t="str">
        <f t="shared" si="2"/>
        <v>OK</v>
      </c>
    </row>
    <row r="57" spans="1:39" customFormat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135"/>
      <c r="I57" s="21">
        <f t="shared" si="3"/>
        <v>0</v>
      </c>
      <c r="J57" s="21"/>
      <c r="K57" s="16"/>
      <c r="L57" s="21"/>
      <c r="M57" s="21"/>
      <c r="N57" s="21"/>
      <c r="O57" s="21"/>
      <c r="P57" s="21"/>
      <c r="Q57" s="21"/>
      <c r="R57" s="21"/>
      <c r="S57" s="21"/>
      <c r="T57" s="42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4"/>
      <c r="AJ57" s="57"/>
      <c r="AK57" s="54"/>
      <c r="AL57" s="65">
        <f t="shared" si="6"/>
        <v>0</v>
      </c>
      <c r="AM57" s="22" t="str">
        <f t="shared" si="2"/>
        <v>OK</v>
      </c>
    </row>
    <row r="58" spans="1:39" customFormat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136"/>
      <c r="I58" s="27">
        <f t="shared" si="3"/>
        <v>0</v>
      </c>
      <c r="J58" s="27"/>
      <c r="K58" s="16"/>
      <c r="L58" s="27"/>
      <c r="M58" s="27"/>
      <c r="N58" s="27"/>
      <c r="O58" s="27"/>
      <c r="P58" s="27"/>
      <c r="Q58" s="27"/>
      <c r="R58" s="27"/>
      <c r="S58" s="27"/>
      <c r="T58" s="43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5"/>
      <c r="AJ58" s="58"/>
      <c r="AK58" s="55"/>
      <c r="AL58" s="66">
        <f t="shared" si="6"/>
        <v>0</v>
      </c>
      <c r="AM58" s="28" t="str">
        <f t="shared" si="2"/>
        <v>OK</v>
      </c>
    </row>
    <row r="59" spans="1:39" customFormat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135"/>
      <c r="I59" s="21">
        <f t="shared" si="3"/>
        <v>0</v>
      </c>
      <c r="J59" s="21"/>
      <c r="K59" s="16"/>
      <c r="L59" s="21"/>
      <c r="M59" s="21"/>
      <c r="N59" s="21"/>
      <c r="O59" s="21"/>
      <c r="P59" s="21"/>
      <c r="Q59" s="21"/>
      <c r="R59" s="21"/>
      <c r="S59" s="21"/>
      <c r="T59" s="4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4"/>
      <c r="AJ59" s="57"/>
      <c r="AK59" s="54"/>
      <c r="AL59" s="65">
        <f t="shared" si="6"/>
        <v>0</v>
      </c>
      <c r="AM59" s="22" t="str">
        <f t="shared" si="2"/>
        <v>OK</v>
      </c>
    </row>
    <row r="60" spans="1:39" customFormat="1">
      <c r="A60" s="68" t="s">
        <v>84</v>
      </c>
      <c r="B60" s="78">
        <v>11380</v>
      </c>
      <c r="C60" s="23" t="s">
        <v>60</v>
      </c>
      <c r="D60" s="24"/>
      <c r="E60" s="24"/>
      <c r="F60" s="24"/>
      <c r="G60" s="25"/>
      <c r="H60" s="136"/>
      <c r="I60" s="27">
        <f t="shared" si="3"/>
        <v>0</v>
      </c>
      <c r="J60" s="27"/>
      <c r="K60" s="16"/>
      <c r="L60" s="27"/>
      <c r="M60" s="27"/>
      <c r="N60" s="27"/>
      <c r="O60" s="27"/>
      <c r="P60" s="27"/>
      <c r="Q60" s="27"/>
      <c r="R60" s="27"/>
      <c r="S60" s="27"/>
      <c r="T60" s="43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5"/>
      <c r="AJ60" s="58"/>
      <c r="AK60" s="55"/>
      <c r="AL60" s="66">
        <f t="shared" si="6"/>
        <v>0</v>
      </c>
      <c r="AM60" s="28" t="str">
        <f t="shared" si="2"/>
        <v>OK</v>
      </c>
    </row>
    <row r="61" spans="1:39" customFormat="1">
      <c r="A61" s="80" t="s">
        <v>112</v>
      </c>
      <c r="B61" s="77">
        <v>18518</v>
      </c>
      <c r="C61" s="17" t="s">
        <v>161</v>
      </c>
      <c r="D61" s="69"/>
      <c r="E61" s="18"/>
      <c r="F61" s="18"/>
      <c r="G61" s="19"/>
      <c r="H61" s="135"/>
      <c r="I61" s="21">
        <f t="shared" si="3"/>
        <v>0</v>
      </c>
      <c r="J61" s="21"/>
      <c r="K61" s="16"/>
      <c r="L61" s="21"/>
      <c r="M61" s="21"/>
      <c r="N61" s="21"/>
      <c r="O61" s="21"/>
      <c r="P61" s="21"/>
      <c r="Q61" s="21"/>
      <c r="R61" s="21"/>
      <c r="S61" s="21"/>
      <c r="T61" s="4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4"/>
      <c r="AJ61" s="57"/>
      <c r="AK61" s="54"/>
      <c r="AL61" s="65">
        <f t="shared" si="6"/>
        <v>0</v>
      </c>
      <c r="AM61" s="22" t="str">
        <f t="shared" si="2"/>
        <v>OK</v>
      </c>
    </row>
    <row r="62" spans="1:39" customFormat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136"/>
      <c r="I62" s="27">
        <f t="shared" si="3"/>
        <v>0</v>
      </c>
      <c r="J62" s="27"/>
      <c r="K62" s="16"/>
      <c r="L62" s="27"/>
      <c r="M62" s="27"/>
      <c r="N62" s="27"/>
      <c r="O62" s="27"/>
      <c r="P62" s="27"/>
      <c r="Q62" s="27"/>
      <c r="R62" s="27"/>
      <c r="S62" s="27"/>
      <c r="T62" s="43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5"/>
      <c r="AJ62" s="58"/>
      <c r="AK62" s="55"/>
      <c r="AL62" s="66">
        <f t="shared" si="6"/>
        <v>0</v>
      </c>
      <c r="AM62" s="28" t="str">
        <f t="shared" si="2"/>
        <v>OK</v>
      </c>
    </row>
    <row r="63" spans="1:39" customFormat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135"/>
      <c r="I63" s="21">
        <f t="shared" si="3"/>
        <v>0</v>
      </c>
      <c r="J63" s="21"/>
      <c r="K63" s="16"/>
      <c r="L63" s="21"/>
      <c r="M63" s="21"/>
      <c r="N63" s="21"/>
      <c r="O63" s="21"/>
      <c r="P63" s="21"/>
      <c r="Q63" s="21"/>
      <c r="R63" s="21"/>
      <c r="S63" s="21"/>
      <c r="T63" s="4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4"/>
      <c r="AJ63" s="57"/>
      <c r="AK63" s="54"/>
      <c r="AL63" s="65">
        <f t="shared" si="6"/>
        <v>0</v>
      </c>
      <c r="AM63" s="22" t="str">
        <f t="shared" si="2"/>
        <v>OK</v>
      </c>
    </row>
    <row r="64" spans="1:39" customFormat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136"/>
      <c r="I64" s="27">
        <f t="shared" si="3"/>
        <v>0</v>
      </c>
      <c r="J64" s="27"/>
      <c r="K64" s="16"/>
      <c r="L64" s="27"/>
      <c r="M64" s="27"/>
      <c r="N64" s="27"/>
      <c r="O64" s="27"/>
      <c r="P64" s="27"/>
      <c r="Q64" s="27"/>
      <c r="R64" s="27"/>
      <c r="S64" s="27"/>
      <c r="T64" s="43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5"/>
      <c r="AJ64" s="58"/>
      <c r="AK64" s="55"/>
      <c r="AL64" s="66">
        <f t="shared" si="6"/>
        <v>0</v>
      </c>
      <c r="AM64" s="28" t="str">
        <f t="shared" si="2"/>
        <v>OK</v>
      </c>
    </row>
    <row r="65" spans="1:39" customFormat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135"/>
      <c r="I65" s="21">
        <f t="shared" si="3"/>
        <v>0</v>
      </c>
      <c r="J65" s="21"/>
      <c r="K65" s="16"/>
      <c r="L65" s="21"/>
      <c r="M65" s="21"/>
      <c r="N65" s="21"/>
      <c r="O65" s="21"/>
      <c r="P65" s="21"/>
      <c r="Q65" s="21"/>
      <c r="R65" s="21"/>
      <c r="S65" s="21"/>
      <c r="T65" s="4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4"/>
      <c r="AJ65" s="57"/>
      <c r="AK65" s="54"/>
      <c r="AL65" s="65">
        <f t="shared" si="4"/>
        <v>0</v>
      </c>
      <c r="AM65" s="22" t="str">
        <f t="shared" si="2"/>
        <v>OK</v>
      </c>
    </row>
    <row r="66" spans="1:39" customFormat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136"/>
      <c r="I66" s="27">
        <f t="shared" si="3"/>
        <v>0</v>
      </c>
      <c r="J66" s="27"/>
      <c r="K66" s="16"/>
      <c r="L66" s="27"/>
      <c r="M66" s="27"/>
      <c r="N66" s="27"/>
      <c r="O66" s="27"/>
      <c r="P66" s="27"/>
      <c r="Q66" s="27"/>
      <c r="R66" s="27"/>
      <c r="S66" s="27"/>
      <c r="T66" s="43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5"/>
      <c r="AJ66" s="58"/>
      <c r="AK66" s="55"/>
      <c r="AL66" s="66">
        <f t="shared" si="4"/>
        <v>0</v>
      </c>
      <c r="AM66" s="28" t="str">
        <f t="shared" si="2"/>
        <v>OK</v>
      </c>
    </row>
    <row r="67" spans="1:39" customFormat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135"/>
      <c r="I67" s="21">
        <f t="shared" si="3"/>
        <v>0</v>
      </c>
      <c r="J67" s="21"/>
      <c r="K67" s="16"/>
      <c r="L67" s="21"/>
      <c r="M67" s="21"/>
      <c r="N67" s="21"/>
      <c r="O67" s="21"/>
      <c r="P67" s="21"/>
      <c r="Q67" s="21"/>
      <c r="R67" s="21"/>
      <c r="S67" s="21"/>
      <c r="T67" s="4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4"/>
      <c r="AJ67" s="57"/>
      <c r="AK67" s="54"/>
      <c r="AL67" s="65">
        <f t="shared" si="4"/>
        <v>0</v>
      </c>
      <c r="AM67" s="22" t="str">
        <f t="shared" si="2"/>
        <v>OK</v>
      </c>
    </row>
    <row r="68" spans="1:39" customFormat="1">
      <c r="A68" s="81" t="s">
        <v>132</v>
      </c>
      <c r="B68" s="78">
        <v>20269</v>
      </c>
      <c r="C68" s="23" t="s">
        <v>131</v>
      </c>
      <c r="D68" s="24"/>
      <c r="E68" s="24"/>
      <c r="F68" s="24"/>
      <c r="G68" s="25"/>
      <c r="H68" s="136"/>
      <c r="I68" s="27">
        <f t="shared" si="3"/>
        <v>0</v>
      </c>
      <c r="J68" s="27"/>
      <c r="K68" s="16"/>
      <c r="L68" s="27"/>
      <c r="M68" s="27"/>
      <c r="N68" s="27"/>
      <c r="O68" s="27"/>
      <c r="P68" s="27"/>
      <c r="Q68" s="27"/>
      <c r="R68" s="27"/>
      <c r="S68" s="27"/>
      <c r="T68" s="43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5"/>
      <c r="AJ68" s="58"/>
      <c r="AK68" s="55"/>
      <c r="AL68" s="66">
        <f t="shared" si="4"/>
        <v>0</v>
      </c>
      <c r="AM68" s="28" t="str">
        <f t="shared" si="2"/>
        <v>OK</v>
      </c>
    </row>
    <row r="69" spans="1:39" customFormat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135"/>
      <c r="I69" s="21">
        <f t="shared" si="3"/>
        <v>0</v>
      </c>
      <c r="J69" s="21"/>
      <c r="K69" s="16"/>
      <c r="L69" s="21"/>
      <c r="M69" s="21"/>
      <c r="N69" s="21"/>
      <c r="O69" s="21"/>
      <c r="P69" s="21"/>
      <c r="Q69" s="21"/>
      <c r="R69" s="21"/>
      <c r="S69" s="21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7"/>
      <c r="AK69" s="54"/>
      <c r="AL69" s="65">
        <f t="shared" si="4"/>
        <v>0</v>
      </c>
      <c r="AM69" s="22" t="str">
        <f t="shared" si="2"/>
        <v>OK</v>
      </c>
    </row>
    <row r="70" spans="1:39" customFormat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136"/>
      <c r="I70" s="27">
        <f t="shared" si="3"/>
        <v>0</v>
      </c>
      <c r="J70" s="27"/>
      <c r="K70" s="16"/>
      <c r="L70" s="27"/>
      <c r="M70" s="27"/>
      <c r="N70" s="27"/>
      <c r="O70" s="27"/>
      <c r="P70" s="27"/>
      <c r="Q70" s="27"/>
      <c r="R70" s="27"/>
      <c r="S70" s="27"/>
      <c r="T70" s="43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5"/>
      <c r="AJ70" s="58"/>
      <c r="AK70" s="55"/>
      <c r="AL70" s="66">
        <f t="shared" si="4"/>
        <v>0</v>
      </c>
      <c r="AM70" s="28" t="str">
        <f t="shared" si="2"/>
        <v>OK</v>
      </c>
    </row>
    <row r="71" spans="1:39" customFormat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135"/>
      <c r="I71" s="21">
        <f t="shared" ref="I71:I96" si="7">SUM(L71:AK71)</f>
        <v>0</v>
      </c>
      <c r="J71" s="21"/>
      <c r="K71" s="16"/>
      <c r="L71" s="21"/>
      <c r="M71" s="21"/>
      <c r="N71" s="21"/>
      <c r="O71" s="21"/>
      <c r="P71" s="21"/>
      <c r="Q71" s="21"/>
      <c r="R71" s="21"/>
      <c r="S71" s="21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4"/>
      <c r="AJ71" s="57"/>
      <c r="AK71" s="54"/>
      <c r="AL71" s="65">
        <f t="shared" si="4"/>
        <v>0</v>
      </c>
      <c r="AM71" s="22" t="str">
        <f t="shared" si="2"/>
        <v>OK</v>
      </c>
    </row>
    <row r="72" spans="1:39" customFormat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136"/>
      <c r="I72" s="27">
        <f t="shared" si="7"/>
        <v>0</v>
      </c>
      <c r="J72" s="27"/>
      <c r="K72" s="16"/>
      <c r="L72" s="27"/>
      <c r="M72" s="27"/>
      <c r="N72" s="27"/>
      <c r="O72" s="27"/>
      <c r="P72" s="27"/>
      <c r="Q72" s="27"/>
      <c r="R72" s="27"/>
      <c r="S72" s="27"/>
      <c r="T72" s="43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5"/>
      <c r="AJ72" s="58"/>
      <c r="AK72" s="55"/>
      <c r="AL72" s="66">
        <f t="shared" si="4"/>
        <v>0</v>
      </c>
      <c r="AM72" s="28" t="str">
        <f t="shared" si="2"/>
        <v>OK</v>
      </c>
    </row>
    <row r="73" spans="1:39" customFormat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138"/>
      <c r="I73" s="101">
        <f t="shared" si="7"/>
        <v>0</v>
      </c>
      <c r="J73" s="21"/>
      <c r="K73" s="16"/>
      <c r="L73" s="21"/>
      <c r="M73" s="21"/>
      <c r="N73" s="21"/>
      <c r="O73" s="21"/>
      <c r="P73" s="21"/>
      <c r="Q73" s="21"/>
      <c r="R73" s="21"/>
      <c r="S73" s="21"/>
      <c r="T73" s="42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4"/>
      <c r="AJ73" s="57"/>
      <c r="AK73" s="54"/>
      <c r="AL73" s="65">
        <f t="shared" si="4"/>
        <v>0</v>
      </c>
      <c r="AM73" s="22" t="str">
        <f t="shared" si="2"/>
        <v>OK</v>
      </c>
    </row>
    <row r="74" spans="1:39" customFormat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139"/>
      <c r="I74" s="103">
        <f t="shared" si="7"/>
        <v>0</v>
      </c>
      <c r="J74" s="27"/>
      <c r="K74" s="16"/>
      <c r="L74" s="100"/>
      <c r="M74" s="100"/>
      <c r="N74" s="100"/>
      <c r="O74" s="100"/>
      <c r="P74" s="100"/>
      <c r="Q74" s="100"/>
      <c r="R74" s="100"/>
      <c r="S74" s="100"/>
      <c r="T74" s="109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1"/>
      <c r="AJ74" s="112"/>
      <c r="AK74" s="111"/>
      <c r="AL74" s="66">
        <f t="shared" si="4"/>
        <v>0</v>
      </c>
      <c r="AM74" s="28" t="str">
        <f t="shared" si="2"/>
        <v>OK</v>
      </c>
    </row>
    <row r="75" spans="1:39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40"/>
      <c r="I75" s="105">
        <f t="shared" si="7"/>
        <v>0</v>
      </c>
      <c r="J75" s="90"/>
      <c r="K75" s="91"/>
      <c r="L75" s="113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5"/>
      <c r="AL75" s="92">
        <f t="shared" ref="AL75:AL80" si="8">SUM(L75:AK75)</f>
        <v>0</v>
      </c>
      <c r="AM75" s="122" t="str">
        <f t="shared" ref="AM75:AM96" si="9">IF(AL75=I75,"OK","NG")</f>
        <v>OK</v>
      </c>
    </row>
    <row r="76" spans="1:39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139"/>
      <c r="I76" s="106">
        <f>SUM(L76:AK76)</f>
        <v>0</v>
      </c>
      <c r="J76" s="85"/>
      <c r="K76" s="16"/>
      <c r="L76" s="1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8"/>
      <c r="AL76" s="66">
        <f t="shared" si="8"/>
        <v>0</v>
      </c>
      <c r="AM76" s="28" t="str">
        <f t="shared" si="9"/>
        <v>OK</v>
      </c>
    </row>
    <row r="77" spans="1:39">
      <c r="A77" s="87" t="s">
        <v>165</v>
      </c>
      <c r="B77" s="93">
        <v>13007</v>
      </c>
      <c r="C77" s="94" t="s">
        <v>164</v>
      </c>
      <c r="D77" s="88"/>
      <c r="E77" s="88"/>
      <c r="F77" s="88"/>
      <c r="G77" s="89"/>
      <c r="H77" s="104"/>
      <c r="I77" s="105">
        <f t="shared" si="7"/>
        <v>0</v>
      </c>
      <c r="J77" s="90"/>
      <c r="K77" s="91"/>
      <c r="L77" s="113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5"/>
      <c r="AL77" s="92">
        <f t="shared" si="8"/>
        <v>0</v>
      </c>
      <c r="AM77" s="122" t="str">
        <f t="shared" si="9"/>
        <v>OK</v>
      </c>
    </row>
    <row r="78" spans="1:39">
      <c r="A78" s="68"/>
      <c r="B78" s="78"/>
      <c r="C78" s="95"/>
      <c r="D78" s="83"/>
      <c r="E78" s="83"/>
      <c r="F78" s="83"/>
      <c r="G78" s="84"/>
      <c r="H78" s="102"/>
      <c r="I78" s="106">
        <f t="shared" si="7"/>
        <v>0</v>
      </c>
      <c r="J78" s="85"/>
      <c r="K78" s="16"/>
      <c r="L78" s="1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66">
        <f t="shared" si="8"/>
        <v>0</v>
      </c>
      <c r="AM78" s="28" t="str">
        <f t="shared" si="9"/>
        <v>OK</v>
      </c>
    </row>
    <row r="79" spans="1:39">
      <c r="A79" s="87"/>
      <c r="B79" s="93"/>
      <c r="C79" s="94"/>
      <c r="D79" s="88"/>
      <c r="E79" s="88"/>
      <c r="F79" s="88"/>
      <c r="G79" s="89"/>
      <c r="H79" s="104"/>
      <c r="I79" s="105">
        <f t="shared" si="7"/>
        <v>0</v>
      </c>
      <c r="J79" s="90"/>
      <c r="K79" s="91"/>
      <c r="L79" s="113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5"/>
      <c r="AL79" s="92">
        <f t="shared" si="8"/>
        <v>0</v>
      </c>
      <c r="AM79" s="122" t="str">
        <f t="shared" si="9"/>
        <v>OK</v>
      </c>
    </row>
    <row r="80" spans="1:39">
      <c r="A80" s="68"/>
      <c r="B80" s="78"/>
      <c r="C80" s="95"/>
      <c r="D80" s="83"/>
      <c r="E80" s="83"/>
      <c r="F80" s="83"/>
      <c r="G80" s="84"/>
      <c r="H80" s="102"/>
      <c r="I80" s="106">
        <f t="shared" si="7"/>
        <v>0</v>
      </c>
      <c r="J80" s="85"/>
      <c r="K80" s="16"/>
      <c r="L80" s="116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66">
        <f t="shared" si="8"/>
        <v>0</v>
      </c>
      <c r="AM80" s="28" t="str">
        <f t="shared" si="9"/>
        <v>OK</v>
      </c>
    </row>
    <row r="81" spans="1:39">
      <c r="A81" s="87"/>
      <c r="B81" s="93"/>
      <c r="C81" s="94"/>
      <c r="D81" s="88"/>
      <c r="E81" s="88"/>
      <c r="F81" s="88"/>
      <c r="G81" s="89"/>
      <c r="H81" s="104"/>
      <c r="I81" s="105">
        <f t="shared" si="7"/>
        <v>0</v>
      </c>
      <c r="J81" s="90"/>
      <c r="K81" s="91"/>
      <c r="L81" s="113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5"/>
      <c r="AL81" s="92">
        <f t="shared" ref="AL81:AL96" si="10">SUM(L81:AK81)</f>
        <v>0</v>
      </c>
      <c r="AM81" s="122" t="str">
        <f t="shared" si="9"/>
        <v>OK</v>
      </c>
    </row>
    <row r="82" spans="1:39">
      <c r="A82" s="68"/>
      <c r="B82" s="78"/>
      <c r="C82" s="95"/>
      <c r="D82" s="83"/>
      <c r="E82" s="83"/>
      <c r="F82" s="83"/>
      <c r="G82" s="84"/>
      <c r="H82" s="102"/>
      <c r="I82" s="106">
        <f t="shared" si="7"/>
        <v>0</v>
      </c>
      <c r="J82" s="85"/>
      <c r="K82" s="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66">
        <f t="shared" si="10"/>
        <v>0</v>
      </c>
      <c r="AM82" s="28" t="str">
        <f t="shared" si="9"/>
        <v>OK</v>
      </c>
    </row>
    <row r="83" spans="1:39">
      <c r="A83" s="96"/>
      <c r="B83" s="93"/>
      <c r="C83" s="94"/>
      <c r="D83" s="88"/>
      <c r="E83" s="88"/>
      <c r="F83" s="88"/>
      <c r="G83" s="89"/>
      <c r="H83" s="104"/>
      <c r="I83" s="105">
        <f t="shared" si="7"/>
        <v>0</v>
      </c>
      <c r="J83" s="90"/>
      <c r="K83" s="91"/>
      <c r="L83" s="113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5"/>
      <c r="AL83" s="92">
        <f t="shared" si="10"/>
        <v>0</v>
      </c>
      <c r="AM83" s="122" t="str">
        <f t="shared" si="9"/>
        <v>OK</v>
      </c>
    </row>
    <row r="84" spans="1:39">
      <c r="A84" s="68"/>
      <c r="B84" s="78"/>
      <c r="C84" s="95"/>
      <c r="D84" s="83"/>
      <c r="E84" s="83"/>
      <c r="F84" s="83"/>
      <c r="G84" s="84"/>
      <c r="H84" s="102"/>
      <c r="I84" s="106">
        <f t="shared" si="7"/>
        <v>0</v>
      </c>
      <c r="J84" s="85"/>
      <c r="K84" s="16"/>
      <c r="L84" s="116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66">
        <f t="shared" si="10"/>
        <v>0</v>
      </c>
      <c r="AM84" s="28" t="str">
        <f t="shared" si="9"/>
        <v>OK</v>
      </c>
    </row>
    <row r="85" spans="1:39">
      <c r="A85" s="87"/>
      <c r="B85" s="93"/>
      <c r="C85" s="94"/>
      <c r="D85" s="88"/>
      <c r="E85" s="88"/>
      <c r="F85" s="88"/>
      <c r="G85" s="89"/>
      <c r="H85" s="104"/>
      <c r="I85" s="105">
        <f t="shared" si="7"/>
        <v>0</v>
      </c>
      <c r="J85" s="90"/>
      <c r="K85" s="91"/>
      <c r="L85" s="113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5"/>
      <c r="AL85" s="92">
        <f t="shared" si="10"/>
        <v>0</v>
      </c>
      <c r="AM85" s="122" t="str">
        <f t="shared" si="9"/>
        <v>OK</v>
      </c>
    </row>
    <row r="86" spans="1:39">
      <c r="A86" s="68"/>
      <c r="B86" s="78"/>
      <c r="C86" s="95"/>
      <c r="D86" s="83"/>
      <c r="E86" s="83"/>
      <c r="F86" s="83"/>
      <c r="G86" s="84"/>
      <c r="H86" s="102"/>
      <c r="I86" s="106">
        <f t="shared" si="7"/>
        <v>0</v>
      </c>
      <c r="J86" s="85"/>
      <c r="K86" s="16"/>
      <c r="L86" s="116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66">
        <f t="shared" si="10"/>
        <v>0</v>
      </c>
      <c r="AM86" s="28" t="str">
        <f t="shared" si="9"/>
        <v>OK</v>
      </c>
    </row>
    <row r="87" spans="1:39">
      <c r="A87" s="87"/>
      <c r="B87" s="93"/>
      <c r="C87" s="94"/>
      <c r="D87" s="88"/>
      <c r="E87" s="88"/>
      <c r="F87" s="88"/>
      <c r="G87" s="89"/>
      <c r="H87" s="104"/>
      <c r="I87" s="105">
        <f t="shared" si="7"/>
        <v>0</v>
      </c>
      <c r="J87" s="90"/>
      <c r="K87" s="91"/>
      <c r="L87" s="113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5"/>
      <c r="AL87" s="92">
        <f t="shared" si="10"/>
        <v>0</v>
      </c>
      <c r="AM87" s="122" t="str">
        <f t="shared" si="9"/>
        <v>OK</v>
      </c>
    </row>
    <row r="88" spans="1:39">
      <c r="A88" s="68"/>
      <c r="B88" s="78"/>
      <c r="C88" s="95"/>
      <c r="D88" s="83"/>
      <c r="E88" s="83"/>
      <c r="F88" s="83"/>
      <c r="G88" s="84"/>
      <c r="H88" s="102"/>
      <c r="I88" s="106">
        <f t="shared" si="7"/>
        <v>0</v>
      </c>
      <c r="J88" s="85"/>
      <c r="K88" s="16"/>
      <c r="L88" s="116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66">
        <f t="shared" si="10"/>
        <v>0</v>
      </c>
      <c r="AM88" s="28" t="str">
        <f t="shared" si="9"/>
        <v>OK</v>
      </c>
    </row>
    <row r="89" spans="1:39">
      <c r="A89" s="87"/>
      <c r="B89" s="93"/>
      <c r="C89" s="94"/>
      <c r="D89" s="88"/>
      <c r="E89" s="88"/>
      <c r="F89" s="88"/>
      <c r="G89" s="89"/>
      <c r="H89" s="104"/>
      <c r="I89" s="105">
        <f t="shared" si="7"/>
        <v>0</v>
      </c>
      <c r="J89" s="90"/>
      <c r="K89" s="91"/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5"/>
      <c r="AL89" s="92">
        <f t="shared" si="10"/>
        <v>0</v>
      </c>
      <c r="AM89" s="122" t="str">
        <f t="shared" si="9"/>
        <v>OK</v>
      </c>
    </row>
    <row r="90" spans="1:39">
      <c r="A90" s="68"/>
      <c r="B90" s="78"/>
      <c r="C90" s="95"/>
      <c r="D90" s="83"/>
      <c r="E90" s="83"/>
      <c r="F90" s="83"/>
      <c r="G90" s="84"/>
      <c r="H90" s="102"/>
      <c r="I90" s="106">
        <f t="shared" si="7"/>
        <v>0</v>
      </c>
      <c r="J90" s="85"/>
      <c r="K90" s="16"/>
      <c r="L90" s="116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66">
        <f t="shared" si="10"/>
        <v>0</v>
      </c>
      <c r="AM90" s="28" t="str">
        <f t="shared" si="9"/>
        <v>OK</v>
      </c>
    </row>
    <row r="91" spans="1:39">
      <c r="A91" s="87"/>
      <c r="B91" s="93"/>
      <c r="C91" s="94"/>
      <c r="D91" s="88"/>
      <c r="E91" s="88"/>
      <c r="F91" s="88"/>
      <c r="G91" s="89"/>
      <c r="H91" s="104"/>
      <c r="I91" s="105">
        <f t="shared" si="7"/>
        <v>0</v>
      </c>
      <c r="J91" s="90"/>
      <c r="K91" s="91"/>
      <c r="L91" s="113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5"/>
      <c r="AL91" s="92">
        <f t="shared" si="10"/>
        <v>0</v>
      </c>
      <c r="AM91" s="122" t="str">
        <f t="shared" si="9"/>
        <v>OK</v>
      </c>
    </row>
    <row r="92" spans="1:39">
      <c r="A92" s="68"/>
      <c r="B92" s="78"/>
      <c r="C92" s="95"/>
      <c r="D92" s="83"/>
      <c r="E92" s="83"/>
      <c r="F92" s="83"/>
      <c r="G92" s="84"/>
      <c r="H92" s="102"/>
      <c r="I92" s="106">
        <f t="shared" si="7"/>
        <v>0</v>
      </c>
      <c r="J92" s="85"/>
      <c r="K92" s="16"/>
      <c r="L92" s="116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66">
        <f t="shared" si="10"/>
        <v>0</v>
      </c>
      <c r="AM92" s="28" t="str">
        <f t="shared" si="9"/>
        <v>OK</v>
      </c>
    </row>
    <row r="93" spans="1:39">
      <c r="A93" s="87"/>
      <c r="B93" s="93"/>
      <c r="C93" s="94"/>
      <c r="D93" s="88"/>
      <c r="E93" s="88"/>
      <c r="F93" s="88"/>
      <c r="G93" s="89"/>
      <c r="H93" s="104"/>
      <c r="I93" s="105">
        <f t="shared" si="7"/>
        <v>0</v>
      </c>
      <c r="J93" s="90"/>
      <c r="K93" s="91"/>
      <c r="L93" s="113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5"/>
      <c r="AL93" s="92">
        <f t="shared" si="10"/>
        <v>0</v>
      </c>
      <c r="AM93" s="122" t="str">
        <f t="shared" si="9"/>
        <v>OK</v>
      </c>
    </row>
    <row r="94" spans="1:39">
      <c r="A94" s="68"/>
      <c r="B94" s="78"/>
      <c r="C94" s="95"/>
      <c r="D94" s="83"/>
      <c r="E94" s="83"/>
      <c r="F94" s="83"/>
      <c r="G94" s="84"/>
      <c r="H94" s="102"/>
      <c r="I94" s="106">
        <f t="shared" si="7"/>
        <v>0</v>
      </c>
      <c r="J94" s="85"/>
      <c r="K94" s="16"/>
      <c r="L94" s="116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66">
        <f t="shared" si="10"/>
        <v>0</v>
      </c>
      <c r="AM94" s="28" t="str">
        <f t="shared" si="9"/>
        <v>OK</v>
      </c>
    </row>
    <row r="95" spans="1:39">
      <c r="A95" s="87"/>
      <c r="B95" s="93"/>
      <c r="C95" s="94"/>
      <c r="D95" s="88"/>
      <c r="E95" s="88"/>
      <c r="F95" s="88"/>
      <c r="G95" s="89"/>
      <c r="H95" s="104"/>
      <c r="I95" s="105">
        <f t="shared" si="7"/>
        <v>0</v>
      </c>
      <c r="J95" s="90"/>
      <c r="K95" s="91"/>
      <c r="L95" s="113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5"/>
      <c r="AL95" s="92">
        <f t="shared" si="10"/>
        <v>0</v>
      </c>
      <c r="AM95" s="122" t="str">
        <f t="shared" si="9"/>
        <v>OK</v>
      </c>
    </row>
    <row r="96" spans="1:39" ht="17.25" thickBot="1">
      <c r="A96" s="97"/>
      <c r="B96" s="98"/>
      <c r="C96" s="99"/>
      <c r="D96" s="83"/>
      <c r="E96" s="83"/>
      <c r="F96" s="83"/>
      <c r="G96" s="84"/>
      <c r="H96" s="107"/>
      <c r="I96" s="108">
        <f t="shared" si="7"/>
        <v>0</v>
      </c>
      <c r="J96" s="85"/>
      <c r="K96" s="16"/>
      <c r="L96" s="119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1"/>
      <c r="AL96" s="66">
        <f t="shared" si="10"/>
        <v>0</v>
      </c>
      <c r="AM96" s="28" t="str">
        <f t="shared" si="9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0</v>
      </c>
      <c r="I97" s="46">
        <f>SUM(I6:I96)</f>
        <v>0</v>
      </c>
      <c r="J97" s="47">
        <f>SUM(J6:J74)</f>
        <v>0</v>
      </c>
      <c r="K97" s="9"/>
      <c r="L97" s="45">
        <f>SUM(L6:L96)</f>
        <v>0</v>
      </c>
      <c r="M97" s="45">
        <f t="shared" ref="M97:AI97" si="11">SUM(M6:M96)</f>
        <v>0</v>
      </c>
      <c r="N97" s="45">
        <f t="shared" si="11"/>
        <v>0</v>
      </c>
      <c r="O97" s="45">
        <f t="shared" si="11"/>
        <v>0</v>
      </c>
      <c r="P97" s="45">
        <f t="shared" si="11"/>
        <v>0</v>
      </c>
      <c r="Q97" s="45">
        <f t="shared" si="11"/>
        <v>0</v>
      </c>
      <c r="R97" s="45">
        <f t="shared" si="11"/>
        <v>0</v>
      </c>
      <c r="S97" s="45">
        <f t="shared" si="11"/>
        <v>0</v>
      </c>
      <c r="T97" s="45">
        <f t="shared" si="11"/>
        <v>0</v>
      </c>
      <c r="U97" s="45">
        <f t="shared" si="11"/>
        <v>0</v>
      </c>
      <c r="V97" s="45">
        <f t="shared" si="11"/>
        <v>0</v>
      </c>
      <c r="W97" s="45">
        <f t="shared" si="11"/>
        <v>0</v>
      </c>
      <c r="X97" s="45">
        <f t="shared" si="11"/>
        <v>0</v>
      </c>
      <c r="Y97" s="45">
        <f t="shared" si="11"/>
        <v>0</v>
      </c>
      <c r="Z97" s="45">
        <f t="shared" si="11"/>
        <v>0</v>
      </c>
      <c r="AA97" s="45">
        <f t="shared" si="11"/>
        <v>0</v>
      </c>
      <c r="AB97" s="45">
        <f t="shared" si="11"/>
        <v>0</v>
      </c>
      <c r="AC97" s="45">
        <f t="shared" si="11"/>
        <v>0</v>
      </c>
      <c r="AD97" s="45">
        <f t="shared" si="11"/>
        <v>0</v>
      </c>
      <c r="AE97" s="45">
        <f t="shared" si="11"/>
        <v>0</v>
      </c>
      <c r="AF97" s="45">
        <f t="shared" si="11"/>
        <v>0</v>
      </c>
      <c r="AG97" s="45">
        <f t="shared" si="11"/>
        <v>0</v>
      </c>
      <c r="AH97" s="45">
        <f t="shared" si="11"/>
        <v>0</v>
      </c>
      <c r="AI97" s="45">
        <f t="shared" si="11"/>
        <v>0</v>
      </c>
      <c r="AJ97" s="49">
        <f>SUM(AJ6:AJ96)</f>
        <v>0</v>
      </c>
      <c r="AK97" s="61">
        <f>SUM(AK6:AK96)</f>
        <v>0</v>
      </c>
      <c r="AL97" s="67">
        <f>SUM(AL6:AL96)</f>
        <v>0</v>
      </c>
      <c r="AM97" s="48" t="str">
        <f>IF(AL97=SUM(I97),"OK","NG")</f>
        <v>OK</v>
      </c>
    </row>
    <row r="102" spans="1:39">
      <c r="I102" s="86"/>
    </row>
  </sheetData>
  <mergeCells count="37">
    <mergeCell ref="AM4:AM5"/>
    <mergeCell ref="AG4:AG5"/>
    <mergeCell ref="AH4:AH5"/>
    <mergeCell ref="AI4:AI5"/>
    <mergeCell ref="AJ4:AJ5"/>
    <mergeCell ref="AK4:AK5"/>
    <mergeCell ref="AL4:AL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B1:C1"/>
    <mergeCell ref="F1:G1"/>
    <mergeCell ref="H1:J3"/>
    <mergeCell ref="B2:C2"/>
    <mergeCell ref="AM2:AM3"/>
    <mergeCell ref="B3:C3"/>
  </mergeCells>
  <phoneticPr fontId="3" type="noConversion"/>
  <conditionalFormatting sqref="A4 AM6:AM97">
    <cfRule type="containsText" dxfId="5" priority="7" operator="containsText" text="NG">
      <formula>NOT(ISERROR(SEARCH("NG",A4)))</formula>
    </cfRule>
    <cfRule type="containsText" dxfId="4" priority="8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43" orientation="landscape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2">
    <pageSetUpPr fitToPage="1"/>
  </sheetPr>
  <dimension ref="A1:AM102"/>
  <sheetViews>
    <sheetView showGridLines="0" zoomScale="85" zoomScaleNormal="85" workbookViewId="0">
      <pane ySplit="5" topLeftCell="A6" activePane="bottomLeft" state="frozen"/>
      <selection activeCell="L109" sqref="L109"/>
      <selection pane="bottomLeft" activeCell="P19" sqref="P19"/>
    </sheetView>
  </sheetViews>
  <sheetFormatPr defaultColWidth="9" defaultRowHeight="16.5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16" width="8.75"/>
    <col min="17" max="20" width="9" customWidth="1"/>
    <col min="21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5" customHeight="1" thickBot="1">
      <c r="A1" s="37" t="s">
        <v>13</v>
      </c>
      <c r="B1" s="168">
        <f>H97</f>
        <v>0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5" customHeight="1" thickBot="1">
      <c r="A2" s="37" t="s">
        <v>14</v>
      </c>
      <c r="B2" s="173">
        <f>I97</f>
        <v>0</v>
      </c>
      <c r="C2" s="174"/>
      <c r="D2" s="75"/>
      <c r="E2" s="71"/>
      <c r="F2" s="2"/>
      <c r="G2" s="2"/>
      <c r="H2" s="171"/>
      <c r="I2" s="171"/>
      <c r="J2" s="171"/>
      <c r="K2" s="3"/>
      <c r="L2" s="4">
        <f t="shared" ref="L2:AK2" si="0">SUBTOTAL(9,L6:L96)</f>
        <v>0</v>
      </c>
      <c r="M2" s="4">
        <f t="shared" si="0"/>
        <v>0</v>
      </c>
      <c r="N2" s="4">
        <f t="shared" si="0"/>
        <v>0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39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0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0</v>
      </c>
      <c r="AH2" s="5">
        <f t="shared" si="0"/>
        <v>0</v>
      </c>
      <c r="AI2" s="5">
        <f t="shared" si="0"/>
        <v>0</v>
      </c>
      <c r="AJ2" s="5">
        <f t="shared" si="0"/>
        <v>0</v>
      </c>
      <c r="AK2" s="59">
        <f t="shared" si="0"/>
        <v>0</v>
      </c>
      <c r="AL2" s="62">
        <f>SUBTOTAL(9,AL6:AL74)</f>
        <v>0</v>
      </c>
      <c r="AM2" s="175"/>
    </row>
    <row r="3" spans="1:39" customFormat="1" ht="22.5" customHeight="1" thickBot="1">
      <c r="A3" s="38" t="s">
        <v>15</v>
      </c>
      <c r="B3" s="177" t="str">
        <f>IF(ISERROR(B2/(B2+B1)*1000000),"",(B2/(B2+B1)*1000000))</f>
        <v/>
      </c>
      <c r="C3" s="178"/>
      <c r="D3" s="73"/>
      <c r="E3" s="72"/>
      <c r="F3" s="32"/>
      <c r="G3" s="32"/>
      <c r="H3" s="172"/>
      <c r="I3" s="172"/>
      <c r="J3" s="172"/>
      <c r="K3" s="6"/>
      <c r="L3" s="7">
        <f t="shared" ref="L3:AK3" si="1">SUM(L6:L96)</f>
        <v>0</v>
      </c>
      <c r="M3" s="7">
        <f t="shared" si="1"/>
        <v>0</v>
      </c>
      <c r="N3" s="7">
        <f t="shared" si="1"/>
        <v>0</v>
      </c>
      <c r="O3" s="7">
        <f t="shared" si="1"/>
        <v>0</v>
      </c>
      <c r="P3" s="7">
        <f t="shared" si="1"/>
        <v>0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40">
        <f t="shared" si="1"/>
        <v>0</v>
      </c>
      <c r="U3" s="8">
        <f t="shared" si="1"/>
        <v>0</v>
      </c>
      <c r="V3" s="8">
        <f t="shared" si="1"/>
        <v>0</v>
      </c>
      <c r="W3" s="8">
        <f t="shared" si="1"/>
        <v>0</v>
      </c>
      <c r="X3" s="8">
        <f t="shared" si="1"/>
        <v>0</v>
      </c>
      <c r="Y3" s="8">
        <f t="shared" si="1"/>
        <v>0</v>
      </c>
      <c r="Z3" s="8">
        <f t="shared" si="1"/>
        <v>0</v>
      </c>
      <c r="AA3" s="8">
        <f t="shared" si="1"/>
        <v>0</v>
      </c>
      <c r="AB3" s="8">
        <f t="shared" si="1"/>
        <v>0</v>
      </c>
      <c r="AC3" s="8">
        <f t="shared" si="1"/>
        <v>0</v>
      </c>
      <c r="AD3" s="8">
        <f t="shared" si="1"/>
        <v>0</v>
      </c>
      <c r="AE3" s="8">
        <f t="shared" si="1"/>
        <v>0</v>
      </c>
      <c r="AF3" s="8">
        <f t="shared" si="1"/>
        <v>0</v>
      </c>
      <c r="AG3" s="8">
        <f t="shared" si="1"/>
        <v>0</v>
      </c>
      <c r="AH3" s="8">
        <f t="shared" si="1"/>
        <v>0</v>
      </c>
      <c r="AI3" s="8">
        <f t="shared" si="1"/>
        <v>0</v>
      </c>
      <c r="AJ3" s="8">
        <f t="shared" si="1"/>
        <v>0</v>
      </c>
      <c r="AK3" s="60">
        <f t="shared" si="1"/>
        <v>0</v>
      </c>
      <c r="AL3" s="63">
        <f>SUM(AL6:AL74)</f>
        <v>0</v>
      </c>
      <c r="AM3" s="176"/>
    </row>
    <row r="4" spans="1:39" customFormat="1" ht="43.5" customHeight="1">
      <c r="A4" s="163" t="str">
        <f>AM97</f>
        <v>OK</v>
      </c>
      <c r="B4" s="163"/>
      <c r="C4" s="163"/>
      <c r="D4" s="164"/>
      <c r="E4" s="165" t="s">
        <v>16</v>
      </c>
      <c r="F4" s="165"/>
      <c r="G4" s="165"/>
      <c r="H4" s="165" t="s">
        <v>17</v>
      </c>
      <c r="I4" s="165"/>
      <c r="J4" s="165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1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56" t="s">
        <v>12</v>
      </c>
      <c r="AL4" s="158" t="s">
        <v>36</v>
      </c>
      <c r="AM4" s="149" t="s">
        <v>37</v>
      </c>
    </row>
    <row r="5" spans="1:39" customFormat="1" ht="33.75" thickBot="1">
      <c r="A5" s="34" t="s">
        <v>3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6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3"/>
      <c r="AJ5" s="155"/>
      <c r="AK5" s="157"/>
      <c r="AL5" s="159"/>
      <c r="AM5" s="150"/>
    </row>
    <row r="6" spans="1:39" customFormat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34"/>
      <c r="I6" s="15">
        <f>SUM(L6:AK6)</f>
        <v>0</v>
      </c>
      <c r="J6" s="15"/>
      <c r="K6" s="16"/>
      <c r="L6" s="15"/>
      <c r="M6" s="15"/>
      <c r="N6" s="15"/>
      <c r="O6" s="15"/>
      <c r="P6" s="15"/>
      <c r="Q6" s="15"/>
      <c r="R6" s="15"/>
      <c r="S6" s="15"/>
      <c r="T6" s="41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3"/>
      <c r="AJ6" s="56"/>
      <c r="AK6" s="53"/>
      <c r="AL6" s="64">
        <f>SUM(L6:AK6)</f>
        <v>0</v>
      </c>
      <c r="AM6" s="31" t="str">
        <f t="shared" ref="AM6:AM74" si="2">IF(AL6=I6,"OK","NG")</f>
        <v>OK</v>
      </c>
    </row>
    <row r="7" spans="1:39" customFormat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135"/>
      <c r="I7" s="21">
        <f t="shared" ref="I7:I70" si="3">SUM(L7:AK7)</f>
        <v>0</v>
      </c>
      <c r="J7" s="21"/>
      <c r="K7" s="16"/>
      <c r="L7" s="21"/>
      <c r="M7" s="21"/>
      <c r="N7" s="21"/>
      <c r="O7" s="21"/>
      <c r="P7" s="21"/>
      <c r="Q7" s="21"/>
      <c r="R7" s="21"/>
      <c r="S7" s="21"/>
      <c r="T7" s="42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4"/>
      <c r="AJ7" s="57"/>
      <c r="AK7" s="54"/>
      <c r="AL7" s="65">
        <f t="shared" ref="AL7:AL74" si="4">SUM(L7:AK7)</f>
        <v>0</v>
      </c>
      <c r="AM7" s="22" t="str">
        <f t="shared" si="2"/>
        <v>OK</v>
      </c>
    </row>
    <row r="8" spans="1:39" customFormat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36"/>
      <c r="I8" s="27">
        <f t="shared" si="3"/>
        <v>0</v>
      </c>
      <c r="J8" s="27"/>
      <c r="K8" s="16"/>
      <c r="L8" s="27"/>
      <c r="M8" s="27"/>
      <c r="N8" s="27"/>
      <c r="O8" s="27"/>
      <c r="P8" s="27"/>
      <c r="Q8" s="27"/>
      <c r="R8" s="27"/>
      <c r="S8" s="27"/>
      <c r="T8" s="4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5"/>
      <c r="AJ8" s="58"/>
      <c r="AK8" s="55"/>
      <c r="AL8" s="66">
        <f t="shared" si="4"/>
        <v>0</v>
      </c>
      <c r="AM8" s="28" t="str">
        <f t="shared" si="2"/>
        <v>OK</v>
      </c>
    </row>
    <row r="9" spans="1:39" customFormat="1">
      <c r="A9" s="17" t="s">
        <v>68</v>
      </c>
      <c r="B9" s="77">
        <v>10897</v>
      </c>
      <c r="C9" s="17" t="s">
        <v>62</v>
      </c>
      <c r="D9" s="69"/>
      <c r="E9" s="18"/>
      <c r="F9" s="18"/>
      <c r="G9" s="19"/>
      <c r="H9" s="135"/>
      <c r="I9" s="21">
        <f t="shared" si="3"/>
        <v>0</v>
      </c>
      <c r="J9" s="21"/>
      <c r="K9" s="16"/>
      <c r="L9" s="21"/>
      <c r="M9" s="21"/>
      <c r="N9" s="21"/>
      <c r="O9" s="21"/>
      <c r="P9" s="21"/>
      <c r="Q9" s="21"/>
      <c r="R9" s="21"/>
      <c r="S9" s="21"/>
      <c r="T9" s="42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4"/>
      <c r="AJ9" s="57"/>
      <c r="AK9" s="54"/>
      <c r="AL9" s="65">
        <f t="shared" si="4"/>
        <v>0</v>
      </c>
      <c r="AM9" s="22" t="str">
        <f t="shared" si="2"/>
        <v>OK</v>
      </c>
    </row>
    <row r="10" spans="1:39" customFormat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36"/>
      <c r="I10" s="27">
        <f t="shared" si="3"/>
        <v>0</v>
      </c>
      <c r="J10" s="27"/>
      <c r="K10" s="16"/>
      <c r="L10" s="27"/>
      <c r="M10" s="27"/>
      <c r="N10" s="27"/>
      <c r="O10" s="27"/>
      <c r="P10" s="27"/>
      <c r="Q10" s="27"/>
      <c r="R10" s="27"/>
      <c r="S10" s="27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5"/>
      <c r="AJ10" s="58"/>
      <c r="AK10" s="55"/>
      <c r="AL10" s="66">
        <f t="shared" si="4"/>
        <v>0</v>
      </c>
      <c r="AM10" s="28" t="str">
        <f t="shared" si="2"/>
        <v>OK</v>
      </c>
    </row>
    <row r="11" spans="1:39" customFormat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135"/>
      <c r="I11" s="21">
        <f t="shared" si="3"/>
        <v>0</v>
      </c>
      <c r="J11" s="21"/>
      <c r="K11" s="16"/>
      <c r="L11" s="21"/>
      <c r="M11" s="21"/>
      <c r="N11" s="21"/>
      <c r="O11" s="21"/>
      <c r="P11" s="21"/>
      <c r="Q11" s="21"/>
      <c r="R11" s="21"/>
      <c r="S11" s="21"/>
      <c r="T11" s="42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4"/>
      <c r="AJ11" s="57"/>
      <c r="AK11" s="54"/>
      <c r="AL11" s="65">
        <f t="shared" si="4"/>
        <v>0</v>
      </c>
      <c r="AM11" s="22" t="str">
        <f t="shared" si="2"/>
        <v>OK</v>
      </c>
    </row>
    <row r="12" spans="1:39" customFormat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36"/>
      <c r="I12" s="27">
        <f t="shared" si="3"/>
        <v>0</v>
      </c>
      <c r="J12" s="27"/>
      <c r="K12" s="16"/>
      <c r="L12" s="27"/>
      <c r="M12" s="27"/>
      <c r="N12" s="27"/>
      <c r="O12" s="27"/>
      <c r="P12" s="27"/>
      <c r="Q12" s="27"/>
      <c r="R12" s="27"/>
      <c r="S12" s="27"/>
      <c r="T12" s="43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8"/>
      <c r="AK12" s="55"/>
      <c r="AL12" s="66">
        <f t="shared" si="4"/>
        <v>0</v>
      </c>
      <c r="AM12" s="28" t="str">
        <f t="shared" si="2"/>
        <v>OK</v>
      </c>
    </row>
    <row r="13" spans="1:39" customFormat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135"/>
      <c r="I13" s="21">
        <f t="shared" si="3"/>
        <v>0</v>
      </c>
      <c r="J13" s="21"/>
      <c r="K13" s="16"/>
      <c r="L13" s="21"/>
      <c r="M13" s="21"/>
      <c r="N13" s="21"/>
      <c r="O13" s="21"/>
      <c r="P13" s="21"/>
      <c r="Q13" s="21"/>
      <c r="R13" s="21"/>
      <c r="S13" s="21"/>
      <c r="T13" s="4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4"/>
      <c r="AJ13" s="57"/>
      <c r="AK13" s="54"/>
      <c r="AL13" s="65">
        <f t="shared" si="4"/>
        <v>0</v>
      </c>
      <c r="AM13" s="22" t="str">
        <f t="shared" si="2"/>
        <v>OK</v>
      </c>
    </row>
    <row r="14" spans="1:39" customFormat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36"/>
      <c r="I14" s="27">
        <f t="shared" si="3"/>
        <v>0</v>
      </c>
      <c r="J14" s="27"/>
      <c r="K14" s="16"/>
      <c r="L14" s="27"/>
      <c r="M14" s="27"/>
      <c r="N14" s="27"/>
      <c r="O14" s="27"/>
      <c r="P14" s="27"/>
      <c r="Q14" s="27"/>
      <c r="R14" s="27"/>
      <c r="S14" s="27"/>
      <c r="T14" s="43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5"/>
      <c r="AJ14" s="58"/>
      <c r="AK14" s="55"/>
      <c r="AL14" s="66">
        <f t="shared" si="4"/>
        <v>0</v>
      </c>
      <c r="AM14" s="28" t="str">
        <f t="shared" si="2"/>
        <v>OK</v>
      </c>
    </row>
    <row r="15" spans="1:39" customFormat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135"/>
      <c r="I15" s="21">
        <f t="shared" si="3"/>
        <v>0</v>
      </c>
      <c r="J15" s="21"/>
      <c r="K15" s="16"/>
      <c r="L15" s="21"/>
      <c r="M15" s="21"/>
      <c r="N15" s="21"/>
      <c r="O15" s="21"/>
      <c r="P15" s="21"/>
      <c r="Q15" s="21"/>
      <c r="R15" s="21"/>
      <c r="S15" s="21"/>
      <c r="T15" s="42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4"/>
      <c r="AJ15" s="57"/>
      <c r="AK15" s="54"/>
      <c r="AL15" s="65">
        <f t="shared" si="4"/>
        <v>0</v>
      </c>
      <c r="AM15" s="22" t="str">
        <f t="shared" si="2"/>
        <v>OK</v>
      </c>
    </row>
    <row r="16" spans="1:39" customFormat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36"/>
      <c r="I16" s="27">
        <f t="shared" si="3"/>
        <v>0</v>
      </c>
      <c r="J16" s="27"/>
      <c r="K16" s="16"/>
      <c r="L16" s="27"/>
      <c r="M16" s="27"/>
      <c r="N16" s="27"/>
      <c r="O16" s="27"/>
      <c r="P16" s="27"/>
      <c r="Q16" s="27"/>
      <c r="R16" s="27"/>
      <c r="S16" s="27"/>
      <c r="T16" s="43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8"/>
      <c r="AK16" s="55"/>
      <c r="AL16" s="66">
        <f t="shared" si="4"/>
        <v>0</v>
      </c>
      <c r="AM16" s="28" t="str">
        <f t="shared" si="2"/>
        <v>OK</v>
      </c>
    </row>
    <row r="17" spans="1:39" customFormat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135"/>
      <c r="I17" s="21">
        <f t="shared" si="3"/>
        <v>0</v>
      </c>
      <c r="J17" s="21"/>
      <c r="K17" s="16"/>
      <c r="L17" s="21"/>
      <c r="M17" s="21"/>
      <c r="N17" s="21"/>
      <c r="O17" s="21"/>
      <c r="P17" s="21"/>
      <c r="Q17" s="21"/>
      <c r="R17" s="21"/>
      <c r="S17" s="21"/>
      <c r="T17" s="42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4"/>
      <c r="AJ17" s="57"/>
      <c r="AK17" s="54"/>
      <c r="AL17" s="65">
        <f t="shared" si="4"/>
        <v>0</v>
      </c>
      <c r="AM17" s="22" t="str">
        <f t="shared" si="2"/>
        <v>OK</v>
      </c>
    </row>
    <row r="18" spans="1:39" customFormat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36"/>
      <c r="I18" s="27">
        <f t="shared" si="3"/>
        <v>0</v>
      </c>
      <c r="J18" s="27"/>
      <c r="K18" s="16"/>
      <c r="L18" s="27"/>
      <c r="M18" s="27"/>
      <c r="N18" s="27"/>
      <c r="O18" s="27"/>
      <c r="P18" s="27"/>
      <c r="Q18" s="27"/>
      <c r="R18" s="27"/>
      <c r="S18" s="27"/>
      <c r="T18" s="43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8"/>
      <c r="AK18" s="55"/>
      <c r="AL18" s="66">
        <f t="shared" si="4"/>
        <v>0</v>
      </c>
      <c r="AM18" s="28" t="str">
        <f t="shared" si="2"/>
        <v>OK</v>
      </c>
    </row>
    <row r="19" spans="1:39" customFormat="1">
      <c r="A19" s="17" t="s">
        <v>91</v>
      </c>
      <c r="B19" s="77">
        <v>14988</v>
      </c>
      <c r="C19" s="17" t="s">
        <v>64</v>
      </c>
      <c r="D19" s="69"/>
      <c r="E19" s="18"/>
      <c r="F19" s="18"/>
      <c r="G19" s="19"/>
      <c r="H19" s="135"/>
      <c r="I19" s="21">
        <f t="shared" si="3"/>
        <v>0</v>
      </c>
      <c r="J19" s="21"/>
      <c r="K19" s="16"/>
      <c r="L19" s="21"/>
      <c r="M19" s="21"/>
      <c r="N19" s="21"/>
      <c r="O19" s="21"/>
      <c r="P19" s="21"/>
      <c r="Q19" s="21"/>
      <c r="R19" s="21"/>
      <c r="S19" s="21"/>
      <c r="T19" s="42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4"/>
      <c r="AJ19" s="57"/>
      <c r="AK19" s="54"/>
      <c r="AL19" s="65">
        <f t="shared" si="4"/>
        <v>0</v>
      </c>
      <c r="AM19" s="22" t="str">
        <f t="shared" si="2"/>
        <v>OK</v>
      </c>
    </row>
    <row r="20" spans="1:39" customFormat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136"/>
      <c r="I20" s="27">
        <f t="shared" si="3"/>
        <v>0</v>
      </c>
      <c r="J20" s="27"/>
      <c r="K20" s="16"/>
      <c r="L20" s="27"/>
      <c r="M20" s="27"/>
      <c r="N20" s="27"/>
      <c r="O20" s="27"/>
      <c r="P20" s="27"/>
      <c r="Q20" s="27"/>
      <c r="R20" s="27"/>
      <c r="S20" s="27"/>
      <c r="T20" s="43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8"/>
      <c r="AK20" s="55"/>
      <c r="AL20" s="66">
        <f t="shared" si="4"/>
        <v>0</v>
      </c>
      <c r="AM20" s="28" t="str">
        <f t="shared" si="2"/>
        <v>OK</v>
      </c>
    </row>
    <row r="21" spans="1:39" customFormat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135"/>
      <c r="I21" s="21">
        <f t="shared" si="3"/>
        <v>0</v>
      </c>
      <c r="J21" s="21"/>
      <c r="K21" s="16"/>
      <c r="L21" s="21"/>
      <c r="M21" s="21"/>
      <c r="N21" s="21"/>
      <c r="O21" s="21"/>
      <c r="P21" s="21"/>
      <c r="Q21" s="21"/>
      <c r="R21" s="21"/>
      <c r="S21" s="21"/>
      <c r="T21" s="4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4"/>
      <c r="AJ21" s="57"/>
      <c r="AK21" s="54"/>
      <c r="AL21" s="65">
        <f t="shared" si="4"/>
        <v>0</v>
      </c>
      <c r="AM21" s="22" t="str">
        <f t="shared" si="2"/>
        <v>OK</v>
      </c>
    </row>
    <row r="22" spans="1:39" customFormat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36"/>
      <c r="I22" s="27">
        <f t="shared" si="3"/>
        <v>0</v>
      </c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43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5"/>
      <c r="AJ22" s="58"/>
      <c r="AK22" s="55"/>
      <c r="AL22" s="66">
        <f t="shared" si="4"/>
        <v>0</v>
      </c>
      <c r="AM22" s="28" t="str">
        <f t="shared" si="2"/>
        <v>OK</v>
      </c>
    </row>
    <row r="23" spans="1:39" customFormat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135"/>
      <c r="I23" s="21">
        <f t="shared" si="3"/>
        <v>0</v>
      </c>
      <c r="J23" s="21"/>
      <c r="K23" s="16"/>
      <c r="L23" s="21"/>
      <c r="M23" s="21"/>
      <c r="N23" s="21"/>
      <c r="O23" s="21"/>
      <c r="P23" s="21"/>
      <c r="Q23" s="21"/>
      <c r="R23" s="21"/>
      <c r="S23" s="21"/>
      <c r="T23" s="42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7"/>
      <c r="AK23" s="54"/>
      <c r="AL23" s="65">
        <f>SUM(L23:AK23)</f>
        <v>0</v>
      </c>
      <c r="AM23" s="22" t="str">
        <f t="shared" si="2"/>
        <v>OK</v>
      </c>
    </row>
    <row r="24" spans="1:39" customFormat="1">
      <c r="A24" s="68" t="s">
        <v>44</v>
      </c>
      <c r="B24" s="78">
        <v>10163</v>
      </c>
      <c r="C24" s="23" t="s">
        <v>45</v>
      </c>
      <c r="D24" s="24"/>
      <c r="E24" s="24"/>
      <c r="F24" s="24"/>
      <c r="G24" s="25"/>
      <c r="H24" s="136"/>
      <c r="I24" s="27">
        <f t="shared" si="3"/>
        <v>0</v>
      </c>
      <c r="J24" s="27"/>
      <c r="K24" s="16"/>
      <c r="L24" s="27"/>
      <c r="M24" s="27"/>
      <c r="N24" s="27"/>
      <c r="O24" s="27"/>
      <c r="P24" s="27"/>
      <c r="Q24" s="27"/>
      <c r="R24" s="27"/>
      <c r="S24" s="27"/>
      <c r="T24" s="43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5"/>
      <c r="AJ24" s="58"/>
      <c r="AK24" s="55"/>
      <c r="AL24" s="66">
        <f t="shared" si="4"/>
        <v>0</v>
      </c>
      <c r="AM24" s="28" t="str">
        <f t="shared" si="2"/>
        <v>OK</v>
      </c>
    </row>
    <row r="25" spans="1:39" customFormat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135"/>
      <c r="I25" s="21">
        <f t="shared" si="3"/>
        <v>0</v>
      </c>
      <c r="J25" s="21"/>
      <c r="K25" s="16"/>
      <c r="L25" s="21"/>
      <c r="M25" s="21"/>
      <c r="N25" s="21"/>
      <c r="O25" s="21"/>
      <c r="P25" s="21"/>
      <c r="Q25" s="21"/>
      <c r="R25" s="21"/>
      <c r="S25" s="21"/>
      <c r="T25" s="42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4"/>
      <c r="AJ25" s="57"/>
      <c r="AK25" s="54"/>
      <c r="AL25" s="65">
        <f t="shared" si="4"/>
        <v>0</v>
      </c>
      <c r="AM25" s="22" t="str">
        <f t="shared" si="2"/>
        <v>OK</v>
      </c>
    </row>
    <row r="26" spans="1:39" customFormat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36"/>
      <c r="I26" s="27">
        <f t="shared" si="3"/>
        <v>0</v>
      </c>
      <c r="J26" s="27"/>
      <c r="K26" s="16"/>
      <c r="L26" s="27"/>
      <c r="M26" s="27"/>
      <c r="N26" s="27"/>
      <c r="O26" s="27"/>
      <c r="P26" s="27"/>
      <c r="Q26" s="27"/>
      <c r="R26" s="27"/>
      <c r="S26" s="27"/>
      <c r="T26" s="43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8"/>
      <c r="AK26" s="55"/>
      <c r="AL26" s="66">
        <f t="shared" si="4"/>
        <v>0</v>
      </c>
      <c r="AM26" s="28" t="str">
        <f t="shared" si="2"/>
        <v>OK</v>
      </c>
    </row>
    <row r="27" spans="1:39" customFormat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135"/>
      <c r="I27" s="21">
        <f t="shared" si="3"/>
        <v>0</v>
      </c>
      <c r="J27" s="21"/>
      <c r="K27" s="16"/>
      <c r="L27" s="21"/>
      <c r="M27" s="21"/>
      <c r="N27" s="21"/>
      <c r="O27" s="21"/>
      <c r="P27" s="21"/>
      <c r="Q27" s="21"/>
      <c r="R27" s="21"/>
      <c r="S27" s="21"/>
      <c r="T27" s="4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7"/>
      <c r="AK27" s="54"/>
      <c r="AL27" s="65">
        <f t="shared" si="4"/>
        <v>0</v>
      </c>
      <c r="AM27" s="22" t="str">
        <f t="shared" si="2"/>
        <v>OK</v>
      </c>
    </row>
    <row r="28" spans="1:39" customFormat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136"/>
      <c r="I28" s="27">
        <f t="shared" si="3"/>
        <v>0</v>
      </c>
      <c r="J28" s="27"/>
      <c r="K28" s="16"/>
      <c r="L28" s="27"/>
      <c r="M28" s="27"/>
      <c r="N28" s="27"/>
      <c r="O28" s="27"/>
      <c r="P28" s="27"/>
      <c r="Q28" s="27"/>
      <c r="R28" s="27"/>
      <c r="S28" s="27"/>
      <c r="T28" s="43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5"/>
      <c r="AJ28" s="58"/>
      <c r="AK28" s="55"/>
      <c r="AL28" s="66">
        <f t="shared" si="4"/>
        <v>0</v>
      </c>
      <c r="AM28" s="28" t="str">
        <f t="shared" si="2"/>
        <v>OK</v>
      </c>
    </row>
    <row r="29" spans="1:39" customFormat="1">
      <c r="A29" s="80" t="s">
        <v>71</v>
      </c>
      <c r="B29" s="77">
        <v>10151</v>
      </c>
      <c r="C29" s="17" t="s">
        <v>51</v>
      </c>
      <c r="D29" s="69"/>
      <c r="E29" s="18"/>
      <c r="F29" s="18"/>
      <c r="G29" s="19"/>
      <c r="H29" s="135"/>
      <c r="I29" s="21">
        <f t="shared" si="3"/>
        <v>0</v>
      </c>
      <c r="J29" s="21"/>
      <c r="K29" s="16"/>
      <c r="L29" s="21"/>
      <c r="M29" s="21"/>
      <c r="N29" s="21"/>
      <c r="O29" s="21"/>
      <c r="P29" s="21"/>
      <c r="Q29" s="21"/>
      <c r="R29" s="21"/>
      <c r="S29" s="21"/>
      <c r="T29" s="42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4"/>
      <c r="AJ29" s="57"/>
      <c r="AK29" s="54"/>
      <c r="AL29" s="65">
        <f t="shared" si="4"/>
        <v>0</v>
      </c>
      <c r="AM29" s="22" t="str">
        <f t="shared" si="2"/>
        <v>OK</v>
      </c>
    </row>
    <row r="30" spans="1:39" customFormat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137"/>
      <c r="I30" s="27">
        <f t="shared" si="3"/>
        <v>0</v>
      </c>
      <c r="J30" s="27"/>
      <c r="K30" s="16"/>
      <c r="L30" s="27"/>
      <c r="M30" s="27"/>
      <c r="N30" s="27"/>
      <c r="O30" s="27"/>
      <c r="P30" s="27"/>
      <c r="Q30" s="27"/>
      <c r="R30" s="27"/>
      <c r="S30" s="27"/>
      <c r="T30" s="43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5"/>
      <c r="AJ30" s="58"/>
      <c r="AK30" s="55"/>
      <c r="AL30" s="66">
        <f t="shared" si="4"/>
        <v>0</v>
      </c>
      <c r="AM30" s="28" t="str">
        <f t="shared" si="2"/>
        <v>OK</v>
      </c>
    </row>
    <row r="31" spans="1:39" customFormat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135"/>
      <c r="I31" s="21">
        <f t="shared" si="3"/>
        <v>0</v>
      </c>
      <c r="J31" s="21"/>
      <c r="K31" s="16"/>
      <c r="L31" s="21"/>
      <c r="M31" s="21"/>
      <c r="N31" s="21"/>
      <c r="O31" s="21"/>
      <c r="P31" s="21"/>
      <c r="Q31" s="21"/>
      <c r="R31" s="21"/>
      <c r="S31" s="21"/>
      <c r="T31" s="4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7"/>
      <c r="AK31" s="54"/>
      <c r="AL31" s="65">
        <f t="shared" si="4"/>
        <v>0</v>
      </c>
      <c r="AM31" s="22" t="str">
        <f t="shared" si="2"/>
        <v>OK</v>
      </c>
    </row>
    <row r="32" spans="1:39" customFormat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136"/>
      <c r="I32" s="27">
        <f t="shared" si="3"/>
        <v>0</v>
      </c>
      <c r="J32" s="27"/>
      <c r="K32" s="16"/>
      <c r="L32" s="27"/>
      <c r="M32" s="27"/>
      <c r="N32" s="27"/>
      <c r="O32" s="27"/>
      <c r="P32" s="27"/>
      <c r="Q32" s="27"/>
      <c r="R32" s="27"/>
      <c r="S32" s="27"/>
      <c r="T32" s="43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5"/>
      <c r="AJ32" s="58"/>
      <c r="AK32" s="55"/>
      <c r="AL32" s="66">
        <f t="shared" si="4"/>
        <v>0</v>
      </c>
      <c r="AM32" s="28" t="str">
        <f t="shared" si="2"/>
        <v>OK</v>
      </c>
    </row>
    <row r="33" spans="1:39" customFormat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135"/>
      <c r="I33" s="21">
        <f t="shared" si="3"/>
        <v>0</v>
      </c>
      <c r="J33" s="21"/>
      <c r="K33" s="16"/>
      <c r="L33" s="21"/>
      <c r="M33" s="21"/>
      <c r="N33" s="21"/>
      <c r="O33" s="21"/>
      <c r="P33" s="21"/>
      <c r="Q33" s="21"/>
      <c r="R33" s="21"/>
      <c r="S33" s="21"/>
      <c r="T33" s="42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4"/>
      <c r="AJ33" s="57"/>
      <c r="AK33" s="54"/>
      <c r="AL33" s="65">
        <f t="shared" si="4"/>
        <v>0</v>
      </c>
      <c r="AM33" s="22" t="str">
        <f t="shared" si="2"/>
        <v>OK</v>
      </c>
    </row>
    <row r="34" spans="1:39" customFormat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136"/>
      <c r="I34" s="27">
        <f t="shared" si="3"/>
        <v>0</v>
      </c>
      <c r="J34" s="27"/>
      <c r="K34" s="16"/>
      <c r="L34" s="27"/>
      <c r="M34" s="27"/>
      <c r="N34" s="27"/>
      <c r="O34" s="27"/>
      <c r="P34" s="27"/>
      <c r="Q34" s="27"/>
      <c r="R34" s="27"/>
      <c r="S34" s="27"/>
      <c r="T34" s="43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5"/>
      <c r="AJ34" s="58"/>
      <c r="AK34" s="55"/>
      <c r="AL34" s="66">
        <f t="shared" si="4"/>
        <v>0</v>
      </c>
      <c r="AM34" s="28" t="str">
        <f t="shared" si="2"/>
        <v>OK</v>
      </c>
    </row>
    <row r="35" spans="1:39" customFormat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135"/>
      <c r="I35" s="21">
        <f t="shared" si="3"/>
        <v>0</v>
      </c>
      <c r="J35" s="21"/>
      <c r="K35" s="16"/>
      <c r="L35" s="21"/>
      <c r="M35" s="21"/>
      <c r="N35" s="21"/>
      <c r="O35" s="21"/>
      <c r="P35" s="21"/>
      <c r="Q35" s="21"/>
      <c r="R35" s="21"/>
      <c r="S35" s="21"/>
      <c r="T35" s="42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4"/>
      <c r="AJ35" s="57"/>
      <c r="AK35" s="54"/>
      <c r="AL35" s="65">
        <f t="shared" si="4"/>
        <v>0</v>
      </c>
      <c r="AM35" s="22" t="str">
        <f t="shared" si="2"/>
        <v>OK</v>
      </c>
    </row>
    <row r="36" spans="1:39" customFormat="1">
      <c r="A36" s="68" t="s">
        <v>76</v>
      </c>
      <c r="B36" s="78">
        <v>10135</v>
      </c>
      <c r="C36" s="23" t="s">
        <v>56</v>
      </c>
      <c r="D36" s="24"/>
      <c r="E36" s="24"/>
      <c r="F36" s="24"/>
      <c r="G36" s="25"/>
      <c r="H36" s="136"/>
      <c r="I36" s="27">
        <f t="shared" si="3"/>
        <v>0</v>
      </c>
      <c r="J36" s="27"/>
      <c r="K36" s="16"/>
      <c r="L36" s="27"/>
      <c r="M36" s="27"/>
      <c r="N36" s="27"/>
      <c r="O36" s="27"/>
      <c r="P36" s="27"/>
      <c r="Q36" s="27"/>
      <c r="R36" s="27"/>
      <c r="S36" s="27"/>
      <c r="T36" s="43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5"/>
      <c r="AJ36" s="58"/>
      <c r="AK36" s="55"/>
      <c r="AL36" s="66">
        <f t="shared" si="4"/>
        <v>0</v>
      </c>
      <c r="AM36" s="28" t="str">
        <f t="shared" si="2"/>
        <v>OK</v>
      </c>
    </row>
    <row r="37" spans="1:39" customFormat="1">
      <c r="A37" s="80" t="s">
        <v>77</v>
      </c>
      <c r="B37" s="77">
        <v>10133</v>
      </c>
      <c r="C37" s="17" t="s">
        <v>55</v>
      </c>
      <c r="D37" s="69"/>
      <c r="E37" s="18"/>
      <c r="F37" s="18"/>
      <c r="G37" s="19"/>
      <c r="H37" s="135"/>
      <c r="I37" s="21">
        <f t="shared" si="3"/>
        <v>0</v>
      </c>
      <c r="J37" s="21"/>
      <c r="K37" s="16"/>
      <c r="L37" s="21"/>
      <c r="M37" s="21"/>
      <c r="N37" s="21"/>
      <c r="O37" s="21"/>
      <c r="P37" s="21"/>
      <c r="Q37" s="21"/>
      <c r="R37" s="21"/>
      <c r="S37" s="21"/>
      <c r="T37" s="42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4"/>
      <c r="AJ37" s="57"/>
      <c r="AK37" s="54"/>
      <c r="AL37" s="65">
        <f t="shared" si="4"/>
        <v>0</v>
      </c>
      <c r="AM37" s="22" t="str">
        <f t="shared" si="2"/>
        <v>OK</v>
      </c>
    </row>
    <row r="38" spans="1:39" customFormat="1">
      <c r="A38" s="68" t="s">
        <v>78</v>
      </c>
      <c r="B38" s="78">
        <v>10131</v>
      </c>
      <c r="C38" s="23" t="s">
        <v>56</v>
      </c>
      <c r="D38" s="24"/>
      <c r="E38" s="24"/>
      <c r="F38" s="24"/>
      <c r="G38" s="25"/>
      <c r="H38" s="136"/>
      <c r="I38" s="27">
        <f t="shared" si="3"/>
        <v>0</v>
      </c>
      <c r="J38" s="27"/>
      <c r="K38" s="16"/>
      <c r="L38" s="27"/>
      <c r="M38" s="27"/>
      <c r="N38" s="27"/>
      <c r="O38" s="27"/>
      <c r="P38" s="27"/>
      <c r="Q38" s="27"/>
      <c r="R38" s="27"/>
      <c r="S38" s="27"/>
      <c r="T38" s="43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5"/>
      <c r="AJ38" s="58"/>
      <c r="AK38" s="55"/>
      <c r="AL38" s="66">
        <f t="shared" ref="AL38:AL50" si="5">SUM(L38:AK38)</f>
        <v>0</v>
      </c>
      <c r="AM38" s="28" t="str">
        <f t="shared" si="2"/>
        <v>OK</v>
      </c>
    </row>
    <row r="39" spans="1:39" customFormat="1">
      <c r="A39" s="17" t="s">
        <v>79</v>
      </c>
      <c r="B39" s="77">
        <v>10129</v>
      </c>
      <c r="C39" s="17" t="s">
        <v>57</v>
      </c>
      <c r="D39" s="69"/>
      <c r="E39" s="18"/>
      <c r="F39" s="18"/>
      <c r="G39" s="19"/>
      <c r="H39" s="135"/>
      <c r="I39" s="21">
        <f t="shared" si="3"/>
        <v>0</v>
      </c>
      <c r="J39" s="21"/>
      <c r="K39" s="16"/>
      <c r="L39" s="21"/>
      <c r="M39" s="21"/>
      <c r="N39" s="21"/>
      <c r="O39" s="21"/>
      <c r="P39" s="21"/>
      <c r="Q39" s="21"/>
      <c r="R39" s="21"/>
      <c r="S39" s="21"/>
      <c r="T39" s="42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4"/>
      <c r="AJ39" s="57"/>
      <c r="AK39" s="54"/>
      <c r="AL39" s="65">
        <f t="shared" si="5"/>
        <v>0</v>
      </c>
      <c r="AM39" s="22" t="str">
        <f t="shared" si="2"/>
        <v>OK</v>
      </c>
    </row>
    <row r="40" spans="1:39" customFormat="1">
      <c r="A40" s="68" t="s">
        <v>80</v>
      </c>
      <c r="B40" s="78">
        <v>10127</v>
      </c>
      <c r="C40" s="23" t="s">
        <v>58</v>
      </c>
      <c r="D40" s="24"/>
      <c r="E40" s="24"/>
      <c r="F40" s="24"/>
      <c r="G40" s="25"/>
      <c r="H40" s="136"/>
      <c r="I40" s="27">
        <f t="shared" si="3"/>
        <v>0</v>
      </c>
      <c r="J40" s="27"/>
      <c r="K40" s="16"/>
      <c r="L40" s="27"/>
      <c r="M40" s="27"/>
      <c r="N40" s="27"/>
      <c r="O40" s="27"/>
      <c r="P40" s="27"/>
      <c r="Q40" s="27"/>
      <c r="R40" s="27"/>
      <c r="S40" s="27"/>
      <c r="T40" s="43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5"/>
      <c r="AJ40" s="58"/>
      <c r="AK40" s="55"/>
      <c r="AL40" s="66">
        <f t="shared" si="5"/>
        <v>0</v>
      </c>
      <c r="AM40" s="28" t="str">
        <f t="shared" si="2"/>
        <v>OK</v>
      </c>
    </row>
    <row r="41" spans="1:39" customFormat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135"/>
      <c r="I41" s="21">
        <f t="shared" si="3"/>
        <v>0</v>
      </c>
      <c r="J41" s="21"/>
      <c r="K41" s="16"/>
      <c r="L41" s="21"/>
      <c r="M41" s="21"/>
      <c r="N41" s="21"/>
      <c r="O41" s="21"/>
      <c r="P41" s="21"/>
      <c r="Q41" s="21"/>
      <c r="R41" s="21"/>
      <c r="S41" s="21"/>
      <c r="T41" s="4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4"/>
      <c r="AJ41" s="57"/>
      <c r="AK41" s="54"/>
      <c r="AL41" s="65">
        <f t="shared" si="5"/>
        <v>0</v>
      </c>
      <c r="AM41" s="22" t="str">
        <f t="shared" si="2"/>
        <v>OK</v>
      </c>
    </row>
    <row r="42" spans="1:39" customFormat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136"/>
      <c r="I42" s="27">
        <f t="shared" si="3"/>
        <v>0</v>
      </c>
      <c r="J42" s="27"/>
      <c r="K42" s="16"/>
      <c r="L42" s="27"/>
      <c r="M42" s="27"/>
      <c r="N42" s="27"/>
      <c r="O42" s="27"/>
      <c r="P42" s="27"/>
      <c r="Q42" s="27"/>
      <c r="R42" s="27"/>
      <c r="S42" s="27"/>
      <c r="T42" s="43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5"/>
      <c r="AJ42" s="58"/>
      <c r="AK42" s="55"/>
      <c r="AL42" s="66">
        <f t="shared" si="5"/>
        <v>0</v>
      </c>
      <c r="AM42" s="28" t="str">
        <f t="shared" si="2"/>
        <v>OK</v>
      </c>
    </row>
    <row r="43" spans="1:39" customFormat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135"/>
      <c r="I43" s="21">
        <f t="shared" si="3"/>
        <v>0</v>
      </c>
      <c r="J43" s="21"/>
      <c r="K43" s="16"/>
      <c r="L43" s="21"/>
      <c r="M43" s="21"/>
      <c r="N43" s="21"/>
      <c r="O43" s="21"/>
      <c r="P43" s="21"/>
      <c r="Q43" s="21"/>
      <c r="R43" s="21"/>
      <c r="S43" s="21"/>
      <c r="T43" s="42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4"/>
      <c r="AJ43" s="57"/>
      <c r="AK43" s="54"/>
      <c r="AL43" s="65">
        <f t="shared" si="5"/>
        <v>0</v>
      </c>
      <c r="AM43" s="22" t="str">
        <f t="shared" si="2"/>
        <v>OK</v>
      </c>
    </row>
    <row r="44" spans="1:39" customFormat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136"/>
      <c r="I44" s="27">
        <f t="shared" si="3"/>
        <v>0</v>
      </c>
      <c r="J44" s="27"/>
      <c r="K44" s="16"/>
      <c r="L44" s="27"/>
      <c r="M44" s="27"/>
      <c r="N44" s="27"/>
      <c r="O44" s="27"/>
      <c r="P44" s="27"/>
      <c r="Q44" s="27"/>
      <c r="R44" s="27"/>
      <c r="S44" s="27"/>
      <c r="T44" s="43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5"/>
      <c r="AJ44" s="58"/>
      <c r="AK44" s="55"/>
      <c r="AL44" s="66">
        <f t="shared" si="5"/>
        <v>0</v>
      </c>
      <c r="AM44" s="28" t="str">
        <f t="shared" si="2"/>
        <v>OK</v>
      </c>
    </row>
    <row r="45" spans="1:39" customFormat="1">
      <c r="A45" s="17" t="s">
        <v>107</v>
      </c>
      <c r="B45" s="77">
        <v>13467</v>
      </c>
      <c r="C45" s="17" t="s">
        <v>87</v>
      </c>
      <c r="D45" s="69"/>
      <c r="E45" s="18"/>
      <c r="F45" s="18"/>
      <c r="G45" s="19"/>
      <c r="H45" s="135"/>
      <c r="I45" s="21">
        <f t="shared" si="3"/>
        <v>0</v>
      </c>
      <c r="J45" s="21"/>
      <c r="K45" s="16"/>
      <c r="L45" s="21"/>
      <c r="M45" s="21"/>
      <c r="N45" s="21"/>
      <c r="O45" s="21"/>
      <c r="P45" s="21"/>
      <c r="Q45" s="21"/>
      <c r="R45" s="21"/>
      <c r="S45" s="21"/>
      <c r="T45" s="4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4"/>
      <c r="AJ45" s="57"/>
      <c r="AK45" s="54"/>
      <c r="AL45" s="65">
        <f t="shared" si="5"/>
        <v>0</v>
      </c>
      <c r="AM45" s="22" t="str">
        <f t="shared" si="2"/>
        <v>OK</v>
      </c>
    </row>
    <row r="46" spans="1:39" customFormat="1">
      <c r="A46" s="68" t="s">
        <v>111</v>
      </c>
      <c r="B46" s="78">
        <v>15948</v>
      </c>
      <c r="C46" s="23" t="s">
        <v>87</v>
      </c>
      <c r="D46" s="24"/>
      <c r="E46" s="24"/>
      <c r="F46" s="24"/>
      <c r="G46" s="25"/>
      <c r="H46" s="136"/>
      <c r="I46" s="27">
        <f t="shared" si="3"/>
        <v>0</v>
      </c>
      <c r="J46" s="27"/>
      <c r="K46" s="16"/>
      <c r="L46" s="27"/>
      <c r="M46" s="27"/>
      <c r="N46" s="27"/>
      <c r="O46" s="27"/>
      <c r="P46" s="27"/>
      <c r="Q46" s="27"/>
      <c r="R46" s="27"/>
      <c r="S46" s="27"/>
      <c r="T46" s="43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5"/>
      <c r="AJ46" s="58"/>
      <c r="AK46" s="55"/>
      <c r="AL46" s="66">
        <f t="shared" si="5"/>
        <v>0</v>
      </c>
      <c r="AM46" s="28" t="str">
        <f t="shared" si="2"/>
        <v>OK</v>
      </c>
    </row>
    <row r="47" spans="1:39" customFormat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135"/>
      <c r="I47" s="21">
        <f t="shared" si="3"/>
        <v>0</v>
      </c>
      <c r="J47" s="21"/>
      <c r="K47" s="16"/>
      <c r="L47" s="21"/>
      <c r="M47" s="21"/>
      <c r="N47" s="21"/>
      <c r="O47" s="21"/>
      <c r="P47" s="21"/>
      <c r="Q47" s="21"/>
      <c r="R47" s="21"/>
      <c r="S47" s="21"/>
      <c r="T47" s="42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4"/>
      <c r="AJ47" s="57"/>
      <c r="AK47" s="54"/>
      <c r="AL47" s="65">
        <f t="shared" si="5"/>
        <v>0</v>
      </c>
      <c r="AM47" s="22" t="str">
        <f t="shared" si="2"/>
        <v>OK</v>
      </c>
    </row>
    <row r="48" spans="1:39" customFormat="1">
      <c r="A48" s="68" t="s">
        <v>121</v>
      </c>
      <c r="B48" s="78">
        <v>16598</v>
      </c>
      <c r="C48" s="23" t="s">
        <v>87</v>
      </c>
      <c r="D48" s="24"/>
      <c r="E48" s="24"/>
      <c r="F48" s="24"/>
      <c r="G48" s="25"/>
      <c r="H48" s="136"/>
      <c r="I48" s="27">
        <f t="shared" si="3"/>
        <v>0</v>
      </c>
      <c r="J48" s="27"/>
      <c r="K48" s="16"/>
      <c r="L48" s="27"/>
      <c r="M48" s="27"/>
      <c r="N48" s="27"/>
      <c r="O48" s="27"/>
      <c r="P48" s="27"/>
      <c r="Q48" s="27"/>
      <c r="R48" s="27"/>
      <c r="S48" s="27"/>
      <c r="T48" s="43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5"/>
      <c r="AJ48" s="58"/>
      <c r="AK48" s="55"/>
      <c r="AL48" s="66">
        <f t="shared" si="5"/>
        <v>0</v>
      </c>
      <c r="AM48" s="28" t="str">
        <f t="shared" si="2"/>
        <v>OK</v>
      </c>
    </row>
    <row r="49" spans="1:39" customFormat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135"/>
      <c r="I49" s="21">
        <f t="shared" si="3"/>
        <v>0</v>
      </c>
      <c r="J49" s="21"/>
      <c r="K49" s="16"/>
      <c r="L49" s="21"/>
      <c r="M49" s="21"/>
      <c r="N49" s="21"/>
      <c r="O49" s="21"/>
      <c r="P49" s="21"/>
      <c r="Q49" s="21"/>
      <c r="R49" s="21"/>
      <c r="S49" s="21"/>
      <c r="T49" s="4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4"/>
      <c r="AJ49" s="57"/>
      <c r="AK49" s="54"/>
      <c r="AL49" s="65">
        <f t="shared" si="5"/>
        <v>0</v>
      </c>
      <c r="AM49" s="22" t="str">
        <f t="shared" si="2"/>
        <v>OK</v>
      </c>
    </row>
    <row r="50" spans="1:39" customFormat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136"/>
      <c r="I50" s="27">
        <f t="shared" si="3"/>
        <v>0</v>
      </c>
      <c r="J50" s="27"/>
      <c r="K50" s="16"/>
      <c r="L50" s="27"/>
      <c r="M50" s="27"/>
      <c r="N50" s="27"/>
      <c r="O50" s="27"/>
      <c r="P50" s="27"/>
      <c r="Q50" s="27"/>
      <c r="R50" s="27"/>
      <c r="S50" s="27"/>
      <c r="T50" s="43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8"/>
      <c r="AK50" s="55"/>
      <c r="AL50" s="66">
        <f t="shared" si="5"/>
        <v>0</v>
      </c>
      <c r="AM50" s="28" t="str">
        <f t="shared" si="2"/>
        <v>OK</v>
      </c>
    </row>
    <row r="51" spans="1:39" customFormat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135"/>
      <c r="I51" s="21">
        <f t="shared" si="3"/>
        <v>0</v>
      </c>
      <c r="J51" s="21"/>
      <c r="K51" s="16"/>
      <c r="L51" s="21"/>
      <c r="M51" s="21"/>
      <c r="N51" s="21"/>
      <c r="O51" s="21"/>
      <c r="P51" s="21"/>
      <c r="Q51" s="21"/>
      <c r="R51" s="21"/>
      <c r="S51" s="21"/>
      <c r="T51" s="4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4"/>
      <c r="AJ51" s="57"/>
      <c r="AK51" s="54"/>
      <c r="AL51" s="65">
        <f>SUM(L51:AK51)</f>
        <v>0</v>
      </c>
      <c r="AM51" s="22" t="str">
        <f t="shared" si="2"/>
        <v>OK</v>
      </c>
    </row>
    <row r="52" spans="1:39" customFormat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136"/>
      <c r="I52" s="27">
        <f t="shared" si="3"/>
        <v>0</v>
      </c>
      <c r="J52" s="27"/>
      <c r="K52" s="16"/>
      <c r="L52" s="27"/>
      <c r="M52" s="27"/>
      <c r="N52" s="27"/>
      <c r="O52" s="27"/>
      <c r="P52" s="27"/>
      <c r="Q52" s="27"/>
      <c r="R52" s="27"/>
      <c r="S52" s="27"/>
      <c r="T52" s="43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5"/>
      <c r="AJ52" s="58"/>
      <c r="AK52" s="55"/>
      <c r="AL52" s="66">
        <f t="shared" ref="AL52:AL64" si="6">SUM(L52:AK52)</f>
        <v>0</v>
      </c>
      <c r="AM52" s="28" t="str">
        <f t="shared" si="2"/>
        <v>OK</v>
      </c>
    </row>
    <row r="53" spans="1:39" customFormat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135"/>
      <c r="I53" s="21">
        <f t="shared" si="3"/>
        <v>0</v>
      </c>
      <c r="J53" s="21"/>
      <c r="K53" s="16"/>
      <c r="L53" s="21"/>
      <c r="M53" s="21"/>
      <c r="N53" s="21"/>
      <c r="O53" s="21"/>
      <c r="P53" s="21"/>
      <c r="Q53" s="21"/>
      <c r="R53" s="21"/>
      <c r="S53" s="21"/>
      <c r="T53" s="42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4"/>
      <c r="AJ53" s="57"/>
      <c r="AK53" s="54"/>
      <c r="AL53" s="65">
        <f t="shared" si="6"/>
        <v>0</v>
      </c>
      <c r="AM53" s="22" t="str">
        <f t="shared" si="2"/>
        <v>OK</v>
      </c>
    </row>
    <row r="54" spans="1:39" customFormat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136"/>
      <c r="I54" s="27">
        <f t="shared" si="3"/>
        <v>0</v>
      </c>
      <c r="J54" s="27"/>
      <c r="K54" s="16"/>
      <c r="L54" s="27"/>
      <c r="M54" s="27"/>
      <c r="N54" s="27"/>
      <c r="O54" s="27"/>
      <c r="P54" s="27"/>
      <c r="Q54" s="27"/>
      <c r="R54" s="27"/>
      <c r="S54" s="27"/>
      <c r="T54" s="43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5"/>
      <c r="AJ54" s="58"/>
      <c r="AK54" s="55"/>
      <c r="AL54" s="66">
        <f t="shared" si="6"/>
        <v>0</v>
      </c>
      <c r="AM54" s="28" t="str">
        <f t="shared" si="2"/>
        <v>OK</v>
      </c>
    </row>
    <row r="55" spans="1:39" customFormat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135"/>
      <c r="I55" s="21">
        <f t="shared" si="3"/>
        <v>0</v>
      </c>
      <c r="J55" s="21"/>
      <c r="K55" s="16"/>
      <c r="L55" s="21"/>
      <c r="M55" s="21"/>
      <c r="N55" s="21"/>
      <c r="O55" s="21"/>
      <c r="P55" s="21"/>
      <c r="Q55" s="21"/>
      <c r="R55" s="21"/>
      <c r="S55" s="21"/>
      <c r="T55" s="42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4"/>
      <c r="AJ55" s="57"/>
      <c r="AK55" s="54"/>
      <c r="AL55" s="65">
        <f t="shared" si="6"/>
        <v>0</v>
      </c>
      <c r="AM55" s="22" t="str">
        <f t="shared" si="2"/>
        <v>OK</v>
      </c>
    </row>
    <row r="56" spans="1:39" customFormat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136"/>
      <c r="I56" s="27">
        <f t="shared" si="3"/>
        <v>0</v>
      </c>
      <c r="J56" s="27"/>
      <c r="K56" s="16"/>
      <c r="L56" s="27"/>
      <c r="M56" s="27"/>
      <c r="N56" s="27"/>
      <c r="O56" s="27"/>
      <c r="P56" s="27"/>
      <c r="Q56" s="27"/>
      <c r="R56" s="27"/>
      <c r="S56" s="27"/>
      <c r="T56" s="43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5"/>
      <c r="AJ56" s="58"/>
      <c r="AK56" s="55"/>
      <c r="AL56" s="66">
        <f t="shared" si="6"/>
        <v>0</v>
      </c>
      <c r="AM56" s="28" t="str">
        <f t="shared" si="2"/>
        <v>OK</v>
      </c>
    </row>
    <row r="57" spans="1:39" customFormat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135"/>
      <c r="I57" s="21">
        <f t="shared" si="3"/>
        <v>0</v>
      </c>
      <c r="J57" s="21"/>
      <c r="K57" s="16"/>
      <c r="L57" s="21"/>
      <c r="M57" s="21"/>
      <c r="N57" s="21"/>
      <c r="O57" s="21"/>
      <c r="P57" s="21"/>
      <c r="Q57" s="21"/>
      <c r="R57" s="21"/>
      <c r="S57" s="21"/>
      <c r="T57" s="42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4"/>
      <c r="AJ57" s="57"/>
      <c r="AK57" s="54"/>
      <c r="AL57" s="65">
        <f t="shared" si="6"/>
        <v>0</v>
      </c>
      <c r="AM57" s="22" t="str">
        <f t="shared" si="2"/>
        <v>OK</v>
      </c>
    </row>
    <row r="58" spans="1:39" customFormat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136"/>
      <c r="I58" s="27">
        <f t="shared" si="3"/>
        <v>0</v>
      </c>
      <c r="J58" s="27"/>
      <c r="K58" s="16"/>
      <c r="L58" s="27"/>
      <c r="M58" s="27"/>
      <c r="N58" s="27"/>
      <c r="O58" s="27"/>
      <c r="P58" s="27"/>
      <c r="Q58" s="27"/>
      <c r="R58" s="27"/>
      <c r="S58" s="27"/>
      <c r="T58" s="43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5"/>
      <c r="AJ58" s="58"/>
      <c r="AK58" s="55"/>
      <c r="AL58" s="66">
        <f t="shared" si="6"/>
        <v>0</v>
      </c>
      <c r="AM58" s="28" t="str">
        <f t="shared" si="2"/>
        <v>OK</v>
      </c>
    </row>
    <row r="59" spans="1:39" customFormat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135"/>
      <c r="I59" s="21">
        <f t="shared" si="3"/>
        <v>0</v>
      </c>
      <c r="J59" s="21"/>
      <c r="K59" s="16"/>
      <c r="L59" s="21"/>
      <c r="M59" s="21"/>
      <c r="N59" s="21"/>
      <c r="O59" s="21"/>
      <c r="P59" s="21"/>
      <c r="Q59" s="21"/>
      <c r="R59" s="21"/>
      <c r="S59" s="21"/>
      <c r="T59" s="4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4"/>
      <c r="AJ59" s="57"/>
      <c r="AK59" s="54"/>
      <c r="AL59" s="65">
        <f t="shared" si="6"/>
        <v>0</v>
      </c>
      <c r="AM59" s="22" t="str">
        <f t="shared" si="2"/>
        <v>OK</v>
      </c>
    </row>
    <row r="60" spans="1:39" customFormat="1">
      <c r="A60" s="68" t="s">
        <v>84</v>
      </c>
      <c r="B60" s="78">
        <v>11380</v>
      </c>
      <c r="C60" s="23" t="s">
        <v>60</v>
      </c>
      <c r="D60" s="24"/>
      <c r="E60" s="24"/>
      <c r="F60" s="24"/>
      <c r="G60" s="25"/>
      <c r="H60" s="136"/>
      <c r="I60" s="27">
        <f t="shared" si="3"/>
        <v>0</v>
      </c>
      <c r="J60" s="27"/>
      <c r="K60" s="16"/>
      <c r="L60" s="27"/>
      <c r="M60" s="27"/>
      <c r="N60" s="27"/>
      <c r="O60" s="27"/>
      <c r="P60" s="27"/>
      <c r="Q60" s="27"/>
      <c r="R60" s="27"/>
      <c r="S60" s="27"/>
      <c r="T60" s="43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5"/>
      <c r="AJ60" s="58"/>
      <c r="AK60" s="55"/>
      <c r="AL60" s="66">
        <f t="shared" si="6"/>
        <v>0</v>
      </c>
      <c r="AM60" s="28" t="str">
        <f t="shared" si="2"/>
        <v>OK</v>
      </c>
    </row>
    <row r="61" spans="1:39" customFormat="1">
      <c r="A61" s="80" t="s">
        <v>112</v>
      </c>
      <c r="B61" s="77">
        <v>18518</v>
      </c>
      <c r="C61" s="17" t="s">
        <v>87</v>
      </c>
      <c r="D61" s="69"/>
      <c r="E61" s="18"/>
      <c r="F61" s="18"/>
      <c r="G61" s="19"/>
      <c r="H61" s="135"/>
      <c r="I61" s="21">
        <f t="shared" si="3"/>
        <v>0</v>
      </c>
      <c r="J61" s="21"/>
      <c r="K61" s="16"/>
      <c r="L61" s="21"/>
      <c r="M61" s="21"/>
      <c r="N61" s="21"/>
      <c r="O61" s="21"/>
      <c r="P61" s="21"/>
      <c r="Q61" s="21"/>
      <c r="R61" s="21"/>
      <c r="S61" s="21"/>
      <c r="T61" s="4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4"/>
      <c r="AJ61" s="57"/>
      <c r="AK61" s="54"/>
      <c r="AL61" s="65">
        <f t="shared" si="6"/>
        <v>0</v>
      </c>
      <c r="AM61" s="22" t="str">
        <f t="shared" si="2"/>
        <v>OK</v>
      </c>
    </row>
    <row r="62" spans="1:39" customFormat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136"/>
      <c r="I62" s="27">
        <f t="shared" si="3"/>
        <v>0</v>
      </c>
      <c r="J62" s="27"/>
      <c r="K62" s="16"/>
      <c r="L62" s="27"/>
      <c r="M62" s="27"/>
      <c r="N62" s="27"/>
      <c r="O62" s="27"/>
      <c r="P62" s="27"/>
      <c r="Q62" s="27"/>
      <c r="R62" s="27"/>
      <c r="S62" s="27"/>
      <c r="T62" s="43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5"/>
      <c r="AJ62" s="58"/>
      <c r="AK62" s="55"/>
      <c r="AL62" s="66">
        <f t="shared" si="6"/>
        <v>0</v>
      </c>
      <c r="AM62" s="28" t="str">
        <f t="shared" si="2"/>
        <v>OK</v>
      </c>
    </row>
    <row r="63" spans="1:39" customFormat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135"/>
      <c r="I63" s="21">
        <f t="shared" si="3"/>
        <v>0</v>
      </c>
      <c r="J63" s="21"/>
      <c r="K63" s="16"/>
      <c r="L63" s="21"/>
      <c r="M63" s="21"/>
      <c r="N63" s="21"/>
      <c r="O63" s="21"/>
      <c r="P63" s="21"/>
      <c r="Q63" s="21"/>
      <c r="R63" s="21"/>
      <c r="S63" s="21"/>
      <c r="T63" s="4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4"/>
      <c r="AJ63" s="57"/>
      <c r="AK63" s="54"/>
      <c r="AL63" s="65">
        <f t="shared" si="6"/>
        <v>0</v>
      </c>
      <c r="AM63" s="22" t="str">
        <f t="shared" si="2"/>
        <v>OK</v>
      </c>
    </row>
    <row r="64" spans="1:39" customFormat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136"/>
      <c r="I64" s="27">
        <f t="shared" si="3"/>
        <v>0</v>
      </c>
      <c r="J64" s="27"/>
      <c r="K64" s="16"/>
      <c r="L64" s="27"/>
      <c r="M64" s="27"/>
      <c r="N64" s="27"/>
      <c r="O64" s="27"/>
      <c r="P64" s="27"/>
      <c r="Q64" s="27"/>
      <c r="R64" s="27"/>
      <c r="S64" s="27"/>
      <c r="T64" s="43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5"/>
      <c r="AJ64" s="58"/>
      <c r="AK64" s="55"/>
      <c r="AL64" s="66">
        <f t="shared" si="6"/>
        <v>0</v>
      </c>
      <c r="AM64" s="28" t="str">
        <f t="shared" si="2"/>
        <v>OK</v>
      </c>
    </row>
    <row r="65" spans="1:39" customFormat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135"/>
      <c r="I65" s="21">
        <f t="shared" si="3"/>
        <v>0</v>
      </c>
      <c r="J65" s="21"/>
      <c r="K65" s="16"/>
      <c r="L65" s="21"/>
      <c r="M65" s="21"/>
      <c r="N65" s="21"/>
      <c r="O65" s="21"/>
      <c r="P65" s="21"/>
      <c r="Q65" s="21"/>
      <c r="R65" s="21"/>
      <c r="S65" s="21"/>
      <c r="T65" s="4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4"/>
      <c r="AJ65" s="57"/>
      <c r="AK65" s="54"/>
      <c r="AL65" s="65">
        <f t="shared" si="4"/>
        <v>0</v>
      </c>
      <c r="AM65" s="22" t="str">
        <f t="shared" si="2"/>
        <v>OK</v>
      </c>
    </row>
    <row r="66" spans="1:39" customFormat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136"/>
      <c r="I66" s="27">
        <f t="shared" si="3"/>
        <v>0</v>
      </c>
      <c r="J66" s="27"/>
      <c r="K66" s="16"/>
      <c r="L66" s="27"/>
      <c r="M66" s="27"/>
      <c r="N66" s="27"/>
      <c r="O66" s="27"/>
      <c r="P66" s="27"/>
      <c r="Q66" s="27"/>
      <c r="R66" s="27"/>
      <c r="S66" s="27"/>
      <c r="T66" s="43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5"/>
      <c r="AJ66" s="58"/>
      <c r="AK66" s="55"/>
      <c r="AL66" s="66">
        <f t="shared" si="4"/>
        <v>0</v>
      </c>
      <c r="AM66" s="28" t="str">
        <f t="shared" si="2"/>
        <v>OK</v>
      </c>
    </row>
    <row r="67" spans="1:39" customFormat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135"/>
      <c r="I67" s="21">
        <f t="shared" si="3"/>
        <v>0</v>
      </c>
      <c r="J67" s="21"/>
      <c r="K67" s="16"/>
      <c r="L67" s="21"/>
      <c r="M67" s="21"/>
      <c r="N67" s="21"/>
      <c r="O67" s="21"/>
      <c r="P67" s="21"/>
      <c r="Q67" s="21"/>
      <c r="R67" s="21"/>
      <c r="S67" s="21"/>
      <c r="T67" s="4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4"/>
      <c r="AJ67" s="57"/>
      <c r="AK67" s="54"/>
      <c r="AL67" s="65">
        <f t="shared" si="4"/>
        <v>0</v>
      </c>
      <c r="AM67" s="22" t="str">
        <f t="shared" si="2"/>
        <v>OK</v>
      </c>
    </row>
    <row r="68" spans="1:39" customFormat="1">
      <c r="A68" s="81" t="s">
        <v>132</v>
      </c>
      <c r="B68" s="78">
        <v>20269</v>
      </c>
      <c r="C68" s="23" t="s">
        <v>131</v>
      </c>
      <c r="D68" s="24"/>
      <c r="E68" s="24"/>
      <c r="F68" s="24"/>
      <c r="G68" s="25"/>
      <c r="H68" s="136"/>
      <c r="I68" s="27">
        <f t="shared" si="3"/>
        <v>0</v>
      </c>
      <c r="J68" s="27"/>
      <c r="K68" s="16"/>
      <c r="L68" s="27"/>
      <c r="M68" s="27"/>
      <c r="N68" s="27"/>
      <c r="O68" s="27"/>
      <c r="P68" s="27"/>
      <c r="Q68" s="27"/>
      <c r="R68" s="27"/>
      <c r="S68" s="27"/>
      <c r="T68" s="43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5"/>
      <c r="AJ68" s="58"/>
      <c r="AK68" s="55"/>
      <c r="AL68" s="66">
        <f t="shared" si="4"/>
        <v>0</v>
      </c>
      <c r="AM68" s="28" t="str">
        <f t="shared" si="2"/>
        <v>OK</v>
      </c>
    </row>
    <row r="69" spans="1:39" customFormat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135"/>
      <c r="I69" s="21">
        <f t="shared" si="3"/>
        <v>0</v>
      </c>
      <c r="J69" s="21"/>
      <c r="K69" s="16"/>
      <c r="L69" s="21"/>
      <c r="M69" s="21"/>
      <c r="N69" s="21"/>
      <c r="O69" s="21"/>
      <c r="P69" s="21"/>
      <c r="Q69" s="21"/>
      <c r="R69" s="21"/>
      <c r="S69" s="21"/>
      <c r="T69" s="4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4"/>
      <c r="AJ69" s="57"/>
      <c r="AK69" s="54"/>
      <c r="AL69" s="65">
        <f t="shared" si="4"/>
        <v>0</v>
      </c>
      <c r="AM69" s="22" t="str">
        <f t="shared" si="2"/>
        <v>OK</v>
      </c>
    </row>
    <row r="70" spans="1:39" customFormat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136"/>
      <c r="I70" s="27">
        <f t="shared" si="3"/>
        <v>0</v>
      </c>
      <c r="J70" s="27"/>
      <c r="K70" s="16"/>
      <c r="L70" s="27"/>
      <c r="M70" s="27"/>
      <c r="N70" s="27"/>
      <c r="O70" s="27"/>
      <c r="P70" s="27"/>
      <c r="Q70" s="27"/>
      <c r="R70" s="27"/>
      <c r="S70" s="27"/>
      <c r="T70" s="43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5"/>
      <c r="AJ70" s="58"/>
      <c r="AK70" s="55"/>
      <c r="AL70" s="66">
        <f t="shared" si="4"/>
        <v>0</v>
      </c>
      <c r="AM70" s="28" t="str">
        <f t="shared" si="2"/>
        <v>OK</v>
      </c>
    </row>
    <row r="71" spans="1:39" customFormat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135"/>
      <c r="I71" s="21">
        <f t="shared" ref="I71:I96" si="7">SUM(L71:AK71)</f>
        <v>0</v>
      </c>
      <c r="J71" s="21"/>
      <c r="K71" s="16"/>
      <c r="L71" s="21"/>
      <c r="M71" s="21"/>
      <c r="N71" s="21"/>
      <c r="O71" s="21"/>
      <c r="P71" s="21"/>
      <c r="Q71" s="21"/>
      <c r="R71" s="21"/>
      <c r="S71" s="21"/>
      <c r="T71" s="4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4"/>
      <c r="AJ71" s="57"/>
      <c r="AK71" s="54"/>
      <c r="AL71" s="65">
        <f t="shared" si="4"/>
        <v>0</v>
      </c>
      <c r="AM71" s="22" t="str">
        <f t="shared" si="2"/>
        <v>OK</v>
      </c>
    </row>
    <row r="72" spans="1:39" customFormat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136"/>
      <c r="I72" s="27">
        <f t="shared" si="7"/>
        <v>0</v>
      </c>
      <c r="J72" s="27"/>
      <c r="K72" s="16"/>
      <c r="L72" s="27"/>
      <c r="M72" s="27"/>
      <c r="N72" s="27"/>
      <c r="O72" s="27"/>
      <c r="P72" s="27"/>
      <c r="Q72" s="27"/>
      <c r="R72" s="27"/>
      <c r="S72" s="27"/>
      <c r="T72" s="43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5"/>
      <c r="AJ72" s="58"/>
      <c r="AK72" s="55"/>
      <c r="AL72" s="66">
        <f t="shared" si="4"/>
        <v>0</v>
      </c>
      <c r="AM72" s="28" t="str">
        <f t="shared" si="2"/>
        <v>OK</v>
      </c>
    </row>
    <row r="73" spans="1:39" customFormat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138"/>
      <c r="I73" s="101">
        <f t="shared" si="7"/>
        <v>0</v>
      </c>
      <c r="J73" s="21"/>
      <c r="K73" s="16"/>
      <c r="L73" s="21"/>
      <c r="M73" s="21"/>
      <c r="N73" s="21"/>
      <c r="O73" s="21"/>
      <c r="P73" s="21"/>
      <c r="Q73" s="21"/>
      <c r="R73" s="21"/>
      <c r="S73" s="21"/>
      <c r="T73" s="42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4"/>
      <c r="AJ73" s="57"/>
      <c r="AK73" s="54"/>
      <c r="AL73" s="65">
        <f t="shared" si="4"/>
        <v>0</v>
      </c>
      <c r="AM73" s="22" t="str">
        <f t="shared" si="2"/>
        <v>OK</v>
      </c>
    </row>
    <row r="74" spans="1:39" customFormat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139"/>
      <c r="I74" s="103">
        <f t="shared" si="7"/>
        <v>0</v>
      </c>
      <c r="J74" s="27"/>
      <c r="K74" s="16"/>
      <c r="L74" s="100"/>
      <c r="M74" s="100"/>
      <c r="N74" s="100"/>
      <c r="O74" s="100"/>
      <c r="P74" s="100"/>
      <c r="Q74" s="100"/>
      <c r="R74" s="100"/>
      <c r="S74" s="100"/>
      <c r="T74" s="109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1"/>
      <c r="AJ74" s="112"/>
      <c r="AK74" s="111"/>
      <c r="AL74" s="66">
        <f t="shared" si="4"/>
        <v>0</v>
      </c>
      <c r="AM74" s="28" t="str">
        <f t="shared" si="2"/>
        <v>OK</v>
      </c>
    </row>
    <row r="75" spans="1:39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40"/>
      <c r="I75" s="105">
        <f t="shared" si="7"/>
        <v>0</v>
      </c>
      <c r="J75" s="90"/>
      <c r="K75" s="91"/>
      <c r="L75" s="113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5"/>
      <c r="AL75" s="92">
        <f t="shared" ref="AL75:AL80" si="8">SUM(L75:AK75)</f>
        <v>0</v>
      </c>
      <c r="AM75" s="122" t="str">
        <f t="shared" ref="AM75:AM96" si="9">IF(AL75=I75,"OK","NG")</f>
        <v>OK</v>
      </c>
    </row>
    <row r="76" spans="1:39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139"/>
      <c r="I76" s="106">
        <f t="shared" si="7"/>
        <v>0</v>
      </c>
      <c r="J76" s="85"/>
      <c r="K76" s="16"/>
      <c r="L76" s="1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8"/>
      <c r="AL76" s="66">
        <f t="shared" si="8"/>
        <v>0</v>
      </c>
      <c r="AM76" s="28" t="str">
        <f t="shared" si="9"/>
        <v>OK</v>
      </c>
    </row>
    <row r="77" spans="1:39">
      <c r="A77" s="87" t="s">
        <v>165</v>
      </c>
      <c r="B77" s="93">
        <v>13007</v>
      </c>
      <c r="C77" s="94" t="s">
        <v>164</v>
      </c>
      <c r="D77" s="88"/>
      <c r="E77" s="88"/>
      <c r="F77" s="88"/>
      <c r="G77" s="89"/>
      <c r="H77" s="104"/>
      <c r="I77" s="105">
        <f t="shared" si="7"/>
        <v>0</v>
      </c>
      <c r="J77" s="90"/>
      <c r="K77" s="91"/>
      <c r="L77" s="113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5"/>
      <c r="AL77" s="92">
        <f t="shared" si="8"/>
        <v>0</v>
      </c>
      <c r="AM77" s="122" t="str">
        <f t="shared" si="9"/>
        <v>OK</v>
      </c>
    </row>
    <row r="78" spans="1:39">
      <c r="A78" s="68"/>
      <c r="B78" s="78"/>
      <c r="C78" s="95"/>
      <c r="D78" s="83"/>
      <c r="E78" s="83"/>
      <c r="F78" s="83"/>
      <c r="G78" s="84"/>
      <c r="H78" s="102"/>
      <c r="I78" s="106">
        <f t="shared" si="7"/>
        <v>0</v>
      </c>
      <c r="J78" s="85"/>
      <c r="K78" s="16"/>
      <c r="L78" s="1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66">
        <f t="shared" si="8"/>
        <v>0</v>
      </c>
      <c r="AM78" s="28" t="str">
        <f t="shared" si="9"/>
        <v>OK</v>
      </c>
    </row>
    <row r="79" spans="1:39">
      <c r="A79" s="87"/>
      <c r="B79" s="93"/>
      <c r="C79" s="94"/>
      <c r="D79" s="88"/>
      <c r="E79" s="88"/>
      <c r="F79" s="88"/>
      <c r="G79" s="89"/>
      <c r="H79" s="104"/>
      <c r="I79" s="105">
        <f t="shared" si="7"/>
        <v>0</v>
      </c>
      <c r="J79" s="90"/>
      <c r="K79" s="91"/>
      <c r="L79" s="113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5"/>
      <c r="AL79" s="92">
        <f t="shared" si="8"/>
        <v>0</v>
      </c>
      <c r="AM79" s="122" t="str">
        <f t="shared" si="9"/>
        <v>OK</v>
      </c>
    </row>
    <row r="80" spans="1:39">
      <c r="A80" s="68"/>
      <c r="B80" s="78"/>
      <c r="C80" s="95"/>
      <c r="D80" s="83"/>
      <c r="E80" s="83"/>
      <c r="F80" s="83"/>
      <c r="G80" s="84"/>
      <c r="H80" s="102"/>
      <c r="I80" s="106">
        <f t="shared" si="7"/>
        <v>0</v>
      </c>
      <c r="J80" s="85"/>
      <c r="K80" s="16"/>
      <c r="L80" s="116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66">
        <f t="shared" si="8"/>
        <v>0</v>
      </c>
      <c r="AM80" s="28" t="str">
        <f t="shared" si="9"/>
        <v>OK</v>
      </c>
    </row>
    <row r="81" spans="1:39">
      <c r="A81" s="87"/>
      <c r="B81" s="93"/>
      <c r="C81" s="94"/>
      <c r="D81" s="88"/>
      <c r="E81" s="88"/>
      <c r="F81" s="88"/>
      <c r="G81" s="89"/>
      <c r="H81" s="104"/>
      <c r="I81" s="105">
        <f t="shared" si="7"/>
        <v>0</v>
      </c>
      <c r="J81" s="90"/>
      <c r="K81" s="91"/>
      <c r="L81" s="113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5"/>
      <c r="AL81" s="92">
        <f t="shared" ref="AL81:AL96" si="10">SUM(L81:AK81)</f>
        <v>0</v>
      </c>
      <c r="AM81" s="122" t="str">
        <f t="shared" si="9"/>
        <v>OK</v>
      </c>
    </row>
    <row r="82" spans="1:39">
      <c r="A82" s="68"/>
      <c r="B82" s="78"/>
      <c r="C82" s="95"/>
      <c r="D82" s="83"/>
      <c r="E82" s="83"/>
      <c r="F82" s="83"/>
      <c r="G82" s="84"/>
      <c r="H82" s="102"/>
      <c r="I82" s="106">
        <f t="shared" si="7"/>
        <v>0</v>
      </c>
      <c r="J82" s="85"/>
      <c r="K82" s="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66">
        <f t="shared" si="10"/>
        <v>0</v>
      </c>
      <c r="AM82" s="28" t="str">
        <f t="shared" si="9"/>
        <v>OK</v>
      </c>
    </row>
    <row r="83" spans="1:39">
      <c r="A83" s="96"/>
      <c r="B83" s="93"/>
      <c r="C83" s="94"/>
      <c r="D83" s="88"/>
      <c r="E83" s="88"/>
      <c r="F83" s="88"/>
      <c r="G83" s="89"/>
      <c r="H83" s="104"/>
      <c r="I83" s="105">
        <f t="shared" si="7"/>
        <v>0</v>
      </c>
      <c r="J83" s="90"/>
      <c r="K83" s="91"/>
      <c r="L83" s="113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5"/>
      <c r="AL83" s="92">
        <f t="shared" si="10"/>
        <v>0</v>
      </c>
      <c r="AM83" s="122" t="str">
        <f t="shared" si="9"/>
        <v>OK</v>
      </c>
    </row>
    <row r="84" spans="1:39">
      <c r="A84" s="68"/>
      <c r="B84" s="78"/>
      <c r="C84" s="95"/>
      <c r="D84" s="83"/>
      <c r="E84" s="83"/>
      <c r="F84" s="83"/>
      <c r="G84" s="84"/>
      <c r="H84" s="102"/>
      <c r="I84" s="106">
        <f t="shared" si="7"/>
        <v>0</v>
      </c>
      <c r="J84" s="85"/>
      <c r="K84" s="16"/>
      <c r="L84" s="116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66">
        <f t="shared" si="10"/>
        <v>0</v>
      </c>
      <c r="AM84" s="28" t="str">
        <f t="shared" si="9"/>
        <v>OK</v>
      </c>
    </row>
    <row r="85" spans="1:39">
      <c r="A85" s="87"/>
      <c r="B85" s="93"/>
      <c r="C85" s="94"/>
      <c r="D85" s="88"/>
      <c r="E85" s="88"/>
      <c r="F85" s="88"/>
      <c r="G85" s="89"/>
      <c r="H85" s="104"/>
      <c r="I85" s="105">
        <f t="shared" si="7"/>
        <v>0</v>
      </c>
      <c r="J85" s="90"/>
      <c r="K85" s="91"/>
      <c r="L85" s="113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5"/>
      <c r="AL85" s="92">
        <f t="shared" si="10"/>
        <v>0</v>
      </c>
      <c r="AM85" s="122" t="str">
        <f t="shared" si="9"/>
        <v>OK</v>
      </c>
    </row>
    <row r="86" spans="1:39">
      <c r="A86" s="68"/>
      <c r="B86" s="78"/>
      <c r="C86" s="95"/>
      <c r="D86" s="83"/>
      <c r="E86" s="83"/>
      <c r="F86" s="83"/>
      <c r="G86" s="84"/>
      <c r="H86" s="102"/>
      <c r="I86" s="106">
        <f t="shared" si="7"/>
        <v>0</v>
      </c>
      <c r="J86" s="85"/>
      <c r="K86" s="16"/>
      <c r="L86" s="116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66">
        <f t="shared" si="10"/>
        <v>0</v>
      </c>
      <c r="AM86" s="28" t="str">
        <f t="shared" si="9"/>
        <v>OK</v>
      </c>
    </row>
    <row r="87" spans="1:39">
      <c r="A87" s="87"/>
      <c r="B87" s="93"/>
      <c r="C87" s="94"/>
      <c r="D87" s="88"/>
      <c r="E87" s="88"/>
      <c r="F87" s="88"/>
      <c r="G87" s="89"/>
      <c r="H87" s="104"/>
      <c r="I87" s="105">
        <f t="shared" si="7"/>
        <v>0</v>
      </c>
      <c r="J87" s="90"/>
      <c r="K87" s="91"/>
      <c r="L87" s="113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5"/>
      <c r="AL87" s="92">
        <f t="shared" si="10"/>
        <v>0</v>
      </c>
      <c r="AM87" s="122" t="str">
        <f t="shared" si="9"/>
        <v>OK</v>
      </c>
    </row>
    <row r="88" spans="1:39">
      <c r="A88" s="68"/>
      <c r="B88" s="78"/>
      <c r="C88" s="95"/>
      <c r="D88" s="83"/>
      <c r="E88" s="83"/>
      <c r="F88" s="83"/>
      <c r="G88" s="84"/>
      <c r="H88" s="102"/>
      <c r="I88" s="106">
        <f t="shared" si="7"/>
        <v>0</v>
      </c>
      <c r="J88" s="85"/>
      <c r="K88" s="16"/>
      <c r="L88" s="116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66">
        <f t="shared" si="10"/>
        <v>0</v>
      </c>
      <c r="AM88" s="28" t="str">
        <f t="shared" si="9"/>
        <v>OK</v>
      </c>
    </row>
    <row r="89" spans="1:39">
      <c r="A89" s="87"/>
      <c r="B89" s="93"/>
      <c r="C89" s="94"/>
      <c r="D89" s="88"/>
      <c r="E89" s="88"/>
      <c r="F89" s="88"/>
      <c r="G89" s="89"/>
      <c r="H89" s="104"/>
      <c r="I89" s="105">
        <f t="shared" si="7"/>
        <v>0</v>
      </c>
      <c r="J89" s="90"/>
      <c r="K89" s="91"/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5"/>
      <c r="AL89" s="92">
        <f t="shared" si="10"/>
        <v>0</v>
      </c>
      <c r="AM89" s="122" t="str">
        <f t="shared" si="9"/>
        <v>OK</v>
      </c>
    </row>
    <row r="90" spans="1:39">
      <c r="A90" s="68"/>
      <c r="B90" s="78"/>
      <c r="C90" s="95"/>
      <c r="D90" s="83"/>
      <c r="E90" s="83"/>
      <c r="F90" s="83"/>
      <c r="G90" s="84"/>
      <c r="H90" s="102"/>
      <c r="I90" s="106">
        <f t="shared" si="7"/>
        <v>0</v>
      </c>
      <c r="J90" s="85"/>
      <c r="K90" s="16"/>
      <c r="L90" s="116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66">
        <f t="shared" si="10"/>
        <v>0</v>
      </c>
      <c r="AM90" s="28" t="str">
        <f t="shared" si="9"/>
        <v>OK</v>
      </c>
    </row>
    <row r="91" spans="1:39">
      <c r="A91" s="87"/>
      <c r="B91" s="93"/>
      <c r="C91" s="94"/>
      <c r="D91" s="88"/>
      <c r="E91" s="88"/>
      <c r="F91" s="88"/>
      <c r="G91" s="89"/>
      <c r="H91" s="104"/>
      <c r="I91" s="105">
        <f t="shared" si="7"/>
        <v>0</v>
      </c>
      <c r="J91" s="90"/>
      <c r="K91" s="91"/>
      <c r="L91" s="113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5"/>
      <c r="AL91" s="92">
        <f t="shared" si="10"/>
        <v>0</v>
      </c>
      <c r="AM91" s="122" t="str">
        <f t="shared" si="9"/>
        <v>OK</v>
      </c>
    </row>
    <row r="92" spans="1:39">
      <c r="A92" s="68"/>
      <c r="B92" s="78"/>
      <c r="C92" s="95"/>
      <c r="D92" s="83"/>
      <c r="E92" s="83"/>
      <c r="F92" s="83"/>
      <c r="G92" s="84"/>
      <c r="H92" s="102"/>
      <c r="I92" s="106">
        <f t="shared" si="7"/>
        <v>0</v>
      </c>
      <c r="J92" s="85"/>
      <c r="K92" s="16"/>
      <c r="L92" s="116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66">
        <f t="shared" si="10"/>
        <v>0</v>
      </c>
      <c r="AM92" s="28" t="str">
        <f t="shared" si="9"/>
        <v>OK</v>
      </c>
    </row>
    <row r="93" spans="1:39">
      <c r="A93" s="87"/>
      <c r="B93" s="93"/>
      <c r="C93" s="94"/>
      <c r="D93" s="88"/>
      <c r="E93" s="88"/>
      <c r="F93" s="88"/>
      <c r="G93" s="89"/>
      <c r="H93" s="104"/>
      <c r="I93" s="105">
        <f t="shared" si="7"/>
        <v>0</v>
      </c>
      <c r="J93" s="90"/>
      <c r="K93" s="91"/>
      <c r="L93" s="113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5"/>
      <c r="AL93" s="92">
        <f t="shared" si="10"/>
        <v>0</v>
      </c>
      <c r="AM93" s="122" t="str">
        <f t="shared" si="9"/>
        <v>OK</v>
      </c>
    </row>
    <row r="94" spans="1:39">
      <c r="A94" s="68"/>
      <c r="B94" s="78"/>
      <c r="C94" s="95"/>
      <c r="D94" s="83"/>
      <c r="E94" s="83"/>
      <c r="F94" s="83"/>
      <c r="G94" s="84"/>
      <c r="H94" s="102"/>
      <c r="I94" s="106">
        <f t="shared" si="7"/>
        <v>0</v>
      </c>
      <c r="J94" s="85"/>
      <c r="K94" s="16"/>
      <c r="L94" s="116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66">
        <f t="shared" si="10"/>
        <v>0</v>
      </c>
      <c r="AM94" s="28" t="str">
        <f t="shared" si="9"/>
        <v>OK</v>
      </c>
    </row>
    <row r="95" spans="1:39">
      <c r="A95" s="87"/>
      <c r="B95" s="93"/>
      <c r="C95" s="94"/>
      <c r="D95" s="88"/>
      <c r="E95" s="88"/>
      <c r="F95" s="88"/>
      <c r="G95" s="89"/>
      <c r="H95" s="104"/>
      <c r="I95" s="105">
        <f t="shared" si="7"/>
        <v>0</v>
      </c>
      <c r="J95" s="90"/>
      <c r="K95" s="91"/>
      <c r="L95" s="113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5"/>
      <c r="AL95" s="92">
        <f t="shared" si="10"/>
        <v>0</v>
      </c>
      <c r="AM95" s="122" t="str">
        <f t="shared" si="9"/>
        <v>OK</v>
      </c>
    </row>
    <row r="96" spans="1:39" ht="17.25" thickBot="1">
      <c r="A96" s="97"/>
      <c r="B96" s="98"/>
      <c r="C96" s="99"/>
      <c r="D96" s="83"/>
      <c r="E96" s="83"/>
      <c r="F96" s="83"/>
      <c r="G96" s="84"/>
      <c r="H96" s="107"/>
      <c r="I96" s="108">
        <f t="shared" si="7"/>
        <v>0</v>
      </c>
      <c r="J96" s="85"/>
      <c r="K96" s="16"/>
      <c r="L96" s="119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1"/>
      <c r="AL96" s="66">
        <f t="shared" si="10"/>
        <v>0</v>
      </c>
      <c r="AM96" s="28" t="str">
        <f t="shared" si="9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0</v>
      </c>
      <c r="I97" s="46">
        <f>SUM(I6:I96)</f>
        <v>0</v>
      </c>
      <c r="J97" s="47">
        <f>SUM(J6:J74)</f>
        <v>0</v>
      </c>
      <c r="K97" s="9"/>
      <c r="L97" s="45">
        <f>SUM(L6:L96)</f>
        <v>0</v>
      </c>
      <c r="M97" s="45">
        <f t="shared" ref="M97:AI97" si="11">SUM(M6:M96)</f>
        <v>0</v>
      </c>
      <c r="N97" s="45">
        <f t="shared" si="11"/>
        <v>0</v>
      </c>
      <c r="O97" s="45">
        <f t="shared" si="11"/>
        <v>0</v>
      </c>
      <c r="P97" s="45">
        <f t="shared" si="11"/>
        <v>0</v>
      </c>
      <c r="Q97" s="45">
        <f t="shared" si="11"/>
        <v>0</v>
      </c>
      <c r="R97" s="45">
        <f t="shared" si="11"/>
        <v>0</v>
      </c>
      <c r="S97" s="45">
        <f t="shared" si="11"/>
        <v>0</v>
      </c>
      <c r="T97" s="45">
        <f t="shared" si="11"/>
        <v>0</v>
      </c>
      <c r="U97" s="45">
        <f t="shared" si="11"/>
        <v>0</v>
      </c>
      <c r="V97" s="45">
        <f t="shared" si="11"/>
        <v>0</v>
      </c>
      <c r="W97" s="45">
        <f t="shared" si="11"/>
        <v>0</v>
      </c>
      <c r="X97" s="45">
        <f t="shared" si="11"/>
        <v>0</v>
      </c>
      <c r="Y97" s="45">
        <f t="shared" si="11"/>
        <v>0</v>
      </c>
      <c r="Z97" s="45">
        <f t="shared" si="11"/>
        <v>0</v>
      </c>
      <c r="AA97" s="45">
        <f t="shared" si="11"/>
        <v>0</v>
      </c>
      <c r="AB97" s="45">
        <f t="shared" si="11"/>
        <v>0</v>
      </c>
      <c r="AC97" s="45">
        <f t="shared" si="11"/>
        <v>0</v>
      </c>
      <c r="AD97" s="45">
        <f t="shared" si="11"/>
        <v>0</v>
      </c>
      <c r="AE97" s="45">
        <f t="shared" si="11"/>
        <v>0</v>
      </c>
      <c r="AF97" s="45">
        <f t="shared" si="11"/>
        <v>0</v>
      </c>
      <c r="AG97" s="45">
        <f t="shared" si="11"/>
        <v>0</v>
      </c>
      <c r="AH97" s="45">
        <f t="shared" si="11"/>
        <v>0</v>
      </c>
      <c r="AI97" s="45">
        <f t="shared" si="11"/>
        <v>0</v>
      </c>
      <c r="AJ97" s="49">
        <f>SUM(AJ6:AJ96)</f>
        <v>0</v>
      </c>
      <c r="AK97" s="61">
        <f>SUM(AK6:AK96)</f>
        <v>0</v>
      </c>
      <c r="AL97" s="67">
        <f>SUM(AL6:AL96)</f>
        <v>0</v>
      </c>
      <c r="AM97" s="48" t="str">
        <f>IF(AL97=SUM(I97),"OK","NG")</f>
        <v>OK</v>
      </c>
    </row>
    <row r="102" spans="1:39">
      <c r="H102" s="86"/>
      <c r="M102" s="86"/>
    </row>
  </sheetData>
  <mergeCells count="37">
    <mergeCell ref="AM4:AM5"/>
    <mergeCell ref="AG4:AG5"/>
    <mergeCell ref="AH4:AH5"/>
    <mergeCell ref="AI4:AI5"/>
    <mergeCell ref="AJ4:AJ5"/>
    <mergeCell ref="AK4:AK5"/>
    <mergeCell ref="AL4:AL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B1:C1"/>
    <mergeCell ref="F1:G1"/>
    <mergeCell ref="H1:J3"/>
    <mergeCell ref="B2:C2"/>
    <mergeCell ref="AM2:AM3"/>
    <mergeCell ref="B3:C3"/>
  </mergeCells>
  <phoneticPr fontId="3" type="noConversion"/>
  <conditionalFormatting sqref="A4 AM6:AM97">
    <cfRule type="containsText" dxfId="3" priority="7" operator="containsText" text="NG">
      <formula>NOT(ISERROR(SEARCH("NG",A4)))</formula>
    </cfRule>
    <cfRule type="containsText" dxfId="2" priority="8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51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" filterMode="1">
    <pageSetUpPr fitToPage="1"/>
  </sheetPr>
  <dimension ref="A1:AM97"/>
  <sheetViews>
    <sheetView showGridLines="0" zoomScale="85" zoomScaleNormal="85" workbookViewId="0">
      <pane ySplit="5" topLeftCell="A6" activePane="bottomLeft" state="frozen"/>
      <selection activeCell="C73" sqref="C73"/>
      <selection pane="bottomLeft" activeCell="C14" sqref="C14"/>
    </sheetView>
  </sheetViews>
  <sheetFormatPr defaultColWidth="9" defaultRowHeight="16.5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10" width="13.25" customWidth="1"/>
    <col min="11" max="11" width="0.875" customWidth="1"/>
    <col min="12" max="16" width="8.75"/>
    <col min="17" max="20" width="0" hidden="1" customWidth="1"/>
    <col min="21" max="35" width="8.75"/>
    <col min="36" max="36" width="11" bestFit="1" customWidth="1"/>
    <col min="37" max="39" width="8.75" customWidth="1"/>
    <col min="40" max="16384" width="9" style="123"/>
  </cols>
  <sheetData>
    <row r="1" spans="1:39" customFormat="1" ht="22.5" customHeight="1" thickBot="1">
      <c r="A1" s="37" t="s">
        <v>13</v>
      </c>
      <c r="B1" s="168">
        <f>H97</f>
        <v>655360</v>
      </c>
      <c r="C1" s="169"/>
      <c r="D1" s="74"/>
      <c r="E1" s="70" t="s">
        <v>1</v>
      </c>
      <c r="F1" s="170">
        <f>G97</f>
        <v>0</v>
      </c>
      <c r="G1" s="170"/>
      <c r="H1" s="171"/>
      <c r="I1" s="171"/>
      <c r="J1" s="17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customFormat="1" ht="22.5" customHeight="1" thickBot="1">
      <c r="A2" s="37" t="s">
        <v>14</v>
      </c>
      <c r="B2" s="173">
        <f>I97</f>
        <v>359</v>
      </c>
      <c r="C2" s="174"/>
      <c r="D2" s="75"/>
      <c r="E2" s="71"/>
      <c r="F2" s="2"/>
      <c r="G2" s="2"/>
      <c r="H2" s="171"/>
      <c r="I2" s="171"/>
      <c r="J2" s="171"/>
      <c r="K2" s="3"/>
      <c r="L2" s="4">
        <f t="shared" ref="L2:AI2" si="0">SUBTOTAL(9,L6:L96)</f>
        <v>117</v>
      </c>
      <c r="M2" s="4">
        <f t="shared" si="0"/>
        <v>27</v>
      </c>
      <c r="N2" s="4">
        <f t="shared" si="0"/>
        <v>8</v>
      </c>
      <c r="O2" s="4">
        <f t="shared" si="0"/>
        <v>0</v>
      </c>
      <c r="P2" s="4">
        <f t="shared" si="0"/>
        <v>7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39">
        <f t="shared" si="0"/>
        <v>0</v>
      </c>
      <c r="U2" s="5">
        <f t="shared" si="0"/>
        <v>4</v>
      </c>
      <c r="V2" s="5">
        <f t="shared" si="0"/>
        <v>4</v>
      </c>
      <c r="W2" s="5">
        <f t="shared" si="0"/>
        <v>0</v>
      </c>
      <c r="X2" s="5">
        <f t="shared" si="0"/>
        <v>0</v>
      </c>
      <c r="Y2" s="5">
        <f t="shared" si="0"/>
        <v>32</v>
      </c>
      <c r="Z2" s="5">
        <f t="shared" si="0"/>
        <v>5</v>
      </c>
      <c r="AA2" s="5">
        <f t="shared" si="0"/>
        <v>0</v>
      </c>
      <c r="AB2" s="5">
        <f t="shared" si="0"/>
        <v>3</v>
      </c>
      <c r="AC2" s="5">
        <f t="shared" si="0"/>
        <v>84</v>
      </c>
      <c r="AD2" s="5">
        <f t="shared" si="0"/>
        <v>0</v>
      </c>
      <c r="AE2" s="5">
        <f t="shared" si="0"/>
        <v>0</v>
      </c>
      <c r="AF2" s="5">
        <f t="shared" si="0"/>
        <v>1</v>
      </c>
      <c r="AG2" s="5">
        <f t="shared" si="0"/>
        <v>9</v>
      </c>
      <c r="AH2" s="5">
        <f t="shared" si="0"/>
        <v>0</v>
      </c>
      <c r="AI2" s="5">
        <f t="shared" si="0"/>
        <v>56</v>
      </c>
      <c r="AJ2" s="5">
        <f>SUBTOTAL(9,AJ6:AJ74)</f>
        <v>0</v>
      </c>
      <c r="AK2" s="59">
        <f>SUBTOTAL(9,AK6:AK74)</f>
        <v>0</v>
      </c>
      <c r="AL2" s="62">
        <f>SUBTOTAL(9,AL6:AL96)</f>
        <v>357</v>
      </c>
      <c r="AM2" s="175"/>
    </row>
    <row r="3" spans="1:39" customFormat="1" ht="22.5" customHeight="1" thickBot="1">
      <c r="A3" s="38" t="s">
        <v>15</v>
      </c>
      <c r="B3" s="177">
        <f>IF(ISERROR(B2/(B2+B1)*1000000),"",(B2/(B2+B1)*1000000))</f>
        <v>547.49061716985477</v>
      </c>
      <c r="C3" s="178"/>
      <c r="D3" s="73"/>
      <c r="E3" s="72"/>
      <c r="F3" s="32"/>
      <c r="G3" s="32"/>
      <c r="H3" s="172"/>
      <c r="I3" s="172"/>
      <c r="J3" s="172"/>
      <c r="K3" s="6"/>
      <c r="L3" s="7">
        <f>SUM(L6:L96)</f>
        <v>117</v>
      </c>
      <c r="M3" s="7">
        <f t="shared" ref="M3:AI3" si="1">SUM(M6:M96)</f>
        <v>27</v>
      </c>
      <c r="N3" s="7">
        <f t="shared" si="1"/>
        <v>8</v>
      </c>
      <c r="O3" s="7">
        <f t="shared" si="1"/>
        <v>0</v>
      </c>
      <c r="P3" s="7">
        <f t="shared" si="1"/>
        <v>7</v>
      </c>
      <c r="Q3" s="7">
        <f t="shared" si="1"/>
        <v>0</v>
      </c>
      <c r="R3" s="7">
        <f t="shared" si="1"/>
        <v>0</v>
      </c>
      <c r="S3" s="7">
        <f t="shared" si="1"/>
        <v>0</v>
      </c>
      <c r="T3" s="40">
        <f t="shared" si="1"/>
        <v>0</v>
      </c>
      <c r="U3" s="8">
        <f t="shared" si="1"/>
        <v>4</v>
      </c>
      <c r="V3" s="8">
        <f t="shared" si="1"/>
        <v>4</v>
      </c>
      <c r="W3" s="8">
        <f t="shared" si="1"/>
        <v>0</v>
      </c>
      <c r="X3" s="8">
        <f t="shared" si="1"/>
        <v>0</v>
      </c>
      <c r="Y3" s="8">
        <f t="shared" si="1"/>
        <v>32</v>
      </c>
      <c r="Z3" s="8">
        <f t="shared" si="1"/>
        <v>5</v>
      </c>
      <c r="AA3" s="8">
        <f t="shared" si="1"/>
        <v>0</v>
      </c>
      <c r="AB3" s="8">
        <f t="shared" si="1"/>
        <v>3</v>
      </c>
      <c r="AC3" s="8">
        <f t="shared" si="1"/>
        <v>84</v>
      </c>
      <c r="AD3" s="8">
        <f t="shared" si="1"/>
        <v>0</v>
      </c>
      <c r="AE3" s="8">
        <f t="shared" si="1"/>
        <v>0</v>
      </c>
      <c r="AF3" s="8">
        <f t="shared" si="1"/>
        <v>1</v>
      </c>
      <c r="AG3" s="8">
        <f t="shared" si="1"/>
        <v>11</v>
      </c>
      <c r="AH3" s="8">
        <f t="shared" si="1"/>
        <v>0</v>
      </c>
      <c r="AI3" s="8">
        <f t="shared" si="1"/>
        <v>56</v>
      </c>
      <c r="AJ3" s="8">
        <f>SUM(AJ6:AJ74)</f>
        <v>0</v>
      </c>
      <c r="AK3" s="60">
        <f>SUM(AK6:AK74)</f>
        <v>0</v>
      </c>
      <c r="AL3" s="63">
        <f>SUM(AL6:AL96)</f>
        <v>359</v>
      </c>
      <c r="AM3" s="176"/>
    </row>
    <row r="4" spans="1:39" customFormat="1" ht="43.5" customHeight="1">
      <c r="A4" s="163" t="str">
        <f>AM97</f>
        <v>OK</v>
      </c>
      <c r="B4" s="163"/>
      <c r="C4" s="163"/>
      <c r="D4" s="164"/>
      <c r="E4" s="165" t="s">
        <v>16</v>
      </c>
      <c r="F4" s="165"/>
      <c r="G4" s="165"/>
      <c r="H4" s="165" t="s">
        <v>17</v>
      </c>
      <c r="I4" s="165"/>
      <c r="J4" s="165"/>
      <c r="K4" s="3"/>
      <c r="L4" s="166" t="s">
        <v>18</v>
      </c>
      <c r="M4" s="160" t="s">
        <v>19</v>
      </c>
      <c r="N4" s="160" t="s">
        <v>20</v>
      </c>
      <c r="O4" s="160" t="s">
        <v>38</v>
      </c>
      <c r="P4" s="160" t="s">
        <v>34</v>
      </c>
      <c r="Q4" s="160" t="s">
        <v>23</v>
      </c>
      <c r="R4" s="160" t="s">
        <v>24</v>
      </c>
      <c r="S4" s="160" t="s">
        <v>25</v>
      </c>
      <c r="T4" s="161" t="s">
        <v>26</v>
      </c>
      <c r="U4" s="160" t="s">
        <v>27</v>
      </c>
      <c r="V4" s="151" t="s">
        <v>28</v>
      </c>
      <c r="W4" s="151" t="s">
        <v>29</v>
      </c>
      <c r="X4" s="160" t="s">
        <v>30</v>
      </c>
      <c r="Y4" s="160" t="s">
        <v>21</v>
      </c>
      <c r="Z4" s="160" t="s">
        <v>31</v>
      </c>
      <c r="AA4" s="160" t="s">
        <v>32</v>
      </c>
      <c r="AB4" s="160" t="s">
        <v>33</v>
      </c>
      <c r="AC4" s="160" t="s">
        <v>22</v>
      </c>
      <c r="AD4" s="151" t="s">
        <v>39</v>
      </c>
      <c r="AE4" s="151" t="s">
        <v>40</v>
      </c>
      <c r="AF4" s="151" t="s">
        <v>41</v>
      </c>
      <c r="AG4" s="151" t="s">
        <v>42</v>
      </c>
      <c r="AH4" s="151" t="s">
        <v>43</v>
      </c>
      <c r="AI4" s="151" t="s">
        <v>35</v>
      </c>
      <c r="AJ4" s="154" t="s">
        <v>11</v>
      </c>
      <c r="AK4" s="156" t="s">
        <v>12</v>
      </c>
      <c r="AL4" s="158" t="s">
        <v>36</v>
      </c>
      <c r="AM4" s="149" t="s">
        <v>37</v>
      </c>
    </row>
    <row r="5" spans="1:39" customFormat="1" ht="33.75" thickBot="1">
      <c r="A5" s="34" t="s">
        <v>3</v>
      </c>
      <c r="B5" s="35" t="s">
        <v>4</v>
      </c>
      <c r="C5" s="34" t="s">
        <v>5</v>
      </c>
      <c r="D5" s="34" t="s">
        <v>61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88</v>
      </c>
      <c r="J5" s="36" t="s">
        <v>9</v>
      </c>
      <c r="K5" s="33"/>
      <c r="L5" s="167"/>
      <c r="M5" s="152"/>
      <c r="N5" s="152"/>
      <c r="O5" s="152"/>
      <c r="P5" s="152"/>
      <c r="Q5" s="152"/>
      <c r="R5" s="152"/>
      <c r="S5" s="152"/>
      <c r="T5" s="16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3"/>
      <c r="AJ5" s="155"/>
      <c r="AK5" s="157"/>
      <c r="AL5" s="159"/>
      <c r="AM5" s="150"/>
    </row>
    <row r="6" spans="1:39" customFormat="1">
      <c r="A6" s="10" t="s">
        <v>66</v>
      </c>
      <c r="B6" s="76">
        <v>10901</v>
      </c>
      <c r="C6" s="11" t="s">
        <v>64</v>
      </c>
      <c r="D6" s="12"/>
      <c r="E6" s="12"/>
      <c r="F6" s="12"/>
      <c r="G6" s="13"/>
      <c r="H6" s="14">
        <f>+'1'!H6+'3'!H6+'2'!H6+'6'!H6+'5'!H6+'4'!H6+'8'!H6+'7'!H6+'10'!H6+'9'!H6+'11'!H6+'12'!H6+'13'!H6+'15'!H6+'14'!H6+'16'!H6+'17'!H6+'19'!H6+'20'!H6+'22'!H6+'18'!H6+'21'!H6+'25'!H6+'23'!H6+'26'!H6+'24'!H6+'28'!H6+'27'!H6+'29'!H6+'31'!H6+'30'!H6</f>
        <v>14352</v>
      </c>
      <c r="I6" s="15">
        <f>+'1'!I6+'3'!I6+'2'!I6+'6'!I6+'5'!I6+'4'!I6+'8'!I6+'7'!I6+'10'!I6+'9'!I6+'11'!I6+'12'!I6+'13'!I6+'15'!I6+'14'!I6+'16'!I6+'17'!I6+'19'!I6+'20'!I6+'22'!I6+'18'!I6+'21'!I6+'25'!I6+'23'!I6+'26'!I6+'24'!I6+'28'!I6+'27'!I6+'29'!I6+'31'!I6+'30'!I6</f>
        <v>22</v>
      </c>
      <c r="J6" s="15"/>
      <c r="K6" s="16"/>
      <c r="L6" s="15">
        <f>+'1'!L6+'3'!L6+'2'!L6+'6'!L6+'5'!L6+'4'!L6+'8'!L6+'7'!L6+'10'!L6+'9'!L6+'11'!L6+'12'!L6+'13'!L6+'15'!L6+'14'!L6+'16'!L6+'17'!L6+'19'!L6+'20'!L6+'22'!L6+'18'!L6+'21'!L6+'25'!L6+'23'!L6+'26'!L6+'24'!L6+'28'!L6+'27'!L6+'29'!L6+'31'!L6+'30'!L6</f>
        <v>1</v>
      </c>
      <c r="M6" s="15">
        <f>+'1'!M6+'3'!M6+'2'!M6+'6'!M6+'5'!M6+'4'!M6+'8'!M6+'7'!M6+'10'!M6+'9'!M6+'11'!M6+'12'!M6+'13'!M6+'15'!M6+'14'!M6+'16'!M6+'17'!M6+'19'!M6+'20'!M6+'22'!M6+'18'!M6+'21'!M6+'25'!M6+'23'!M6+'26'!M6+'24'!M6+'28'!M6+'27'!M6+'29'!M6+'31'!M6+'30'!M6</f>
        <v>11</v>
      </c>
      <c r="N6" s="15">
        <f>+'1'!N6+'3'!N6+'2'!N6+'6'!N6+'5'!N6+'4'!N6+'8'!N6+'7'!N6+'10'!N6+'9'!N6+'11'!N6+'12'!N6+'13'!N6+'15'!N6+'14'!N6+'16'!N6+'17'!N6+'19'!N6+'20'!N6+'22'!N6+'18'!N6+'21'!N6+'25'!N6+'23'!N6+'26'!N6+'24'!N6+'28'!N6+'27'!N6+'29'!N6+'31'!N6+'30'!N6</f>
        <v>0</v>
      </c>
      <c r="O6" s="15">
        <f>+'1'!O6+'3'!O6+'2'!O6+'6'!O6+'5'!O6+'4'!O6+'8'!O6+'7'!O6+'10'!O6+'9'!O6+'11'!O6+'12'!O6+'13'!O6+'15'!O6+'14'!O6+'16'!O6+'17'!O6+'19'!O6+'20'!O6+'22'!O6+'18'!O6+'21'!O6+'25'!O6+'23'!O6+'26'!O6+'24'!O6+'28'!O6+'27'!O6+'29'!O6+'31'!O6+'30'!O6</f>
        <v>0</v>
      </c>
      <c r="P6" s="15">
        <f>+'1'!P6+'3'!P6+'2'!P6+'6'!P6+'5'!P6+'4'!P6+'8'!P6+'7'!P6+'10'!P6+'9'!P6+'11'!P6+'12'!P6+'13'!P6+'15'!P6+'14'!P6+'16'!P6+'17'!P6+'19'!P6+'20'!P6+'22'!P6+'18'!P6+'21'!P6+'25'!P6+'23'!P6+'26'!P6+'24'!P6+'28'!P6+'27'!P6+'29'!P6+'31'!P6+'30'!P6</f>
        <v>0</v>
      </c>
      <c r="Q6" s="15">
        <f>+'1'!Q6+'3'!Q6+'2'!Q6+'6'!Q6+'5'!Q6+'4'!Q6+'8'!Q6+'7'!Q6+'10'!Q6+'9'!Q6+'11'!Q6+'12'!Q6+'13'!Q6+'15'!Q6+'14'!Q6+'16'!Q6+'17'!Q6+'19'!Q6+'20'!Q6+'22'!Q6+'18'!Q6+'21'!Q6+'25'!Q6+'23'!Q6+'26'!Q6+'24'!Q6+'28'!Q6+'27'!Q6+'29'!Q6+'31'!Q6+'30'!Q6</f>
        <v>0</v>
      </c>
      <c r="R6" s="15">
        <f>+'1'!R6+'3'!R6+'2'!R6+'6'!R6+'5'!R6+'4'!R6+'8'!R6+'7'!R6+'10'!R6+'9'!R6+'11'!R6+'12'!R6+'13'!R6+'15'!R6+'14'!R6+'16'!R6+'17'!R6+'19'!R6+'20'!R6+'22'!R6+'18'!R6+'21'!R6+'25'!R6+'23'!R6+'26'!R6+'24'!R6+'28'!R6+'27'!R6+'29'!R6+'31'!R6+'30'!R6</f>
        <v>0</v>
      </c>
      <c r="S6" s="15">
        <f>+'1'!S6+'3'!S6+'2'!S6+'6'!S6+'5'!S6+'4'!S6+'8'!S6+'7'!S6+'10'!S6+'9'!S6+'11'!S6+'12'!S6+'13'!S6+'15'!S6+'14'!S6+'16'!S6+'17'!S6+'19'!S6+'20'!S6+'22'!S6+'18'!S6+'21'!S6+'25'!S6+'23'!S6+'26'!S6+'24'!S6+'28'!S6+'27'!S6+'29'!S6+'31'!S6+'30'!S6</f>
        <v>0</v>
      </c>
      <c r="T6" s="41">
        <f>+'1'!T6+'3'!T6+'2'!T6+'6'!T6+'5'!T6+'4'!T6+'8'!T6+'7'!T6+'10'!T6+'9'!T6+'11'!T6+'12'!T6+'13'!T6+'15'!T6+'14'!T6+'16'!T6+'17'!T6+'19'!T6+'20'!T6+'22'!T6+'18'!T6+'21'!T6+'25'!T6+'23'!T6+'26'!T6+'24'!T6+'28'!T6+'27'!T6+'29'!T6+'31'!T6+'30'!T6</f>
        <v>0</v>
      </c>
      <c r="U6" s="50">
        <f>+'1'!U6+'3'!U6+'2'!U6+'6'!U6+'5'!U6+'4'!U6+'8'!U6+'7'!U6+'10'!U6+'9'!U6+'11'!U6+'12'!U6+'13'!U6+'15'!U6+'14'!U6+'16'!U6+'17'!U6+'19'!U6+'20'!U6+'22'!U6+'18'!U6+'21'!U6+'25'!U6+'23'!U6+'26'!U6+'24'!U6+'28'!U6+'27'!U6+'29'!U6+'31'!U6+'30'!U6</f>
        <v>0</v>
      </c>
      <c r="V6" s="50">
        <f>+'1'!V6+'3'!V6+'2'!V6+'6'!V6+'5'!V6+'4'!V6+'8'!V6+'7'!V6+'10'!V6+'9'!V6+'11'!V6+'12'!V6+'13'!V6+'15'!V6+'14'!V6+'16'!V6+'17'!V6+'19'!V6+'20'!V6+'22'!V6+'18'!V6+'21'!V6+'25'!V6+'23'!V6+'26'!V6+'24'!V6+'28'!V6+'27'!V6+'29'!V6+'31'!V6+'30'!V6</f>
        <v>0</v>
      </c>
      <c r="W6" s="50">
        <f>+'1'!W6+'3'!W6+'2'!W6+'6'!W6+'5'!W6+'4'!W6+'8'!W6+'7'!W6+'10'!W6+'9'!W6+'11'!W6+'12'!W6+'13'!W6+'15'!W6+'14'!W6+'16'!W6+'17'!W6+'19'!W6+'20'!W6+'22'!W6+'18'!W6+'21'!W6+'25'!W6+'23'!W6+'26'!W6+'24'!W6+'28'!W6+'27'!W6+'29'!W6+'31'!W6+'30'!W6</f>
        <v>0</v>
      </c>
      <c r="X6" s="50">
        <f>+'1'!X6+'3'!X6+'2'!X6+'6'!X6+'5'!X6+'4'!X6+'8'!X6+'7'!X6+'10'!X6+'9'!X6+'11'!X6+'12'!X6+'13'!X6+'15'!X6+'14'!X6+'16'!X6+'17'!X6+'19'!X6+'20'!X6+'22'!X6+'18'!X6+'21'!X6+'25'!X6+'23'!X6+'26'!X6+'24'!X6+'28'!X6+'27'!X6+'29'!X6+'31'!X6+'30'!X6</f>
        <v>0</v>
      </c>
      <c r="Y6" s="50">
        <f>+'1'!Y6+'3'!Y6+'2'!Y6+'6'!Y6+'5'!Y6+'4'!Y6+'8'!Y6+'7'!Y6+'10'!Y6+'9'!Y6+'11'!Y6+'12'!Y6+'13'!Y6+'15'!Y6+'14'!Y6+'16'!Y6+'17'!Y6+'19'!Y6+'20'!Y6+'22'!Y6+'18'!Y6+'21'!Y6+'25'!Y6+'23'!Y6+'26'!Y6+'24'!Y6+'28'!Y6+'27'!Y6+'29'!Y6+'31'!Y6+'30'!Y6</f>
        <v>3</v>
      </c>
      <c r="Z6" s="50">
        <f>+'1'!Z6+'3'!Z6+'2'!Z6+'6'!Z6+'5'!Z6+'4'!Z6+'8'!Z6+'7'!Z6+'10'!Z6+'9'!Z6+'11'!Z6+'12'!Z6+'13'!Z6+'15'!Z6+'14'!Z6+'16'!Z6+'17'!Z6+'19'!Z6+'20'!Z6+'22'!Z6+'18'!Z6+'21'!Z6+'25'!Z6+'23'!Z6+'26'!Z6+'24'!Z6+'28'!Z6+'27'!Z6+'29'!Z6+'31'!Z6+'30'!Z6</f>
        <v>0</v>
      </c>
      <c r="AA6" s="50">
        <f>+'1'!AA6+'3'!AA6+'2'!AA6+'6'!AA6+'5'!AA6+'4'!AA6+'8'!AA6+'7'!AA6+'10'!AA6+'9'!AA6+'11'!AA6+'12'!AA6+'13'!AA6+'15'!AA6+'14'!AA6+'16'!AA6+'17'!AA6+'19'!AA6+'20'!AA6+'22'!AA6+'18'!AA6+'21'!AA6+'25'!AA6+'23'!AA6+'26'!AA6+'24'!AA6+'28'!AA6+'27'!AA6+'29'!AA6+'31'!AA6+'30'!AA6</f>
        <v>0</v>
      </c>
      <c r="AB6" s="50">
        <f>+'1'!AB6+'3'!AB6+'2'!AB6+'6'!AB6+'5'!AB6+'4'!AB6+'8'!AB6+'7'!AB6+'10'!AB6+'9'!AB6+'11'!AB6+'12'!AB6+'13'!AB6+'15'!AB6+'14'!AB6+'16'!AB6+'17'!AB6+'19'!AB6+'20'!AB6+'22'!AB6+'18'!AB6+'21'!AB6+'25'!AB6+'23'!AB6+'26'!AB6+'24'!AB6+'28'!AB6+'27'!AB6+'29'!AB6+'31'!AB6+'30'!AB6</f>
        <v>0</v>
      </c>
      <c r="AC6" s="50">
        <f>+'1'!AC6+'3'!AC6+'2'!AC6+'6'!AC6+'5'!AC6+'4'!AC6+'8'!AC6+'7'!AC6+'10'!AC6+'9'!AC6+'11'!AC6+'12'!AC6+'13'!AC6+'15'!AC6+'14'!AC6+'16'!AC6+'17'!AC6+'19'!AC6+'20'!AC6+'22'!AC6+'18'!AC6+'21'!AC6+'25'!AC6+'23'!AC6+'26'!AC6+'24'!AC6+'28'!AC6+'27'!AC6+'29'!AC6+'31'!AC6+'30'!AC6</f>
        <v>7</v>
      </c>
      <c r="AD6" s="50">
        <f>+'1'!AD6+'3'!AD6+'2'!AD6+'6'!AD6+'5'!AD6+'4'!AD6+'8'!AD6+'7'!AD6+'10'!AD6+'9'!AD6+'11'!AD6+'12'!AD6+'13'!AD6+'15'!AD6+'14'!AD6+'16'!AD6+'17'!AD6+'19'!AD6+'20'!AD6+'22'!AD6+'18'!AD6+'21'!AD6+'25'!AD6+'23'!AD6+'26'!AD6+'24'!AD6+'28'!AD6+'27'!AD6+'29'!AD6+'31'!AD6+'30'!AD6</f>
        <v>0</v>
      </c>
      <c r="AE6" s="50">
        <f>+'1'!AE6+'3'!AE6+'2'!AE6+'6'!AE6+'5'!AE6+'4'!AE6+'8'!AE6+'7'!AE6+'10'!AE6+'9'!AE6+'11'!AE6+'12'!AE6+'13'!AE6+'15'!AE6+'14'!AE6+'16'!AE6+'17'!AE6+'19'!AE6+'20'!AE6+'22'!AE6+'18'!AE6+'21'!AE6+'25'!AE6+'23'!AE6+'26'!AE6+'24'!AE6+'28'!AE6+'27'!AE6+'29'!AE6+'31'!AE6+'30'!AE6</f>
        <v>0</v>
      </c>
      <c r="AF6" s="50">
        <f>+'1'!AF6+'3'!AF6+'2'!AF6+'6'!AF6+'5'!AF6+'4'!AF6+'8'!AF6+'7'!AF6+'10'!AF6+'9'!AF6+'11'!AF6+'12'!AF6+'13'!AF6+'15'!AF6+'14'!AF6+'16'!AF6+'17'!AF6+'19'!AF6+'20'!AF6+'22'!AF6+'18'!AF6+'21'!AF6+'25'!AF6+'23'!AF6+'26'!AF6+'24'!AF6+'28'!AF6+'27'!AF6+'29'!AF6+'31'!AF6+'30'!AF6</f>
        <v>0</v>
      </c>
      <c r="AG6" s="50">
        <f>+'1'!AG6+'3'!AG6+'2'!AG6+'6'!AG6+'5'!AG6+'4'!AG6+'8'!AG6+'7'!AG6+'10'!AG6+'9'!AG6+'11'!AG6+'12'!AG6+'13'!AG6+'15'!AG6+'14'!AG6+'16'!AG6+'17'!AG6+'19'!AG6+'20'!AG6+'22'!AG6+'18'!AG6+'21'!AG6+'25'!AG6+'23'!AG6+'26'!AG6+'24'!AG6+'28'!AG6+'27'!AG6+'29'!AG6+'31'!AG6+'30'!AG6</f>
        <v>0</v>
      </c>
      <c r="AH6" s="50">
        <f>+'1'!AH6+'3'!AH6+'2'!AH6+'6'!AH6+'5'!AH6+'4'!AH6+'8'!AH6+'7'!AH6+'10'!AH6+'9'!AH6+'11'!AH6+'12'!AH6+'13'!AH6+'15'!AH6+'14'!AH6+'16'!AH6+'17'!AH6+'19'!AH6+'20'!AH6+'22'!AH6+'18'!AH6+'21'!AH6+'25'!AH6+'23'!AH6+'26'!AH6+'24'!AH6+'28'!AH6+'27'!AH6+'29'!AH6+'31'!AH6+'30'!AH6</f>
        <v>0</v>
      </c>
      <c r="AI6" s="53">
        <f>+'1'!AI6+'3'!AI6+'2'!AI6+'6'!AI6+'5'!AI6+'4'!AI6+'8'!AI6+'7'!AI6+'10'!AI6+'9'!AI6+'11'!AI6+'12'!AI6+'13'!AI6+'15'!AI6+'14'!AI6+'16'!AI6+'17'!AI6+'19'!AI6+'20'!AI6+'22'!AI6+'18'!AI6+'21'!AI6+'25'!AI6+'23'!AI6+'26'!AI6+'24'!AI6+'28'!AI6+'27'!AI6+'29'!AI6+'31'!AI6+'30'!AI6</f>
        <v>0</v>
      </c>
      <c r="AJ6" s="56">
        <f>+'1'!AJ6+'3'!AJ6+'2'!AJ6+'6'!AJ6+'5'!AJ6+'4'!AJ6+'8'!AJ6+'7'!AJ6+'10'!AJ6+'9'!AJ6+'11'!AJ6+'12'!AJ6+'13'!AJ6+'15'!AJ6+'14'!AJ6+'16'!AJ6+'17'!AJ6+'19'!AJ6+'20'!AJ6+'22'!AJ6+'18'!AJ6+'21'!AJ6+'25'!AJ6+'23'!AJ6+'26'!AJ6+'24'!AJ6+'28'!AJ6+'27'!AJ6+'29'!AJ6+'31'!AJ6+'30'!AJ6</f>
        <v>0</v>
      </c>
      <c r="AK6" s="53">
        <f>+'1'!AK6+'3'!AK6+'2'!AK6+'6'!AK6+'5'!AK6+'4'!AK6+'8'!AK6+'7'!AK6+'10'!AK6+'9'!AK6+'11'!AK6+'12'!AK6+'13'!AK6+'15'!AK6+'14'!AK6+'16'!AK6+'17'!AK6+'19'!AK6+'20'!AK6+'22'!AK6+'18'!AK6+'21'!AK6+'25'!AK6+'23'!AK6+'26'!AK6+'24'!AK6+'28'!AK6+'27'!AK6+'29'!AK6+'31'!AK6+'30'!AK6</f>
        <v>0</v>
      </c>
      <c r="AL6" s="64">
        <f t="shared" ref="AL6:AL28" si="2">SUM(L6:AK6)</f>
        <v>22</v>
      </c>
      <c r="AM6" s="31" t="str">
        <f t="shared" ref="AM6:AM28" si="3">IF(AL6=I6,"OK","NG")</f>
        <v>OK</v>
      </c>
    </row>
    <row r="7" spans="1:39" customFormat="1" hidden="1">
      <c r="A7" s="17" t="s">
        <v>118</v>
      </c>
      <c r="B7" s="77">
        <v>15922</v>
      </c>
      <c r="C7" s="17" t="s">
        <v>64</v>
      </c>
      <c r="D7" s="69"/>
      <c r="E7" s="18"/>
      <c r="F7" s="18"/>
      <c r="G7" s="19"/>
      <c r="H7" s="20">
        <f>+'1'!H7+'3'!H7+'2'!H7+'6'!H7+'5'!H7+'4'!H7+'8'!H7+'7'!H7+'10'!H7+'9'!H7+'11'!H7+'12'!H7+'13'!H7+'15'!H7+'14'!H7+'16'!H7+'17'!H7+'19'!H7+'20'!H7+'22'!H7+'18'!H7+'21'!H7+'25'!H7+'23'!H7+'26'!H7+'24'!H7+'28'!H7+'27'!H7+'29'!H7+'31'!H7+'30'!H7</f>
        <v>0</v>
      </c>
      <c r="I7" s="21">
        <f>+'1'!I7+'3'!I7+'2'!I7+'6'!I7+'5'!I7+'4'!I7+'8'!I7+'7'!I7+'10'!I7+'9'!I7+'11'!I7+'12'!I7+'13'!I7+'15'!I7+'14'!I7+'16'!I7+'17'!I7+'19'!I7+'20'!I7+'22'!I7+'18'!I7+'21'!I7+'25'!I7+'23'!I7+'26'!I7+'24'!I7+'28'!I7+'27'!I7+'29'!I7+'31'!I7+'30'!I7</f>
        <v>0</v>
      </c>
      <c r="J7" s="21"/>
      <c r="K7" s="16"/>
      <c r="L7" s="21">
        <f>+'1'!L7+'3'!L7+'2'!L7+'6'!L7+'5'!L7+'4'!L7+'8'!L7+'7'!L7+'10'!L7+'9'!L7+'11'!L7+'12'!L7+'13'!L7+'15'!L7+'14'!L7+'16'!L7+'17'!L7+'19'!L7+'20'!L7+'22'!L7+'18'!L7+'21'!L7+'25'!L7+'23'!L7+'26'!L7+'24'!L7+'28'!L7+'27'!L7+'29'!L7+'31'!L7+'30'!L7</f>
        <v>0</v>
      </c>
      <c r="M7" s="21">
        <f>+'1'!M7+'3'!M7+'2'!M7+'6'!M7+'5'!M7+'4'!M7+'8'!M7+'7'!M7+'10'!M7+'9'!M7+'11'!M7+'12'!M7+'13'!M7+'15'!M7+'14'!M7+'16'!M7+'17'!M7+'19'!M7+'20'!M7+'22'!M7+'18'!M7+'21'!M7+'25'!M7+'23'!M7+'26'!M7+'24'!M7+'28'!M7+'27'!M7+'29'!M7+'31'!M7+'30'!M7</f>
        <v>0</v>
      </c>
      <c r="N7" s="21">
        <f>+'1'!N7+'3'!N7+'2'!N7+'6'!N7+'5'!N7+'4'!N7+'8'!N7+'7'!N7+'10'!N7+'9'!N7+'11'!N7+'12'!N7+'13'!N7+'15'!N7+'14'!N7+'16'!N7+'17'!N7+'19'!N7+'20'!N7+'22'!N7+'18'!N7+'21'!N7+'25'!N7+'23'!N7+'26'!N7+'24'!N7+'28'!N7+'27'!N7+'29'!N7+'31'!N7+'30'!N7</f>
        <v>0</v>
      </c>
      <c r="O7" s="21">
        <f>+'1'!O7+'3'!O7+'2'!O7+'6'!O7+'5'!O7+'4'!O7+'8'!O7+'7'!O7+'10'!O7+'9'!O7+'11'!O7+'12'!O7+'13'!O7+'15'!O7+'14'!O7+'16'!O7+'17'!O7+'19'!O7+'20'!O7+'22'!O7+'18'!O7+'21'!O7+'25'!O7+'23'!O7+'26'!O7+'24'!O7+'28'!O7+'27'!O7+'29'!O7+'31'!O7+'30'!O7</f>
        <v>0</v>
      </c>
      <c r="P7" s="21">
        <f>+'1'!P7+'3'!P7+'2'!P7+'6'!P7+'5'!P7+'4'!P7+'8'!P7+'7'!P7+'10'!P7+'9'!P7+'11'!P7+'12'!P7+'13'!P7+'15'!P7+'14'!P7+'16'!P7+'17'!P7+'19'!P7+'20'!P7+'22'!P7+'18'!P7+'21'!P7+'25'!P7+'23'!P7+'26'!P7+'24'!P7+'28'!P7+'27'!P7+'29'!P7+'31'!P7+'30'!P7</f>
        <v>0</v>
      </c>
      <c r="Q7" s="21">
        <f>+'1'!Q7+'3'!Q7+'2'!Q7+'6'!Q7+'5'!Q7+'4'!Q7+'8'!Q7+'7'!Q7+'10'!Q7+'9'!Q7+'11'!Q7+'12'!Q7+'13'!Q7+'15'!Q7+'14'!Q7+'16'!Q7+'17'!Q7+'19'!Q7+'20'!Q7+'22'!Q7+'18'!Q7+'21'!Q7+'25'!Q7+'23'!Q7+'26'!Q7+'24'!Q7+'28'!Q7+'27'!Q7+'29'!Q7+'31'!Q7+'30'!Q7</f>
        <v>0</v>
      </c>
      <c r="R7" s="21">
        <f>+'1'!R7+'3'!R7+'2'!R7+'6'!R7+'5'!R7+'4'!R7+'8'!R7+'7'!R7+'10'!R7+'9'!R7+'11'!R7+'12'!R7+'13'!R7+'15'!R7+'14'!R7+'16'!R7+'17'!R7+'19'!R7+'20'!R7+'22'!R7+'18'!R7+'21'!R7+'25'!R7+'23'!R7+'26'!R7+'24'!R7+'28'!R7+'27'!R7+'29'!R7+'31'!R7+'30'!R7</f>
        <v>0</v>
      </c>
      <c r="S7" s="21">
        <f>+'1'!S7+'3'!S7+'2'!S7+'6'!S7+'5'!S7+'4'!S7+'8'!S7+'7'!S7+'10'!S7+'9'!S7+'11'!S7+'12'!S7+'13'!S7+'15'!S7+'14'!S7+'16'!S7+'17'!S7+'19'!S7+'20'!S7+'22'!S7+'18'!S7+'21'!S7+'25'!S7+'23'!S7+'26'!S7+'24'!S7+'28'!S7+'27'!S7+'29'!S7+'31'!S7+'30'!S7</f>
        <v>0</v>
      </c>
      <c r="T7" s="42">
        <f>+'1'!T7+'3'!T7+'2'!T7+'6'!T7+'5'!T7+'4'!T7+'8'!T7+'7'!T7+'10'!T7+'9'!T7+'11'!T7+'12'!T7+'13'!T7+'15'!T7+'14'!T7+'16'!T7+'17'!T7+'19'!T7+'20'!T7+'22'!T7+'18'!T7+'21'!T7+'25'!T7+'23'!T7+'26'!T7+'24'!T7+'28'!T7+'27'!T7+'29'!T7+'31'!T7+'30'!T7</f>
        <v>0</v>
      </c>
      <c r="U7" s="51">
        <f>+'1'!U7+'3'!U7+'2'!U7+'6'!U7+'5'!U7+'4'!U7+'8'!U7+'7'!U7+'10'!U7+'9'!U7+'11'!U7+'12'!U7+'13'!U7+'15'!U7+'14'!U7+'16'!U7+'17'!U7+'19'!U7+'20'!U7+'22'!U7+'18'!U7+'21'!U7+'25'!U7+'23'!U7+'26'!U7+'24'!U7+'28'!U7+'27'!U7+'29'!U7+'31'!U7+'30'!U7</f>
        <v>0</v>
      </c>
      <c r="V7" s="51">
        <f>+'1'!V7+'3'!V7+'2'!V7+'6'!V7+'5'!V7+'4'!V7+'8'!V7+'7'!V7+'10'!V7+'9'!V7+'11'!V7+'12'!V7+'13'!V7+'15'!V7+'14'!V7+'16'!V7+'17'!V7+'19'!V7+'20'!V7+'22'!V7+'18'!V7+'21'!V7+'25'!V7+'23'!V7+'26'!V7+'24'!V7+'28'!V7+'27'!V7+'29'!V7+'31'!V7+'30'!V7</f>
        <v>0</v>
      </c>
      <c r="W7" s="51">
        <f>+'1'!W7+'3'!W7+'2'!W7+'6'!W7+'5'!W7+'4'!W7+'8'!W7+'7'!W7+'10'!W7+'9'!W7+'11'!W7+'12'!W7+'13'!W7+'15'!W7+'14'!W7+'16'!W7+'17'!W7+'19'!W7+'20'!W7+'22'!W7+'18'!W7+'21'!W7+'25'!W7+'23'!W7+'26'!W7+'24'!W7+'28'!W7+'27'!W7+'29'!W7+'31'!W7+'30'!W7</f>
        <v>0</v>
      </c>
      <c r="X7" s="51">
        <f>+'1'!X7+'3'!X7+'2'!X7+'6'!X7+'5'!X7+'4'!X7+'8'!X7+'7'!X7+'10'!X7+'9'!X7+'11'!X7+'12'!X7+'13'!X7+'15'!X7+'14'!X7+'16'!X7+'17'!X7+'19'!X7+'20'!X7+'22'!X7+'18'!X7+'21'!X7+'25'!X7+'23'!X7+'26'!X7+'24'!X7+'28'!X7+'27'!X7+'29'!X7+'31'!X7+'30'!X7</f>
        <v>0</v>
      </c>
      <c r="Y7" s="51">
        <f>+'1'!Y7+'3'!Y7+'2'!Y7+'6'!Y7+'5'!Y7+'4'!Y7+'8'!Y7+'7'!Y7+'10'!Y7+'9'!Y7+'11'!Y7+'12'!Y7+'13'!Y7+'15'!Y7+'14'!Y7+'16'!Y7+'17'!Y7+'19'!Y7+'20'!Y7+'22'!Y7+'18'!Y7+'21'!Y7+'25'!Y7+'23'!Y7+'26'!Y7+'24'!Y7+'28'!Y7+'27'!Y7+'29'!Y7+'31'!Y7+'30'!Y7</f>
        <v>0</v>
      </c>
      <c r="Z7" s="51">
        <f>+'1'!Z7+'3'!Z7+'2'!Z7+'6'!Z7+'5'!Z7+'4'!Z7+'8'!Z7+'7'!Z7+'10'!Z7+'9'!Z7+'11'!Z7+'12'!Z7+'13'!Z7+'15'!Z7+'14'!Z7+'16'!Z7+'17'!Z7+'19'!Z7+'20'!Z7+'22'!Z7+'18'!Z7+'21'!Z7+'25'!Z7+'23'!Z7+'26'!Z7+'24'!Z7+'28'!Z7+'27'!Z7+'29'!Z7+'31'!Z7+'30'!Z7</f>
        <v>0</v>
      </c>
      <c r="AA7" s="51">
        <f>+'1'!AA7+'3'!AA7+'2'!AA7+'6'!AA7+'5'!AA7+'4'!AA7+'8'!AA7+'7'!AA7+'10'!AA7+'9'!AA7+'11'!AA7+'12'!AA7+'13'!AA7+'15'!AA7+'14'!AA7+'16'!AA7+'17'!AA7+'19'!AA7+'20'!AA7+'22'!AA7+'18'!AA7+'21'!AA7+'25'!AA7+'23'!AA7+'26'!AA7+'24'!AA7+'28'!AA7+'27'!AA7+'29'!AA7+'31'!AA7+'30'!AA7</f>
        <v>0</v>
      </c>
      <c r="AB7" s="51">
        <f>+'1'!AB7+'3'!AB7+'2'!AB7+'6'!AB7+'5'!AB7+'4'!AB7+'8'!AB7+'7'!AB7+'10'!AB7+'9'!AB7+'11'!AB7+'12'!AB7+'13'!AB7+'15'!AB7+'14'!AB7+'16'!AB7+'17'!AB7+'19'!AB7+'20'!AB7+'22'!AB7+'18'!AB7+'21'!AB7+'25'!AB7+'23'!AB7+'26'!AB7+'24'!AB7+'28'!AB7+'27'!AB7+'29'!AB7+'31'!AB7+'30'!AB7</f>
        <v>0</v>
      </c>
      <c r="AC7" s="51">
        <f>+'1'!AC7+'3'!AC7+'2'!AC7+'6'!AC7+'5'!AC7+'4'!AC7+'8'!AC7+'7'!AC7+'10'!AC7+'9'!AC7+'11'!AC7+'12'!AC7+'13'!AC7+'15'!AC7+'14'!AC7+'16'!AC7+'17'!AC7+'19'!AC7+'20'!AC7+'22'!AC7+'18'!AC7+'21'!AC7+'25'!AC7+'23'!AC7+'26'!AC7+'24'!AC7+'28'!AC7+'27'!AC7+'29'!AC7+'31'!AC7+'30'!AC7</f>
        <v>0</v>
      </c>
      <c r="AD7" s="51">
        <f>+'1'!AD7+'3'!AD7+'2'!AD7+'6'!AD7+'5'!AD7+'4'!AD7+'8'!AD7+'7'!AD7+'10'!AD7+'9'!AD7+'11'!AD7+'12'!AD7+'13'!AD7+'15'!AD7+'14'!AD7+'16'!AD7+'17'!AD7+'19'!AD7+'20'!AD7+'22'!AD7+'18'!AD7+'21'!AD7+'25'!AD7+'23'!AD7+'26'!AD7+'24'!AD7+'28'!AD7+'27'!AD7+'29'!AD7+'31'!AD7+'30'!AD7</f>
        <v>0</v>
      </c>
      <c r="AE7" s="51">
        <f>+'1'!AE7+'3'!AE7+'2'!AE7+'6'!AE7+'5'!AE7+'4'!AE7+'8'!AE7+'7'!AE7+'10'!AE7+'9'!AE7+'11'!AE7+'12'!AE7+'13'!AE7+'15'!AE7+'14'!AE7+'16'!AE7+'17'!AE7+'19'!AE7+'20'!AE7+'22'!AE7+'18'!AE7+'21'!AE7+'25'!AE7+'23'!AE7+'26'!AE7+'24'!AE7+'28'!AE7+'27'!AE7+'29'!AE7+'31'!AE7+'30'!AE7</f>
        <v>0</v>
      </c>
      <c r="AF7" s="51">
        <f>+'1'!AF7+'3'!AF7+'2'!AF7+'6'!AF7+'5'!AF7+'4'!AF7+'8'!AF7+'7'!AF7+'10'!AF7+'9'!AF7+'11'!AF7+'12'!AF7+'13'!AF7+'15'!AF7+'14'!AF7+'16'!AF7+'17'!AF7+'19'!AF7+'20'!AF7+'22'!AF7+'18'!AF7+'21'!AF7+'25'!AF7+'23'!AF7+'26'!AF7+'24'!AF7+'28'!AF7+'27'!AF7+'29'!AF7+'31'!AF7+'30'!AF7</f>
        <v>0</v>
      </c>
      <c r="AG7" s="51">
        <f>+'1'!AG7+'3'!AG7+'2'!AG7+'6'!AG7+'5'!AG7+'4'!AG7+'8'!AG7+'7'!AG7+'10'!AG7+'9'!AG7+'11'!AG7+'12'!AG7+'13'!AG7+'15'!AG7+'14'!AG7+'16'!AG7+'17'!AG7+'19'!AG7+'20'!AG7+'22'!AG7+'18'!AG7+'21'!AG7+'25'!AG7+'23'!AG7+'26'!AG7+'24'!AG7+'28'!AG7+'27'!AG7+'29'!AG7+'31'!AG7+'30'!AG7</f>
        <v>0</v>
      </c>
      <c r="AH7" s="51">
        <f>+'1'!AH7+'3'!AH7+'2'!AH7+'6'!AH7+'5'!AH7+'4'!AH7+'8'!AH7+'7'!AH7+'10'!AH7+'9'!AH7+'11'!AH7+'12'!AH7+'13'!AH7+'15'!AH7+'14'!AH7+'16'!AH7+'17'!AH7+'19'!AH7+'20'!AH7+'22'!AH7+'18'!AH7+'21'!AH7+'25'!AH7+'23'!AH7+'26'!AH7+'24'!AH7+'28'!AH7+'27'!AH7+'29'!AH7+'31'!AH7+'30'!AH7</f>
        <v>0</v>
      </c>
      <c r="AI7" s="54">
        <f>+'1'!AI7+'3'!AI7+'2'!AI7+'6'!AI7+'5'!AI7+'4'!AI7+'8'!AI7+'7'!AI7+'10'!AI7+'9'!AI7+'11'!AI7+'12'!AI7+'13'!AI7+'15'!AI7+'14'!AI7+'16'!AI7+'17'!AI7+'19'!AI7+'20'!AI7+'22'!AI7+'18'!AI7+'21'!AI7+'25'!AI7+'23'!AI7+'26'!AI7+'24'!AI7+'28'!AI7+'27'!AI7+'29'!AI7+'31'!AI7+'30'!AI7</f>
        <v>0</v>
      </c>
      <c r="AJ7" s="57">
        <f>+'1'!AJ7+'3'!AJ7+'2'!AJ7+'6'!AJ7+'5'!AJ7+'4'!AJ7+'8'!AJ7+'7'!AJ7+'10'!AJ7+'9'!AJ7+'11'!AJ7+'12'!AJ7+'13'!AJ7+'15'!AJ7+'14'!AJ7+'16'!AJ7+'17'!AJ7+'19'!AJ7+'20'!AJ7+'22'!AJ7+'18'!AJ7+'21'!AJ7+'25'!AJ7+'23'!AJ7+'26'!AJ7+'24'!AJ7+'28'!AJ7+'27'!AJ7+'29'!AJ7+'31'!AJ7+'30'!AJ7</f>
        <v>0</v>
      </c>
      <c r="AK7" s="54">
        <f>+'1'!AK7+'3'!AK7+'2'!AK7+'6'!AK7+'5'!AK7+'4'!AK7+'8'!AK7+'7'!AK7+'10'!AK7+'9'!AK7+'11'!AK7+'12'!AK7+'13'!AK7+'15'!AK7+'14'!AK7+'16'!AK7+'17'!AK7+'19'!AK7+'20'!AK7+'22'!AK7+'18'!AK7+'21'!AK7+'25'!AK7+'23'!AK7+'26'!AK7+'24'!AK7+'28'!AK7+'27'!AK7+'29'!AK7+'31'!AK7+'30'!AK7</f>
        <v>0</v>
      </c>
      <c r="AL7" s="65">
        <f t="shared" si="2"/>
        <v>0</v>
      </c>
      <c r="AM7" s="22" t="str">
        <f t="shared" si="3"/>
        <v>OK</v>
      </c>
    </row>
    <row r="8" spans="1:39" customFormat="1" hidden="1">
      <c r="A8" s="68" t="s">
        <v>67</v>
      </c>
      <c r="B8" s="78">
        <v>10899</v>
      </c>
      <c r="C8" s="23" t="s">
        <v>62</v>
      </c>
      <c r="D8" s="24"/>
      <c r="E8" s="24"/>
      <c r="F8" s="24"/>
      <c r="G8" s="25"/>
      <c r="H8" s="14">
        <f>+'1'!H8+'3'!H8+'2'!H8+'6'!H8+'5'!H8+'4'!H8+'8'!H8+'7'!H8+'10'!H8+'9'!H8+'11'!H8+'12'!H8+'13'!H8+'15'!H8+'14'!H8+'16'!H8+'17'!H8+'19'!H8+'20'!H8+'22'!H8+'18'!H8+'21'!H8+'25'!H8+'23'!H8+'26'!H8+'24'!H8+'28'!H8+'27'!H8+'29'!H8+'31'!H8+'30'!H8</f>
        <v>0</v>
      </c>
      <c r="I8" s="15">
        <f>+'1'!I8+'3'!I8+'2'!I8+'6'!I8+'5'!I8+'4'!I8+'8'!I8+'7'!I8+'10'!I8+'9'!I8+'11'!I8+'12'!I8+'13'!I8+'15'!I8+'14'!I8+'16'!I8+'17'!I8+'19'!I8+'20'!I8+'22'!I8+'18'!I8+'21'!I8+'25'!I8+'23'!I8+'26'!I8+'24'!I8+'28'!I8+'27'!I8+'29'!I8+'31'!I8+'30'!I8</f>
        <v>0</v>
      </c>
      <c r="J8" s="15"/>
      <c r="K8" s="16"/>
      <c r="L8" s="27">
        <f>+'1'!L8+'3'!L8+'2'!L8+'6'!L8+'5'!L8+'4'!L8+'8'!L8+'7'!L8+'10'!L8+'9'!L8+'11'!L8+'12'!L8+'13'!L8+'15'!L8+'14'!L8+'16'!L8+'17'!L8+'19'!L8+'20'!L8+'22'!L8+'18'!L8+'21'!L8+'25'!L8+'23'!L8+'26'!L8+'24'!L8+'28'!L8+'27'!L8+'29'!L8+'31'!L8+'30'!L8</f>
        <v>0</v>
      </c>
      <c r="M8" s="27">
        <f>+'1'!M8+'3'!M8+'2'!M8+'6'!M8+'5'!M8+'4'!M8+'8'!M8+'7'!M8+'10'!M8+'9'!M8+'11'!M8+'12'!M8+'13'!M8+'15'!M8+'14'!M8+'16'!M8+'17'!M8+'19'!M8+'20'!M8+'22'!M8+'18'!M8+'21'!M8+'25'!M8+'23'!M8+'26'!M8+'24'!M8+'28'!M8+'27'!M8+'29'!M8+'31'!M8+'30'!M8</f>
        <v>0</v>
      </c>
      <c r="N8" s="27">
        <f>+'1'!N8+'3'!N8+'2'!N8+'6'!N8+'5'!N8+'4'!N8+'8'!N8+'7'!N8+'10'!N8+'9'!N8+'11'!N8+'12'!N8+'13'!N8+'15'!N8+'14'!N8+'16'!N8+'17'!N8+'19'!N8+'20'!N8+'22'!N8+'18'!N8+'21'!N8+'25'!N8+'23'!N8+'26'!N8+'24'!N8+'28'!N8+'27'!N8+'29'!N8+'31'!N8+'30'!N8</f>
        <v>0</v>
      </c>
      <c r="O8" s="27">
        <f>+'1'!O8+'3'!O8+'2'!O8+'6'!O8+'5'!O8+'4'!O8+'8'!O8+'7'!O8+'10'!O8+'9'!O8+'11'!O8+'12'!O8+'13'!O8+'15'!O8+'14'!O8+'16'!O8+'17'!O8+'19'!O8+'20'!O8+'22'!O8+'18'!O8+'21'!O8+'25'!O8+'23'!O8+'26'!O8+'24'!O8+'28'!O8+'27'!O8+'29'!O8+'31'!O8+'30'!O8</f>
        <v>0</v>
      </c>
      <c r="P8" s="27">
        <f>+'1'!P8+'3'!P8+'2'!P8+'6'!P8+'5'!P8+'4'!P8+'8'!P8+'7'!P8+'10'!P8+'9'!P8+'11'!P8+'12'!P8+'13'!P8+'15'!P8+'14'!P8+'16'!P8+'17'!P8+'19'!P8+'20'!P8+'22'!P8+'18'!P8+'21'!P8+'25'!P8+'23'!P8+'26'!P8+'24'!P8+'28'!P8+'27'!P8+'29'!P8+'31'!P8+'30'!P8</f>
        <v>0</v>
      </c>
      <c r="Q8" s="27">
        <f>+'1'!Q8+'3'!Q8+'2'!Q8+'6'!Q8+'5'!Q8+'4'!Q8+'8'!Q8+'7'!Q8+'10'!Q8+'9'!Q8+'11'!Q8+'12'!Q8+'13'!Q8+'15'!Q8+'14'!Q8+'16'!Q8+'17'!Q8+'19'!Q8+'20'!Q8+'22'!Q8+'18'!Q8+'21'!Q8+'25'!Q8+'23'!Q8+'26'!Q8+'24'!Q8+'28'!Q8+'27'!Q8+'29'!Q8+'31'!Q8+'30'!Q8</f>
        <v>0</v>
      </c>
      <c r="R8" s="27">
        <f>+'1'!R8+'3'!R8+'2'!R8+'6'!R8+'5'!R8+'4'!R8+'8'!R8+'7'!R8+'10'!R8+'9'!R8+'11'!R8+'12'!R8+'13'!R8+'15'!R8+'14'!R8+'16'!R8+'17'!R8+'19'!R8+'20'!R8+'22'!R8+'18'!R8+'21'!R8+'25'!R8+'23'!R8+'26'!R8+'24'!R8+'28'!R8+'27'!R8+'29'!R8+'31'!R8+'30'!R8</f>
        <v>0</v>
      </c>
      <c r="S8" s="27">
        <f>+'1'!S8+'3'!S8+'2'!S8+'6'!S8+'5'!S8+'4'!S8+'8'!S8+'7'!S8+'10'!S8+'9'!S8+'11'!S8+'12'!S8+'13'!S8+'15'!S8+'14'!S8+'16'!S8+'17'!S8+'19'!S8+'20'!S8+'22'!S8+'18'!S8+'21'!S8+'25'!S8+'23'!S8+'26'!S8+'24'!S8+'28'!S8+'27'!S8+'29'!S8+'31'!S8+'30'!S8</f>
        <v>0</v>
      </c>
      <c r="T8" s="43">
        <f>+'1'!T8+'3'!T8+'2'!T8+'6'!T8+'5'!T8+'4'!T8+'8'!T8+'7'!T8+'10'!T8+'9'!T8+'11'!T8+'12'!T8+'13'!T8+'15'!T8+'14'!T8+'16'!T8+'17'!T8+'19'!T8+'20'!T8+'22'!T8+'18'!T8+'21'!T8+'25'!T8+'23'!T8+'26'!T8+'24'!T8+'28'!T8+'27'!T8+'29'!T8+'31'!T8+'30'!T8</f>
        <v>0</v>
      </c>
      <c r="U8" s="52">
        <f>+'1'!U8+'3'!U8+'2'!U8+'6'!U8+'5'!U8+'4'!U8+'8'!U8+'7'!U8+'10'!U8+'9'!U8+'11'!U8+'12'!U8+'13'!U8+'15'!U8+'14'!U8+'16'!U8+'17'!U8+'19'!U8+'20'!U8+'22'!U8+'18'!U8+'21'!U8+'25'!U8+'23'!U8+'26'!U8+'24'!U8+'28'!U8+'27'!U8+'29'!U8+'31'!U8+'30'!U8</f>
        <v>0</v>
      </c>
      <c r="V8" s="52">
        <f>+'1'!V8+'3'!V8+'2'!V8+'6'!V8+'5'!V8+'4'!V8+'8'!V8+'7'!V8+'10'!V8+'9'!V8+'11'!V8+'12'!V8+'13'!V8+'15'!V8+'14'!V8+'16'!V8+'17'!V8+'19'!V8+'20'!V8+'22'!V8+'18'!V8+'21'!V8+'25'!V8+'23'!V8+'26'!V8+'24'!V8+'28'!V8+'27'!V8+'29'!V8+'31'!V8+'30'!V8</f>
        <v>0</v>
      </c>
      <c r="W8" s="52">
        <f>+'1'!W8+'3'!W8+'2'!W8+'6'!W8+'5'!W8+'4'!W8+'8'!W8+'7'!W8+'10'!W8+'9'!W8+'11'!W8+'12'!W8+'13'!W8+'15'!W8+'14'!W8+'16'!W8+'17'!W8+'19'!W8+'20'!W8+'22'!W8+'18'!W8+'21'!W8+'25'!W8+'23'!W8+'26'!W8+'24'!W8+'28'!W8+'27'!W8+'29'!W8+'31'!W8+'30'!W8</f>
        <v>0</v>
      </c>
      <c r="X8" s="52">
        <f>+'1'!X8+'3'!X8+'2'!X8+'6'!X8+'5'!X8+'4'!X8+'8'!X8+'7'!X8+'10'!X8+'9'!X8+'11'!X8+'12'!X8+'13'!X8+'15'!X8+'14'!X8+'16'!X8+'17'!X8+'19'!X8+'20'!X8+'22'!X8+'18'!X8+'21'!X8+'25'!X8+'23'!X8+'26'!X8+'24'!X8+'28'!X8+'27'!X8+'29'!X8+'31'!X8+'30'!X8</f>
        <v>0</v>
      </c>
      <c r="Y8" s="52">
        <f>+'1'!Y8+'3'!Y8+'2'!Y8+'6'!Y8+'5'!Y8+'4'!Y8+'8'!Y8+'7'!Y8+'10'!Y8+'9'!Y8+'11'!Y8+'12'!Y8+'13'!Y8+'15'!Y8+'14'!Y8+'16'!Y8+'17'!Y8+'19'!Y8+'20'!Y8+'22'!Y8+'18'!Y8+'21'!Y8+'25'!Y8+'23'!Y8+'26'!Y8+'24'!Y8+'28'!Y8+'27'!Y8+'29'!Y8+'31'!Y8+'30'!Y8</f>
        <v>0</v>
      </c>
      <c r="Z8" s="52">
        <f>+'1'!Z8+'3'!Z8+'2'!Z8+'6'!Z8+'5'!Z8+'4'!Z8+'8'!Z8+'7'!Z8+'10'!Z8+'9'!Z8+'11'!Z8+'12'!Z8+'13'!Z8+'15'!Z8+'14'!Z8+'16'!Z8+'17'!Z8+'19'!Z8+'20'!Z8+'22'!Z8+'18'!Z8+'21'!Z8+'25'!Z8+'23'!Z8+'26'!Z8+'24'!Z8+'28'!Z8+'27'!Z8+'29'!Z8+'31'!Z8+'30'!Z8</f>
        <v>0</v>
      </c>
      <c r="AA8" s="52">
        <f>+'1'!AA8+'3'!AA8+'2'!AA8+'6'!AA8+'5'!AA8+'4'!AA8+'8'!AA8+'7'!AA8+'10'!AA8+'9'!AA8+'11'!AA8+'12'!AA8+'13'!AA8+'15'!AA8+'14'!AA8+'16'!AA8+'17'!AA8+'19'!AA8+'20'!AA8+'22'!AA8+'18'!AA8+'21'!AA8+'25'!AA8+'23'!AA8+'26'!AA8+'24'!AA8+'28'!AA8+'27'!AA8+'29'!AA8+'31'!AA8+'30'!AA8</f>
        <v>0</v>
      </c>
      <c r="AB8" s="52">
        <f>+'1'!AB8+'3'!AB8+'2'!AB8+'6'!AB8+'5'!AB8+'4'!AB8+'8'!AB8+'7'!AB8+'10'!AB8+'9'!AB8+'11'!AB8+'12'!AB8+'13'!AB8+'15'!AB8+'14'!AB8+'16'!AB8+'17'!AB8+'19'!AB8+'20'!AB8+'22'!AB8+'18'!AB8+'21'!AB8+'25'!AB8+'23'!AB8+'26'!AB8+'24'!AB8+'28'!AB8+'27'!AB8+'29'!AB8+'31'!AB8+'30'!AB8</f>
        <v>0</v>
      </c>
      <c r="AC8" s="52">
        <f>+'1'!AC8+'3'!AC8+'2'!AC8+'6'!AC8+'5'!AC8+'4'!AC8+'8'!AC8+'7'!AC8+'10'!AC8+'9'!AC8+'11'!AC8+'12'!AC8+'13'!AC8+'15'!AC8+'14'!AC8+'16'!AC8+'17'!AC8+'19'!AC8+'20'!AC8+'22'!AC8+'18'!AC8+'21'!AC8+'25'!AC8+'23'!AC8+'26'!AC8+'24'!AC8+'28'!AC8+'27'!AC8+'29'!AC8+'31'!AC8+'30'!AC8</f>
        <v>0</v>
      </c>
      <c r="AD8" s="52">
        <f>+'1'!AD8+'3'!AD8+'2'!AD8+'6'!AD8+'5'!AD8+'4'!AD8+'8'!AD8+'7'!AD8+'10'!AD8+'9'!AD8+'11'!AD8+'12'!AD8+'13'!AD8+'15'!AD8+'14'!AD8+'16'!AD8+'17'!AD8+'19'!AD8+'20'!AD8+'22'!AD8+'18'!AD8+'21'!AD8+'25'!AD8+'23'!AD8+'26'!AD8+'24'!AD8+'28'!AD8+'27'!AD8+'29'!AD8+'31'!AD8+'30'!AD8</f>
        <v>0</v>
      </c>
      <c r="AE8" s="52">
        <f>+'1'!AE8+'3'!AE8+'2'!AE8+'6'!AE8+'5'!AE8+'4'!AE8+'8'!AE8+'7'!AE8+'10'!AE8+'9'!AE8+'11'!AE8+'12'!AE8+'13'!AE8+'15'!AE8+'14'!AE8+'16'!AE8+'17'!AE8+'19'!AE8+'20'!AE8+'22'!AE8+'18'!AE8+'21'!AE8+'25'!AE8+'23'!AE8+'26'!AE8+'24'!AE8+'28'!AE8+'27'!AE8+'29'!AE8+'31'!AE8+'30'!AE8</f>
        <v>0</v>
      </c>
      <c r="AF8" s="52">
        <f>+'1'!AF8+'3'!AF8+'2'!AF8+'6'!AF8+'5'!AF8+'4'!AF8+'8'!AF8+'7'!AF8+'10'!AF8+'9'!AF8+'11'!AF8+'12'!AF8+'13'!AF8+'15'!AF8+'14'!AF8+'16'!AF8+'17'!AF8+'19'!AF8+'20'!AF8+'22'!AF8+'18'!AF8+'21'!AF8+'25'!AF8+'23'!AF8+'26'!AF8+'24'!AF8+'28'!AF8+'27'!AF8+'29'!AF8+'31'!AF8+'30'!AF8</f>
        <v>0</v>
      </c>
      <c r="AG8" s="52">
        <f>+'1'!AG8+'3'!AG8+'2'!AG8+'6'!AG8+'5'!AG8+'4'!AG8+'8'!AG8+'7'!AG8+'10'!AG8+'9'!AG8+'11'!AG8+'12'!AG8+'13'!AG8+'15'!AG8+'14'!AG8+'16'!AG8+'17'!AG8+'19'!AG8+'20'!AG8+'22'!AG8+'18'!AG8+'21'!AG8+'25'!AG8+'23'!AG8+'26'!AG8+'24'!AG8+'28'!AG8+'27'!AG8+'29'!AG8+'31'!AG8+'30'!AG8</f>
        <v>0</v>
      </c>
      <c r="AH8" s="52">
        <f>+'1'!AH8+'3'!AH8+'2'!AH8+'6'!AH8+'5'!AH8+'4'!AH8+'8'!AH8+'7'!AH8+'10'!AH8+'9'!AH8+'11'!AH8+'12'!AH8+'13'!AH8+'15'!AH8+'14'!AH8+'16'!AH8+'17'!AH8+'19'!AH8+'20'!AH8+'22'!AH8+'18'!AH8+'21'!AH8+'25'!AH8+'23'!AH8+'26'!AH8+'24'!AH8+'28'!AH8+'27'!AH8+'29'!AH8+'31'!AH8+'30'!AH8</f>
        <v>0</v>
      </c>
      <c r="AI8" s="55">
        <f>+'1'!AI8+'3'!AI8+'2'!AI8+'6'!AI8+'5'!AI8+'4'!AI8+'8'!AI8+'7'!AI8+'10'!AI8+'9'!AI8+'11'!AI8+'12'!AI8+'13'!AI8+'15'!AI8+'14'!AI8+'16'!AI8+'17'!AI8+'19'!AI8+'20'!AI8+'22'!AI8+'18'!AI8+'21'!AI8+'25'!AI8+'23'!AI8+'26'!AI8+'24'!AI8+'28'!AI8+'27'!AI8+'29'!AI8+'31'!AI8+'30'!AI8</f>
        <v>0</v>
      </c>
      <c r="AJ8" s="58">
        <f>+'1'!AJ8+'3'!AJ8+'2'!AJ8+'6'!AJ8+'5'!AJ8+'4'!AJ8+'8'!AJ8+'7'!AJ8+'10'!AJ8+'9'!AJ8+'11'!AJ8+'12'!AJ8+'13'!AJ8+'15'!AJ8+'14'!AJ8+'16'!AJ8+'17'!AJ8+'19'!AJ8+'20'!AJ8+'22'!AJ8+'18'!AJ8+'21'!AJ8+'25'!AJ8+'23'!AJ8+'26'!AJ8+'24'!AJ8+'28'!AJ8+'27'!AJ8+'29'!AJ8+'31'!AJ8+'30'!AJ8</f>
        <v>0</v>
      </c>
      <c r="AK8" s="55">
        <f>+'1'!AK8+'3'!AK8+'2'!AK8+'6'!AK8+'5'!AK8+'4'!AK8+'8'!AK8+'7'!AK8+'10'!AK8+'9'!AK8+'11'!AK8+'12'!AK8+'13'!AK8+'15'!AK8+'14'!AK8+'16'!AK8+'17'!AK8+'19'!AK8+'20'!AK8+'22'!AK8+'18'!AK8+'21'!AK8+'25'!AK8+'23'!AK8+'26'!AK8+'24'!AK8+'28'!AK8+'27'!AK8+'29'!AK8+'31'!AK8+'30'!AK8</f>
        <v>0</v>
      </c>
      <c r="AL8" s="66">
        <f t="shared" si="2"/>
        <v>0</v>
      </c>
      <c r="AM8" s="28" t="str">
        <f t="shared" si="3"/>
        <v>OK</v>
      </c>
    </row>
    <row r="9" spans="1:39" customFormat="1">
      <c r="A9" s="17" t="s">
        <v>68</v>
      </c>
      <c r="B9" s="77">
        <v>10897</v>
      </c>
      <c r="C9" s="17" t="s">
        <v>62</v>
      </c>
      <c r="D9" s="69"/>
      <c r="E9" s="18"/>
      <c r="F9" s="18"/>
      <c r="G9" s="19"/>
      <c r="H9" s="20">
        <f>+'1'!H9+'3'!H9+'2'!H9+'6'!H9+'5'!H9+'4'!H9+'8'!H9+'7'!H9+'10'!H9+'9'!H9+'11'!H9+'12'!H9+'13'!H9+'15'!H9+'14'!H9+'16'!H9+'17'!H9+'19'!H9+'20'!H9+'22'!H9+'18'!H9+'21'!H9+'25'!H9+'23'!H9+'26'!H9+'24'!H9+'28'!H9+'27'!H9+'29'!H9+'31'!H9+'30'!H9</f>
        <v>7094</v>
      </c>
      <c r="I9" s="21">
        <f>+'1'!I9+'3'!I9+'2'!I9+'6'!I9+'5'!I9+'4'!I9+'8'!I9+'7'!I9+'10'!I9+'9'!I9+'11'!I9+'12'!I9+'13'!I9+'15'!I9+'14'!I9+'16'!I9+'17'!I9+'19'!I9+'20'!I9+'22'!I9+'18'!I9+'21'!I9+'25'!I9+'23'!I9+'26'!I9+'24'!I9+'28'!I9+'27'!I9+'29'!I9+'31'!I9+'30'!I9</f>
        <v>1</v>
      </c>
      <c r="J9" s="21"/>
      <c r="K9" s="16"/>
      <c r="L9" s="21">
        <f>+'1'!L9+'3'!L9+'2'!L9+'6'!L9+'5'!L9+'4'!L9+'8'!L9+'7'!L9+'10'!L9+'9'!L9+'11'!L9+'12'!L9+'13'!L9+'15'!L9+'14'!L9+'16'!L9+'17'!L9+'19'!L9+'20'!L9+'22'!L9+'18'!L9+'21'!L9+'25'!L9+'23'!L9+'26'!L9+'24'!L9+'28'!L9+'27'!L9+'29'!L9+'31'!L9+'30'!L9</f>
        <v>0</v>
      </c>
      <c r="M9" s="21">
        <f>+'1'!M9+'3'!M9+'2'!M9+'6'!M9+'5'!M9+'4'!M9+'8'!M9+'7'!M9+'10'!M9+'9'!M9+'11'!M9+'12'!M9+'13'!M9+'15'!M9+'14'!M9+'16'!M9+'17'!M9+'19'!M9+'20'!M9+'22'!M9+'18'!M9+'21'!M9+'25'!M9+'23'!M9+'26'!M9+'24'!M9+'28'!M9+'27'!M9+'29'!M9+'31'!M9+'30'!M9</f>
        <v>0</v>
      </c>
      <c r="N9" s="21">
        <f>+'1'!N9+'3'!N9+'2'!N9+'6'!N9+'5'!N9+'4'!N9+'8'!N9+'7'!N9+'10'!N9+'9'!N9+'11'!N9+'12'!N9+'13'!N9+'15'!N9+'14'!N9+'16'!N9+'17'!N9+'19'!N9+'20'!N9+'22'!N9+'18'!N9+'21'!N9+'25'!N9+'23'!N9+'26'!N9+'24'!N9+'28'!N9+'27'!N9+'29'!N9+'31'!N9+'30'!N9</f>
        <v>0</v>
      </c>
      <c r="O9" s="21">
        <f>+'1'!O9+'3'!O9+'2'!O9+'6'!O9+'5'!O9+'4'!O9+'8'!O9+'7'!O9+'10'!O9+'9'!O9+'11'!O9+'12'!O9+'13'!O9+'15'!O9+'14'!O9+'16'!O9+'17'!O9+'19'!O9+'20'!O9+'22'!O9+'18'!O9+'21'!O9+'25'!O9+'23'!O9+'26'!O9+'24'!O9+'28'!O9+'27'!O9+'29'!O9+'31'!O9+'30'!O9</f>
        <v>0</v>
      </c>
      <c r="P9" s="21">
        <f>+'1'!P9+'3'!P9+'2'!P9+'6'!P9+'5'!P9+'4'!P9+'8'!P9+'7'!P9+'10'!P9+'9'!P9+'11'!P9+'12'!P9+'13'!P9+'15'!P9+'14'!P9+'16'!P9+'17'!P9+'19'!P9+'20'!P9+'22'!P9+'18'!P9+'21'!P9+'25'!P9+'23'!P9+'26'!P9+'24'!P9+'28'!P9+'27'!P9+'29'!P9+'31'!P9+'30'!P9</f>
        <v>1</v>
      </c>
      <c r="Q9" s="21">
        <f>+'1'!Q9+'3'!Q9+'2'!Q9+'6'!Q9+'5'!Q9+'4'!Q9+'8'!Q9+'7'!Q9+'10'!Q9+'9'!Q9+'11'!Q9+'12'!Q9+'13'!Q9+'15'!Q9+'14'!Q9+'16'!Q9+'17'!Q9+'19'!Q9+'20'!Q9+'22'!Q9+'18'!Q9+'21'!Q9+'25'!Q9+'23'!Q9+'26'!Q9+'24'!Q9+'28'!Q9+'27'!Q9+'29'!Q9+'31'!Q9+'30'!Q9</f>
        <v>0</v>
      </c>
      <c r="R9" s="21">
        <f>+'1'!R9+'3'!R9+'2'!R9+'6'!R9+'5'!R9+'4'!R9+'8'!R9+'7'!R9+'10'!R9+'9'!R9+'11'!R9+'12'!R9+'13'!R9+'15'!R9+'14'!R9+'16'!R9+'17'!R9+'19'!R9+'20'!R9+'22'!R9+'18'!R9+'21'!R9+'25'!R9+'23'!R9+'26'!R9+'24'!R9+'28'!R9+'27'!R9+'29'!R9+'31'!R9+'30'!R9</f>
        <v>0</v>
      </c>
      <c r="S9" s="21">
        <f>+'1'!S9+'3'!S9+'2'!S9+'6'!S9+'5'!S9+'4'!S9+'8'!S9+'7'!S9+'10'!S9+'9'!S9+'11'!S9+'12'!S9+'13'!S9+'15'!S9+'14'!S9+'16'!S9+'17'!S9+'19'!S9+'20'!S9+'22'!S9+'18'!S9+'21'!S9+'25'!S9+'23'!S9+'26'!S9+'24'!S9+'28'!S9+'27'!S9+'29'!S9+'31'!S9+'30'!S9</f>
        <v>0</v>
      </c>
      <c r="T9" s="42">
        <f>+'1'!T9+'3'!T9+'2'!T9+'6'!T9+'5'!T9+'4'!T9+'8'!T9+'7'!T9+'10'!T9+'9'!T9+'11'!T9+'12'!T9+'13'!T9+'15'!T9+'14'!T9+'16'!T9+'17'!T9+'19'!T9+'20'!T9+'22'!T9+'18'!T9+'21'!T9+'25'!T9+'23'!T9+'26'!T9+'24'!T9+'28'!T9+'27'!T9+'29'!T9+'31'!T9+'30'!T9</f>
        <v>0</v>
      </c>
      <c r="U9" s="51">
        <f>+'1'!U9+'3'!U9+'2'!U9+'6'!U9+'5'!U9+'4'!U9+'8'!U9+'7'!U9+'10'!U9+'9'!U9+'11'!U9+'12'!U9+'13'!U9+'15'!U9+'14'!U9+'16'!U9+'17'!U9+'19'!U9+'20'!U9+'22'!U9+'18'!U9+'21'!U9+'25'!U9+'23'!U9+'26'!U9+'24'!U9+'28'!U9+'27'!U9+'29'!U9+'31'!U9+'30'!U9</f>
        <v>0</v>
      </c>
      <c r="V9" s="51">
        <f>+'1'!V9+'3'!V9+'2'!V9+'6'!V9+'5'!V9+'4'!V9+'8'!V9+'7'!V9+'10'!V9+'9'!V9+'11'!V9+'12'!V9+'13'!V9+'15'!V9+'14'!V9+'16'!V9+'17'!V9+'19'!V9+'20'!V9+'22'!V9+'18'!V9+'21'!V9+'25'!V9+'23'!V9+'26'!V9+'24'!V9+'28'!V9+'27'!V9+'29'!V9+'31'!V9+'30'!V9</f>
        <v>0</v>
      </c>
      <c r="W9" s="51">
        <f>+'1'!W9+'3'!W9+'2'!W9+'6'!W9+'5'!W9+'4'!W9+'8'!W9+'7'!W9+'10'!W9+'9'!W9+'11'!W9+'12'!W9+'13'!W9+'15'!W9+'14'!W9+'16'!W9+'17'!W9+'19'!W9+'20'!W9+'22'!W9+'18'!W9+'21'!W9+'25'!W9+'23'!W9+'26'!W9+'24'!W9+'28'!W9+'27'!W9+'29'!W9+'31'!W9+'30'!W9</f>
        <v>0</v>
      </c>
      <c r="X9" s="51">
        <f>+'1'!X9+'3'!X9+'2'!X9+'6'!X9+'5'!X9+'4'!X9+'8'!X9+'7'!X9+'10'!X9+'9'!X9+'11'!X9+'12'!X9+'13'!X9+'15'!X9+'14'!X9+'16'!X9+'17'!X9+'19'!X9+'20'!X9+'22'!X9+'18'!X9+'21'!X9+'25'!X9+'23'!X9+'26'!X9+'24'!X9+'28'!X9+'27'!X9+'29'!X9+'31'!X9+'30'!X9</f>
        <v>0</v>
      </c>
      <c r="Y9" s="51">
        <f>+'1'!Y9+'3'!Y9+'2'!Y9+'6'!Y9+'5'!Y9+'4'!Y9+'8'!Y9+'7'!Y9+'10'!Y9+'9'!Y9+'11'!Y9+'12'!Y9+'13'!Y9+'15'!Y9+'14'!Y9+'16'!Y9+'17'!Y9+'19'!Y9+'20'!Y9+'22'!Y9+'18'!Y9+'21'!Y9+'25'!Y9+'23'!Y9+'26'!Y9+'24'!Y9+'28'!Y9+'27'!Y9+'29'!Y9+'31'!Y9+'30'!Y9</f>
        <v>0</v>
      </c>
      <c r="Z9" s="51">
        <f>+'1'!Z9+'3'!Z9+'2'!Z9+'6'!Z9+'5'!Z9+'4'!Z9+'8'!Z9+'7'!Z9+'10'!Z9+'9'!Z9+'11'!Z9+'12'!Z9+'13'!Z9+'15'!Z9+'14'!Z9+'16'!Z9+'17'!Z9+'19'!Z9+'20'!Z9+'22'!Z9+'18'!Z9+'21'!Z9+'25'!Z9+'23'!Z9+'26'!Z9+'24'!Z9+'28'!Z9+'27'!Z9+'29'!Z9+'31'!Z9+'30'!Z9</f>
        <v>0</v>
      </c>
      <c r="AA9" s="51">
        <f>+'1'!AA9+'3'!AA9+'2'!AA9+'6'!AA9+'5'!AA9+'4'!AA9+'8'!AA9+'7'!AA9+'10'!AA9+'9'!AA9+'11'!AA9+'12'!AA9+'13'!AA9+'15'!AA9+'14'!AA9+'16'!AA9+'17'!AA9+'19'!AA9+'20'!AA9+'22'!AA9+'18'!AA9+'21'!AA9+'25'!AA9+'23'!AA9+'26'!AA9+'24'!AA9+'28'!AA9+'27'!AA9+'29'!AA9+'31'!AA9+'30'!AA9</f>
        <v>0</v>
      </c>
      <c r="AB9" s="51">
        <f>+'1'!AB9+'3'!AB9+'2'!AB9+'6'!AB9+'5'!AB9+'4'!AB9+'8'!AB9+'7'!AB9+'10'!AB9+'9'!AB9+'11'!AB9+'12'!AB9+'13'!AB9+'15'!AB9+'14'!AB9+'16'!AB9+'17'!AB9+'19'!AB9+'20'!AB9+'22'!AB9+'18'!AB9+'21'!AB9+'25'!AB9+'23'!AB9+'26'!AB9+'24'!AB9+'28'!AB9+'27'!AB9+'29'!AB9+'31'!AB9+'30'!AB9</f>
        <v>0</v>
      </c>
      <c r="AC9" s="51">
        <f>+'1'!AC9+'3'!AC9+'2'!AC9+'6'!AC9+'5'!AC9+'4'!AC9+'8'!AC9+'7'!AC9+'10'!AC9+'9'!AC9+'11'!AC9+'12'!AC9+'13'!AC9+'15'!AC9+'14'!AC9+'16'!AC9+'17'!AC9+'19'!AC9+'20'!AC9+'22'!AC9+'18'!AC9+'21'!AC9+'25'!AC9+'23'!AC9+'26'!AC9+'24'!AC9+'28'!AC9+'27'!AC9+'29'!AC9+'31'!AC9+'30'!AC9</f>
        <v>0</v>
      </c>
      <c r="AD9" s="51">
        <f>+'1'!AD9+'3'!AD9+'2'!AD9+'6'!AD9+'5'!AD9+'4'!AD9+'8'!AD9+'7'!AD9+'10'!AD9+'9'!AD9+'11'!AD9+'12'!AD9+'13'!AD9+'15'!AD9+'14'!AD9+'16'!AD9+'17'!AD9+'19'!AD9+'20'!AD9+'22'!AD9+'18'!AD9+'21'!AD9+'25'!AD9+'23'!AD9+'26'!AD9+'24'!AD9+'28'!AD9+'27'!AD9+'29'!AD9+'31'!AD9+'30'!AD9</f>
        <v>0</v>
      </c>
      <c r="AE9" s="51">
        <f>+'1'!AE9+'3'!AE9+'2'!AE9+'6'!AE9+'5'!AE9+'4'!AE9+'8'!AE9+'7'!AE9+'10'!AE9+'9'!AE9+'11'!AE9+'12'!AE9+'13'!AE9+'15'!AE9+'14'!AE9+'16'!AE9+'17'!AE9+'19'!AE9+'20'!AE9+'22'!AE9+'18'!AE9+'21'!AE9+'25'!AE9+'23'!AE9+'26'!AE9+'24'!AE9+'28'!AE9+'27'!AE9+'29'!AE9+'31'!AE9+'30'!AE9</f>
        <v>0</v>
      </c>
      <c r="AF9" s="51">
        <f>+'1'!AF9+'3'!AF9+'2'!AF9+'6'!AF9+'5'!AF9+'4'!AF9+'8'!AF9+'7'!AF9+'10'!AF9+'9'!AF9+'11'!AF9+'12'!AF9+'13'!AF9+'15'!AF9+'14'!AF9+'16'!AF9+'17'!AF9+'19'!AF9+'20'!AF9+'22'!AF9+'18'!AF9+'21'!AF9+'25'!AF9+'23'!AF9+'26'!AF9+'24'!AF9+'28'!AF9+'27'!AF9+'29'!AF9+'31'!AF9+'30'!AF9</f>
        <v>0</v>
      </c>
      <c r="AG9" s="51">
        <f>+'1'!AG9+'3'!AG9+'2'!AG9+'6'!AG9+'5'!AG9+'4'!AG9+'8'!AG9+'7'!AG9+'10'!AG9+'9'!AG9+'11'!AG9+'12'!AG9+'13'!AG9+'15'!AG9+'14'!AG9+'16'!AG9+'17'!AG9+'19'!AG9+'20'!AG9+'22'!AG9+'18'!AG9+'21'!AG9+'25'!AG9+'23'!AG9+'26'!AG9+'24'!AG9+'28'!AG9+'27'!AG9+'29'!AG9+'31'!AG9+'30'!AG9</f>
        <v>0</v>
      </c>
      <c r="AH9" s="51">
        <f>+'1'!AH9+'3'!AH9+'2'!AH9+'6'!AH9+'5'!AH9+'4'!AH9+'8'!AH9+'7'!AH9+'10'!AH9+'9'!AH9+'11'!AH9+'12'!AH9+'13'!AH9+'15'!AH9+'14'!AH9+'16'!AH9+'17'!AH9+'19'!AH9+'20'!AH9+'22'!AH9+'18'!AH9+'21'!AH9+'25'!AH9+'23'!AH9+'26'!AH9+'24'!AH9+'28'!AH9+'27'!AH9+'29'!AH9+'31'!AH9+'30'!AH9</f>
        <v>0</v>
      </c>
      <c r="AI9" s="54">
        <f>+'1'!AI9+'3'!AI9+'2'!AI9+'6'!AI9+'5'!AI9+'4'!AI9+'8'!AI9+'7'!AI9+'10'!AI9+'9'!AI9+'11'!AI9+'12'!AI9+'13'!AI9+'15'!AI9+'14'!AI9+'16'!AI9+'17'!AI9+'19'!AI9+'20'!AI9+'22'!AI9+'18'!AI9+'21'!AI9+'25'!AI9+'23'!AI9+'26'!AI9+'24'!AI9+'28'!AI9+'27'!AI9+'29'!AI9+'31'!AI9+'30'!AI9</f>
        <v>0</v>
      </c>
      <c r="AJ9" s="57">
        <f>+'1'!AJ9+'3'!AJ9+'2'!AJ9+'6'!AJ9+'5'!AJ9+'4'!AJ9+'8'!AJ9+'7'!AJ9+'10'!AJ9+'9'!AJ9+'11'!AJ9+'12'!AJ9+'13'!AJ9+'15'!AJ9+'14'!AJ9+'16'!AJ9+'17'!AJ9+'19'!AJ9+'20'!AJ9+'22'!AJ9+'18'!AJ9+'21'!AJ9+'25'!AJ9+'23'!AJ9+'26'!AJ9+'24'!AJ9+'28'!AJ9+'27'!AJ9+'29'!AJ9+'31'!AJ9+'30'!AJ9</f>
        <v>0</v>
      </c>
      <c r="AK9" s="54">
        <f>+'1'!AK9+'3'!AK9+'2'!AK9+'6'!AK9+'5'!AK9+'4'!AK9+'8'!AK9+'7'!AK9+'10'!AK9+'9'!AK9+'11'!AK9+'12'!AK9+'13'!AK9+'15'!AK9+'14'!AK9+'16'!AK9+'17'!AK9+'19'!AK9+'20'!AK9+'22'!AK9+'18'!AK9+'21'!AK9+'25'!AK9+'23'!AK9+'26'!AK9+'24'!AK9+'28'!AK9+'27'!AK9+'29'!AK9+'31'!AK9+'30'!AK9</f>
        <v>0</v>
      </c>
      <c r="AL9" s="65">
        <f t="shared" si="2"/>
        <v>1</v>
      </c>
      <c r="AM9" s="22" t="str">
        <f t="shared" si="3"/>
        <v>OK</v>
      </c>
    </row>
    <row r="10" spans="1:39" customFormat="1" hidden="1">
      <c r="A10" s="68" t="s">
        <v>119</v>
      </c>
      <c r="B10" s="78">
        <v>18523</v>
      </c>
      <c r="C10" s="23" t="s">
        <v>62</v>
      </c>
      <c r="D10" s="24"/>
      <c r="E10" s="24"/>
      <c r="F10" s="24"/>
      <c r="G10" s="25"/>
      <c r="H10" s="14">
        <f>+'1'!H10+'3'!H10+'2'!H10+'6'!H10+'5'!H10+'4'!H10+'8'!H10+'7'!H10+'10'!H10+'9'!H10+'11'!H10+'12'!H10+'13'!H10+'15'!H10+'14'!H10+'16'!H10+'17'!H10+'19'!H10+'20'!H10+'22'!H10+'18'!H10+'21'!H10+'25'!H10+'23'!H10+'26'!H10+'24'!H10+'28'!H10+'27'!H10+'29'!H10+'31'!H10+'30'!H10</f>
        <v>0</v>
      </c>
      <c r="I10" s="15">
        <f>+'1'!I10+'3'!I10+'2'!I10+'6'!I10+'5'!I10+'4'!I10+'8'!I10+'7'!I10+'10'!I10+'9'!I10+'11'!I10+'12'!I10+'13'!I10+'15'!I10+'14'!I10+'16'!I10+'17'!I10+'19'!I10+'20'!I10+'22'!I10+'18'!I10+'21'!I10+'25'!I10+'23'!I10+'26'!I10+'24'!I10+'28'!I10+'27'!I10+'29'!I10+'31'!I10+'30'!I10</f>
        <v>0</v>
      </c>
      <c r="J10" s="15"/>
      <c r="K10" s="16"/>
      <c r="L10" s="27">
        <f>+'1'!L10+'3'!L10+'2'!L10+'6'!L10+'5'!L10+'4'!L10+'8'!L10+'7'!L10+'10'!L10+'9'!L10+'11'!L10+'12'!L10+'13'!L10+'15'!L10+'14'!L10+'16'!L10+'17'!L10+'19'!L10+'20'!L10+'22'!L10+'18'!L10+'21'!L10+'25'!L10+'23'!L10+'26'!L10+'24'!L10+'28'!L10+'27'!L10+'29'!L10+'31'!L10+'30'!L10</f>
        <v>0</v>
      </c>
      <c r="M10" s="27">
        <f>+'1'!M10+'3'!M10+'2'!M10+'6'!M10+'5'!M10+'4'!M10+'8'!M10+'7'!M10+'10'!M10+'9'!M10+'11'!M10+'12'!M10+'13'!M10+'15'!M10+'14'!M10+'16'!M10+'17'!M10+'19'!M10+'20'!M10+'22'!M10+'18'!M10+'21'!M10+'25'!M10+'23'!M10+'26'!M10+'24'!M10+'28'!M10+'27'!M10+'29'!M10+'31'!M10+'30'!M10</f>
        <v>0</v>
      </c>
      <c r="N10" s="27">
        <f>+'1'!N10+'3'!N10+'2'!N10+'6'!N10+'5'!N10+'4'!N10+'8'!N10+'7'!N10+'10'!N10+'9'!N10+'11'!N10+'12'!N10+'13'!N10+'15'!N10+'14'!N10+'16'!N10+'17'!N10+'19'!N10+'20'!N10+'22'!N10+'18'!N10+'21'!N10+'25'!N10+'23'!N10+'26'!N10+'24'!N10+'28'!N10+'27'!N10+'29'!N10+'31'!N10+'30'!N10</f>
        <v>0</v>
      </c>
      <c r="O10" s="27">
        <f>+'1'!O10+'3'!O10+'2'!O10+'6'!O10+'5'!O10+'4'!O10+'8'!O10+'7'!O10+'10'!O10+'9'!O10+'11'!O10+'12'!O10+'13'!O10+'15'!O10+'14'!O10+'16'!O10+'17'!O10+'19'!O10+'20'!O10+'22'!O10+'18'!O10+'21'!O10+'25'!O10+'23'!O10+'26'!O10+'24'!O10+'28'!O10+'27'!O10+'29'!O10+'31'!O10+'30'!O10</f>
        <v>0</v>
      </c>
      <c r="P10" s="27">
        <f>+'1'!P10+'3'!P10+'2'!P10+'6'!P10+'5'!P10+'4'!P10+'8'!P10+'7'!P10+'10'!P10+'9'!P10+'11'!P10+'12'!P10+'13'!P10+'15'!P10+'14'!P10+'16'!P10+'17'!P10+'19'!P10+'20'!P10+'22'!P10+'18'!P10+'21'!P10+'25'!P10+'23'!P10+'26'!P10+'24'!P10+'28'!P10+'27'!P10+'29'!P10+'31'!P10+'30'!P10</f>
        <v>0</v>
      </c>
      <c r="Q10" s="27">
        <f>+'1'!Q10+'3'!Q10+'2'!Q10+'6'!Q10+'5'!Q10+'4'!Q10+'8'!Q10+'7'!Q10+'10'!Q10+'9'!Q10+'11'!Q10+'12'!Q10+'13'!Q10+'15'!Q10+'14'!Q10+'16'!Q10+'17'!Q10+'19'!Q10+'20'!Q10+'22'!Q10+'18'!Q10+'21'!Q10+'25'!Q10+'23'!Q10+'26'!Q10+'24'!Q10+'28'!Q10+'27'!Q10+'29'!Q10+'31'!Q10+'30'!Q10</f>
        <v>0</v>
      </c>
      <c r="R10" s="27">
        <f>+'1'!R10+'3'!R10+'2'!R10+'6'!R10+'5'!R10+'4'!R10+'8'!R10+'7'!R10+'10'!R10+'9'!R10+'11'!R10+'12'!R10+'13'!R10+'15'!R10+'14'!R10+'16'!R10+'17'!R10+'19'!R10+'20'!R10+'22'!R10+'18'!R10+'21'!R10+'25'!R10+'23'!R10+'26'!R10+'24'!R10+'28'!R10+'27'!R10+'29'!R10+'31'!R10+'30'!R10</f>
        <v>0</v>
      </c>
      <c r="S10" s="27">
        <f>+'1'!S10+'3'!S10+'2'!S10+'6'!S10+'5'!S10+'4'!S10+'8'!S10+'7'!S10+'10'!S10+'9'!S10+'11'!S10+'12'!S10+'13'!S10+'15'!S10+'14'!S10+'16'!S10+'17'!S10+'19'!S10+'20'!S10+'22'!S10+'18'!S10+'21'!S10+'25'!S10+'23'!S10+'26'!S10+'24'!S10+'28'!S10+'27'!S10+'29'!S10+'31'!S10+'30'!S10</f>
        <v>0</v>
      </c>
      <c r="T10" s="43">
        <f>+'1'!T10+'3'!T10+'2'!T10+'6'!T10+'5'!T10+'4'!T10+'8'!T10+'7'!T10+'10'!T10+'9'!T10+'11'!T10+'12'!T10+'13'!T10+'15'!T10+'14'!T10+'16'!T10+'17'!T10+'19'!T10+'20'!T10+'22'!T10+'18'!T10+'21'!T10+'25'!T10+'23'!T10+'26'!T10+'24'!T10+'28'!T10+'27'!T10+'29'!T10+'31'!T10+'30'!T10</f>
        <v>0</v>
      </c>
      <c r="U10" s="52">
        <f>+'1'!U10+'3'!U10+'2'!U10+'6'!U10+'5'!U10+'4'!U10+'8'!U10+'7'!U10+'10'!U10+'9'!U10+'11'!U10+'12'!U10+'13'!U10+'15'!U10+'14'!U10+'16'!U10+'17'!U10+'19'!U10+'20'!U10+'22'!U10+'18'!U10+'21'!U10+'25'!U10+'23'!U10+'26'!U10+'24'!U10+'28'!U10+'27'!U10+'29'!U10+'31'!U10+'30'!U10</f>
        <v>0</v>
      </c>
      <c r="V10" s="52">
        <f>+'1'!V10+'3'!V10+'2'!V10+'6'!V10+'5'!V10+'4'!V10+'8'!V10+'7'!V10+'10'!V10+'9'!V10+'11'!V10+'12'!V10+'13'!V10+'15'!V10+'14'!V10+'16'!V10+'17'!V10+'19'!V10+'20'!V10+'22'!V10+'18'!V10+'21'!V10+'25'!V10+'23'!V10+'26'!V10+'24'!V10+'28'!V10+'27'!V10+'29'!V10+'31'!V10+'30'!V10</f>
        <v>0</v>
      </c>
      <c r="W10" s="52">
        <f>+'1'!W10+'3'!W10+'2'!W10+'6'!W10+'5'!W10+'4'!W10+'8'!W10+'7'!W10+'10'!W10+'9'!W10+'11'!W10+'12'!W10+'13'!W10+'15'!W10+'14'!W10+'16'!W10+'17'!W10+'19'!W10+'20'!W10+'22'!W10+'18'!W10+'21'!W10+'25'!W10+'23'!W10+'26'!W10+'24'!W10+'28'!W10+'27'!W10+'29'!W10+'31'!W10+'30'!W10</f>
        <v>0</v>
      </c>
      <c r="X10" s="52">
        <f>+'1'!X10+'3'!X10+'2'!X10+'6'!X10+'5'!X10+'4'!X10+'8'!X10+'7'!X10+'10'!X10+'9'!X10+'11'!X10+'12'!X10+'13'!X10+'15'!X10+'14'!X10+'16'!X10+'17'!X10+'19'!X10+'20'!X10+'22'!X10+'18'!X10+'21'!X10+'25'!X10+'23'!X10+'26'!X10+'24'!X10+'28'!X10+'27'!X10+'29'!X10+'31'!X10+'30'!X10</f>
        <v>0</v>
      </c>
      <c r="Y10" s="52">
        <f>+'1'!Y10+'3'!Y10+'2'!Y10+'6'!Y10+'5'!Y10+'4'!Y10+'8'!Y10+'7'!Y10+'10'!Y10+'9'!Y10+'11'!Y10+'12'!Y10+'13'!Y10+'15'!Y10+'14'!Y10+'16'!Y10+'17'!Y10+'19'!Y10+'20'!Y10+'22'!Y10+'18'!Y10+'21'!Y10+'25'!Y10+'23'!Y10+'26'!Y10+'24'!Y10+'28'!Y10+'27'!Y10+'29'!Y10+'31'!Y10+'30'!Y10</f>
        <v>0</v>
      </c>
      <c r="Z10" s="52">
        <f>+'1'!Z10+'3'!Z10+'2'!Z10+'6'!Z10+'5'!Z10+'4'!Z10+'8'!Z10+'7'!Z10+'10'!Z10+'9'!Z10+'11'!Z10+'12'!Z10+'13'!Z10+'15'!Z10+'14'!Z10+'16'!Z10+'17'!Z10+'19'!Z10+'20'!Z10+'22'!Z10+'18'!Z10+'21'!Z10+'25'!Z10+'23'!Z10+'26'!Z10+'24'!Z10+'28'!Z10+'27'!Z10+'29'!Z10+'31'!Z10+'30'!Z10</f>
        <v>0</v>
      </c>
      <c r="AA10" s="52">
        <f>+'1'!AA10+'3'!AA10+'2'!AA10+'6'!AA10+'5'!AA10+'4'!AA10+'8'!AA10+'7'!AA10+'10'!AA10+'9'!AA10+'11'!AA10+'12'!AA10+'13'!AA10+'15'!AA10+'14'!AA10+'16'!AA10+'17'!AA10+'19'!AA10+'20'!AA10+'22'!AA10+'18'!AA10+'21'!AA10+'25'!AA10+'23'!AA10+'26'!AA10+'24'!AA10+'28'!AA10+'27'!AA10+'29'!AA10+'31'!AA10+'30'!AA10</f>
        <v>0</v>
      </c>
      <c r="AB10" s="52">
        <f>+'1'!AB10+'3'!AB10+'2'!AB10+'6'!AB10+'5'!AB10+'4'!AB10+'8'!AB10+'7'!AB10+'10'!AB10+'9'!AB10+'11'!AB10+'12'!AB10+'13'!AB10+'15'!AB10+'14'!AB10+'16'!AB10+'17'!AB10+'19'!AB10+'20'!AB10+'22'!AB10+'18'!AB10+'21'!AB10+'25'!AB10+'23'!AB10+'26'!AB10+'24'!AB10+'28'!AB10+'27'!AB10+'29'!AB10+'31'!AB10+'30'!AB10</f>
        <v>0</v>
      </c>
      <c r="AC10" s="52">
        <f>+'1'!AC10+'3'!AC10+'2'!AC10+'6'!AC10+'5'!AC10+'4'!AC10+'8'!AC10+'7'!AC10+'10'!AC10+'9'!AC10+'11'!AC10+'12'!AC10+'13'!AC10+'15'!AC10+'14'!AC10+'16'!AC10+'17'!AC10+'19'!AC10+'20'!AC10+'22'!AC10+'18'!AC10+'21'!AC10+'25'!AC10+'23'!AC10+'26'!AC10+'24'!AC10+'28'!AC10+'27'!AC10+'29'!AC10+'31'!AC10+'30'!AC10</f>
        <v>0</v>
      </c>
      <c r="AD10" s="52">
        <f>+'1'!AD10+'3'!AD10+'2'!AD10+'6'!AD10+'5'!AD10+'4'!AD10+'8'!AD10+'7'!AD10+'10'!AD10+'9'!AD10+'11'!AD10+'12'!AD10+'13'!AD10+'15'!AD10+'14'!AD10+'16'!AD10+'17'!AD10+'19'!AD10+'20'!AD10+'22'!AD10+'18'!AD10+'21'!AD10+'25'!AD10+'23'!AD10+'26'!AD10+'24'!AD10+'28'!AD10+'27'!AD10+'29'!AD10+'31'!AD10+'30'!AD10</f>
        <v>0</v>
      </c>
      <c r="AE10" s="52">
        <f>+'1'!AE10+'3'!AE10+'2'!AE10+'6'!AE10+'5'!AE10+'4'!AE10+'8'!AE10+'7'!AE10+'10'!AE10+'9'!AE10+'11'!AE10+'12'!AE10+'13'!AE10+'15'!AE10+'14'!AE10+'16'!AE10+'17'!AE10+'19'!AE10+'20'!AE10+'22'!AE10+'18'!AE10+'21'!AE10+'25'!AE10+'23'!AE10+'26'!AE10+'24'!AE10+'28'!AE10+'27'!AE10+'29'!AE10+'31'!AE10+'30'!AE10</f>
        <v>0</v>
      </c>
      <c r="AF10" s="52">
        <f>+'1'!AF10+'3'!AF10+'2'!AF10+'6'!AF10+'5'!AF10+'4'!AF10+'8'!AF10+'7'!AF10+'10'!AF10+'9'!AF10+'11'!AF10+'12'!AF10+'13'!AF10+'15'!AF10+'14'!AF10+'16'!AF10+'17'!AF10+'19'!AF10+'20'!AF10+'22'!AF10+'18'!AF10+'21'!AF10+'25'!AF10+'23'!AF10+'26'!AF10+'24'!AF10+'28'!AF10+'27'!AF10+'29'!AF10+'31'!AF10+'30'!AF10</f>
        <v>0</v>
      </c>
      <c r="AG10" s="52">
        <f>+'1'!AG10+'3'!AG10+'2'!AG10+'6'!AG10+'5'!AG10+'4'!AG10+'8'!AG10+'7'!AG10+'10'!AG10+'9'!AG10+'11'!AG10+'12'!AG10+'13'!AG10+'15'!AG10+'14'!AG10+'16'!AG10+'17'!AG10+'19'!AG10+'20'!AG10+'22'!AG10+'18'!AG10+'21'!AG10+'25'!AG10+'23'!AG10+'26'!AG10+'24'!AG10+'28'!AG10+'27'!AG10+'29'!AG10+'31'!AG10+'30'!AG10</f>
        <v>0</v>
      </c>
      <c r="AH10" s="52">
        <f>+'1'!AH10+'3'!AH10+'2'!AH10+'6'!AH10+'5'!AH10+'4'!AH10+'8'!AH10+'7'!AH10+'10'!AH10+'9'!AH10+'11'!AH10+'12'!AH10+'13'!AH10+'15'!AH10+'14'!AH10+'16'!AH10+'17'!AH10+'19'!AH10+'20'!AH10+'22'!AH10+'18'!AH10+'21'!AH10+'25'!AH10+'23'!AH10+'26'!AH10+'24'!AH10+'28'!AH10+'27'!AH10+'29'!AH10+'31'!AH10+'30'!AH10</f>
        <v>0</v>
      </c>
      <c r="AI10" s="55">
        <f>+'1'!AI10+'3'!AI10+'2'!AI10+'6'!AI10+'5'!AI10+'4'!AI10+'8'!AI10+'7'!AI10+'10'!AI10+'9'!AI10+'11'!AI10+'12'!AI10+'13'!AI10+'15'!AI10+'14'!AI10+'16'!AI10+'17'!AI10+'19'!AI10+'20'!AI10+'22'!AI10+'18'!AI10+'21'!AI10+'25'!AI10+'23'!AI10+'26'!AI10+'24'!AI10+'28'!AI10+'27'!AI10+'29'!AI10+'31'!AI10+'30'!AI10</f>
        <v>0</v>
      </c>
      <c r="AJ10" s="58">
        <f>+'1'!AJ10+'3'!AJ10+'2'!AJ10+'6'!AJ10+'5'!AJ10+'4'!AJ10+'8'!AJ10+'7'!AJ10+'10'!AJ10+'9'!AJ10+'11'!AJ10+'12'!AJ10+'13'!AJ10+'15'!AJ10+'14'!AJ10+'16'!AJ10+'17'!AJ10+'19'!AJ10+'20'!AJ10+'22'!AJ10+'18'!AJ10+'21'!AJ10+'25'!AJ10+'23'!AJ10+'26'!AJ10+'24'!AJ10+'28'!AJ10+'27'!AJ10+'29'!AJ10+'31'!AJ10+'30'!AJ10</f>
        <v>0</v>
      </c>
      <c r="AK10" s="55">
        <f>+'1'!AK10+'3'!AK10+'2'!AK10+'6'!AK10+'5'!AK10+'4'!AK10+'8'!AK10+'7'!AK10+'10'!AK10+'9'!AK10+'11'!AK10+'12'!AK10+'13'!AK10+'15'!AK10+'14'!AK10+'16'!AK10+'17'!AK10+'19'!AK10+'20'!AK10+'22'!AK10+'18'!AK10+'21'!AK10+'25'!AK10+'23'!AK10+'26'!AK10+'24'!AK10+'28'!AK10+'27'!AK10+'29'!AK10+'31'!AK10+'30'!AK10</f>
        <v>0</v>
      </c>
      <c r="AL10" s="66">
        <f t="shared" si="2"/>
        <v>0</v>
      </c>
      <c r="AM10" s="28" t="str">
        <f t="shared" si="3"/>
        <v>OK</v>
      </c>
    </row>
    <row r="11" spans="1:39" customFormat="1" hidden="1">
      <c r="A11" s="17" t="s">
        <v>120</v>
      </c>
      <c r="B11" s="77">
        <v>19445</v>
      </c>
      <c r="C11" s="17" t="s">
        <v>116</v>
      </c>
      <c r="D11" s="69"/>
      <c r="E11" s="18"/>
      <c r="F11" s="18"/>
      <c r="G11" s="19"/>
      <c r="H11" s="20">
        <f>+'1'!H11+'3'!H11+'2'!H11+'6'!H11+'5'!H11+'4'!H11+'8'!H11+'7'!H11+'10'!H11+'9'!H11+'11'!H11+'12'!H11+'13'!H11+'15'!H11+'14'!H11+'16'!H11+'17'!H11+'19'!H11+'20'!H11+'22'!H11+'18'!H11+'21'!H11+'25'!H11+'23'!H11+'26'!H11+'24'!H11+'28'!H11+'27'!H11+'29'!H11+'31'!H11+'30'!H11</f>
        <v>0</v>
      </c>
      <c r="I11" s="21">
        <f>+'1'!I11+'3'!I11+'2'!I11+'6'!I11+'5'!I11+'4'!I11+'8'!I11+'7'!I11+'10'!I11+'9'!I11+'11'!I11+'12'!I11+'13'!I11+'15'!I11+'14'!I11+'16'!I11+'17'!I11+'19'!I11+'20'!I11+'22'!I11+'18'!I11+'21'!I11+'25'!I11+'23'!I11+'26'!I11+'24'!I11+'28'!I11+'27'!I11+'29'!I11+'31'!I11+'30'!I11</f>
        <v>0</v>
      </c>
      <c r="J11" s="21"/>
      <c r="K11" s="16"/>
      <c r="L11" s="21">
        <f>+'1'!L11+'3'!L11+'2'!L11+'6'!L11+'5'!L11+'4'!L11+'8'!L11+'7'!L11+'10'!L11+'9'!L11+'11'!L11+'12'!L11+'13'!L11+'15'!L11+'14'!L11+'16'!L11+'17'!L11+'19'!L11+'20'!L11+'22'!L11+'18'!L11+'21'!L11+'25'!L11+'23'!L11+'26'!L11+'24'!L11+'28'!L11+'27'!L11+'29'!L11+'31'!L11+'30'!L11</f>
        <v>0</v>
      </c>
      <c r="M11" s="21">
        <f>+'1'!M11+'3'!M11+'2'!M11+'6'!M11+'5'!M11+'4'!M11+'8'!M11+'7'!M11+'10'!M11+'9'!M11+'11'!M11+'12'!M11+'13'!M11+'15'!M11+'14'!M11+'16'!M11+'17'!M11+'19'!M11+'20'!M11+'22'!M11+'18'!M11+'21'!M11+'25'!M11+'23'!M11+'26'!M11+'24'!M11+'28'!M11+'27'!M11+'29'!M11+'31'!M11+'30'!M11</f>
        <v>0</v>
      </c>
      <c r="N11" s="21">
        <f>+'1'!N11+'3'!N11+'2'!N11+'6'!N11+'5'!N11+'4'!N11+'8'!N11+'7'!N11+'10'!N11+'9'!N11+'11'!N11+'12'!N11+'13'!N11+'15'!N11+'14'!N11+'16'!N11+'17'!N11+'19'!N11+'20'!N11+'22'!N11+'18'!N11+'21'!N11+'25'!N11+'23'!N11+'26'!N11+'24'!N11+'28'!N11+'27'!N11+'29'!N11+'31'!N11+'30'!N11</f>
        <v>0</v>
      </c>
      <c r="O11" s="21">
        <f>+'1'!O11+'3'!O11+'2'!O11+'6'!O11+'5'!O11+'4'!O11+'8'!O11+'7'!O11+'10'!O11+'9'!O11+'11'!O11+'12'!O11+'13'!O11+'15'!O11+'14'!O11+'16'!O11+'17'!O11+'19'!O11+'20'!O11+'22'!O11+'18'!O11+'21'!O11+'25'!O11+'23'!O11+'26'!O11+'24'!O11+'28'!O11+'27'!O11+'29'!O11+'31'!O11+'30'!O11</f>
        <v>0</v>
      </c>
      <c r="P11" s="21">
        <f>+'1'!P11+'3'!P11+'2'!P11+'6'!P11+'5'!P11+'4'!P11+'8'!P11+'7'!P11+'10'!P11+'9'!P11+'11'!P11+'12'!P11+'13'!P11+'15'!P11+'14'!P11+'16'!P11+'17'!P11+'19'!P11+'20'!P11+'22'!P11+'18'!P11+'21'!P11+'25'!P11+'23'!P11+'26'!P11+'24'!P11+'28'!P11+'27'!P11+'29'!P11+'31'!P11+'30'!P11</f>
        <v>0</v>
      </c>
      <c r="Q11" s="21">
        <f>+'1'!Q11+'3'!Q11+'2'!Q11+'6'!Q11+'5'!Q11+'4'!Q11+'8'!Q11+'7'!Q11+'10'!Q11+'9'!Q11+'11'!Q11+'12'!Q11+'13'!Q11+'15'!Q11+'14'!Q11+'16'!Q11+'17'!Q11+'19'!Q11+'20'!Q11+'22'!Q11+'18'!Q11+'21'!Q11+'25'!Q11+'23'!Q11+'26'!Q11+'24'!Q11+'28'!Q11+'27'!Q11+'29'!Q11+'31'!Q11+'30'!Q11</f>
        <v>0</v>
      </c>
      <c r="R11" s="21">
        <f>+'1'!R11+'3'!R11+'2'!R11+'6'!R11+'5'!R11+'4'!R11+'8'!R11+'7'!R11+'10'!R11+'9'!R11+'11'!R11+'12'!R11+'13'!R11+'15'!R11+'14'!R11+'16'!R11+'17'!R11+'19'!R11+'20'!R11+'22'!R11+'18'!R11+'21'!R11+'25'!R11+'23'!R11+'26'!R11+'24'!R11+'28'!R11+'27'!R11+'29'!R11+'31'!R11+'30'!R11</f>
        <v>0</v>
      </c>
      <c r="S11" s="21">
        <f>+'1'!S11+'3'!S11+'2'!S11+'6'!S11+'5'!S11+'4'!S11+'8'!S11+'7'!S11+'10'!S11+'9'!S11+'11'!S11+'12'!S11+'13'!S11+'15'!S11+'14'!S11+'16'!S11+'17'!S11+'19'!S11+'20'!S11+'22'!S11+'18'!S11+'21'!S11+'25'!S11+'23'!S11+'26'!S11+'24'!S11+'28'!S11+'27'!S11+'29'!S11+'31'!S11+'30'!S11</f>
        <v>0</v>
      </c>
      <c r="T11" s="42">
        <f>+'1'!T11+'3'!T11+'2'!T11+'6'!T11+'5'!T11+'4'!T11+'8'!T11+'7'!T11+'10'!T11+'9'!T11+'11'!T11+'12'!T11+'13'!T11+'15'!T11+'14'!T11+'16'!T11+'17'!T11+'19'!T11+'20'!T11+'22'!T11+'18'!T11+'21'!T11+'25'!T11+'23'!T11+'26'!T11+'24'!T11+'28'!T11+'27'!T11+'29'!T11+'31'!T11+'30'!T11</f>
        <v>0</v>
      </c>
      <c r="U11" s="51">
        <f>+'1'!U11+'3'!U11+'2'!U11+'6'!U11+'5'!U11+'4'!U11+'8'!U11+'7'!U11+'10'!U11+'9'!U11+'11'!U11+'12'!U11+'13'!U11+'15'!U11+'14'!U11+'16'!U11+'17'!U11+'19'!U11+'20'!U11+'22'!U11+'18'!U11+'21'!U11+'25'!U11+'23'!U11+'26'!U11+'24'!U11+'28'!U11+'27'!U11+'29'!U11+'31'!U11+'30'!U11</f>
        <v>0</v>
      </c>
      <c r="V11" s="51">
        <f>+'1'!V11+'3'!V11+'2'!V11+'6'!V11+'5'!V11+'4'!V11+'8'!V11+'7'!V11+'10'!V11+'9'!V11+'11'!V11+'12'!V11+'13'!V11+'15'!V11+'14'!V11+'16'!V11+'17'!V11+'19'!V11+'20'!V11+'22'!V11+'18'!V11+'21'!V11+'25'!V11+'23'!V11+'26'!V11+'24'!V11+'28'!V11+'27'!V11+'29'!V11+'31'!V11+'30'!V11</f>
        <v>0</v>
      </c>
      <c r="W11" s="51">
        <f>+'1'!W11+'3'!W11+'2'!W11+'6'!W11+'5'!W11+'4'!W11+'8'!W11+'7'!W11+'10'!W11+'9'!W11+'11'!W11+'12'!W11+'13'!W11+'15'!W11+'14'!W11+'16'!W11+'17'!W11+'19'!W11+'20'!W11+'22'!W11+'18'!W11+'21'!W11+'25'!W11+'23'!W11+'26'!W11+'24'!W11+'28'!W11+'27'!W11+'29'!W11+'31'!W11+'30'!W11</f>
        <v>0</v>
      </c>
      <c r="X11" s="51">
        <f>+'1'!X11+'3'!X11+'2'!X11+'6'!X11+'5'!X11+'4'!X11+'8'!X11+'7'!X11+'10'!X11+'9'!X11+'11'!X11+'12'!X11+'13'!X11+'15'!X11+'14'!X11+'16'!X11+'17'!X11+'19'!X11+'20'!X11+'22'!X11+'18'!X11+'21'!X11+'25'!X11+'23'!X11+'26'!X11+'24'!X11+'28'!X11+'27'!X11+'29'!X11+'31'!X11+'30'!X11</f>
        <v>0</v>
      </c>
      <c r="Y11" s="51">
        <f>+'1'!Y11+'3'!Y11+'2'!Y11+'6'!Y11+'5'!Y11+'4'!Y11+'8'!Y11+'7'!Y11+'10'!Y11+'9'!Y11+'11'!Y11+'12'!Y11+'13'!Y11+'15'!Y11+'14'!Y11+'16'!Y11+'17'!Y11+'19'!Y11+'20'!Y11+'22'!Y11+'18'!Y11+'21'!Y11+'25'!Y11+'23'!Y11+'26'!Y11+'24'!Y11+'28'!Y11+'27'!Y11+'29'!Y11+'31'!Y11+'30'!Y11</f>
        <v>0</v>
      </c>
      <c r="Z11" s="51">
        <f>+'1'!Z11+'3'!Z11+'2'!Z11+'6'!Z11+'5'!Z11+'4'!Z11+'8'!Z11+'7'!Z11+'10'!Z11+'9'!Z11+'11'!Z11+'12'!Z11+'13'!Z11+'15'!Z11+'14'!Z11+'16'!Z11+'17'!Z11+'19'!Z11+'20'!Z11+'22'!Z11+'18'!Z11+'21'!Z11+'25'!Z11+'23'!Z11+'26'!Z11+'24'!Z11+'28'!Z11+'27'!Z11+'29'!Z11+'31'!Z11+'30'!Z11</f>
        <v>0</v>
      </c>
      <c r="AA11" s="51">
        <f>+'1'!AA11+'3'!AA11+'2'!AA11+'6'!AA11+'5'!AA11+'4'!AA11+'8'!AA11+'7'!AA11+'10'!AA11+'9'!AA11+'11'!AA11+'12'!AA11+'13'!AA11+'15'!AA11+'14'!AA11+'16'!AA11+'17'!AA11+'19'!AA11+'20'!AA11+'22'!AA11+'18'!AA11+'21'!AA11+'25'!AA11+'23'!AA11+'26'!AA11+'24'!AA11+'28'!AA11+'27'!AA11+'29'!AA11+'31'!AA11+'30'!AA11</f>
        <v>0</v>
      </c>
      <c r="AB11" s="51">
        <f>+'1'!AB11+'3'!AB11+'2'!AB11+'6'!AB11+'5'!AB11+'4'!AB11+'8'!AB11+'7'!AB11+'10'!AB11+'9'!AB11+'11'!AB11+'12'!AB11+'13'!AB11+'15'!AB11+'14'!AB11+'16'!AB11+'17'!AB11+'19'!AB11+'20'!AB11+'22'!AB11+'18'!AB11+'21'!AB11+'25'!AB11+'23'!AB11+'26'!AB11+'24'!AB11+'28'!AB11+'27'!AB11+'29'!AB11+'31'!AB11+'30'!AB11</f>
        <v>0</v>
      </c>
      <c r="AC11" s="51">
        <f>+'1'!AC11+'3'!AC11+'2'!AC11+'6'!AC11+'5'!AC11+'4'!AC11+'8'!AC11+'7'!AC11+'10'!AC11+'9'!AC11+'11'!AC11+'12'!AC11+'13'!AC11+'15'!AC11+'14'!AC11+'16'!AC11+'17'!AC11+'19'!AC11+'20'!AC11+'22'!AC11+'18'!AC11+'21'!AC11+'25'!AC11+'23'!AC11+'26'!AC11+'24'!AC11+'28'!AC11+'27'!AC11+'29'!AC11+'31'!AC11+'30'!AC11</f>
        <v>0</v>
      </c>
      <c r="AD11" s="51">
        <f>+'1'!AD11+'3'!AD11+'2'!AD11+'6'!AD11+'5'!AD11+'4'!AD11+'8'!AD11+'7'!AD11+'10'!AD11+'9'!AD11+'11'!AD11+'12'!AD11+'13'!AD11+'15'!AD11+'14'!AD11+'16'!AD11+'17'!AD11+'19'!AD11+'20'!AD11+'22'!AD11+'18'!AD11+'21'!AD11+'25'!AD11+'23'!AD11+'26'!AD11+'24'!AD11+'28'!AD11+'27'!AD11+'29'!AD11+'31'!AD11+'30'!AD11</f>
        <v>0</v>
      </c>
      <c r="AE11" s="51">
        <f>+'1'!AE11+'3'!AE11+'2'!AE11+'6'!AE11+'5'!AE11+'4'!AE11+'8'!AE11+'7'!AE11+'10'!AE11+'9'!AE11+'11'!AE11+'12'!AE11+'13'!AE11+'15'!AE11+'14'!AE11+'16'!AE11+'17'!AE11+'19'!AE11+'20'!AE11+'22'!AE11+'18'!AE11+'21'!AE11+'25'!AE11+'23'!AE11+'26'!AE11+'24'!AE11+'28'!AE11+'27'!AE11+'29'!AE11+'31'!AE11+'30'!AE11</f>
        <v>0</v>
      </c>
      <c r="AF11" s="51">
        <f>+'1'!AF11+'3'!AF11+'2'!AF11+'6'!AF11+'5'!AF11+'4'!AF11+'8'!AF11+'7'!AF11+'10'!AF11+'9'!AF11+'11'!AF11+'12'!AF11+'13'!AF11+'15'!AF11+'14'!AF11+'16'!AF11+'17'!AF11+'19'!AF11+'20'!AF11+'22'!AF11+'18'!AF11+'21'!AF11+'25'!AF11+'23'!AF11+'26'!AF11+'24'!AF11+'28'!AF11+'27'!AF11+'29'!AF11+'31'!AF11+'30'!AF11</f>
        <v>0</v>
      </c>
      <c r="AG11" s="51">
        <f>+'1'!AG11+'3'!AG11+'2'!AG11+'6'!AG11+'5'!AG11+'4'!AG11+'8'!AG11+'7'!AG11+'10'!AG11+'9'!AG11+'11'!AG11+'12'!AG11+'13'!AG11+'15'!AG11+'14'!AG11+'16'!AG11+'17'!AG11+'19'!AG11+'20'!AG11+'22'!AG11+'18'!AG11+'21'!AG11+'25'!AG11+'23'!AG11+'26'!AG11+'24'!AG11+'28'!AG11+'27'!AG11+'29'!AG11+'31'!AG11+'30'!AG11</f>
        <v>0</v>
      </c>
      <c r="AH11" s="51">
        <f>+'1'!AH11+'3'!AH11+'2'!AH11+'6'!AH11+'5'!AH11+'4'!AH11+'8'!AH11+'7'!AH11+'10'!AH11+'9'!AH11+'11'!AH11+'12'!AH11+'13'!AH11+'15'!AH11+'14'!AH11+'16'!AH11+'17'!AH11+'19'!AH11+'20'!AH11+'22'!AH11+'18'!AH11+'21'!AH11+'25'!AH11+'23'!AH11+'26'!AH11+'24'!AH11+'28'!AH11+'27'!AH11+'29'!AH11+'31'!AH11+'30'!AH11</f>
        <v>0</v>
      </c>
      <c r="AI11" s="54">
        <f>+'1'!AI11+'3'!AI11+'2'!AI11+'6'!AI11+'5'!AI11+'4'!AI11+'8'!AI11+'7'!AI11+'10'!AI11+'9'!AI11+'11'!AI11+'12'!AI11+'13'!AI11+'15'!AI11+'14'!AI11+'16'!AI11+'17'!AI11+'19'!AI11+'20'!AI11+'22'!AI11+'18'!AI11+'21'!AI11+'25'!AI11+'23'!AI11+'26'!AI11+'24'!AI11+'28'!AI11+'27'!AI11+'29'!AI11+'31'!AI11+'30'!AI11</f>
        <v>0</v>
      </c>
      <c r="AJ11" s="57">
        <f>+'1'!AJ11+'3'!AJ11+'2'!AJ11+'6'!AJ11+'5'!AJ11+'4'!AJ11+'8'!AJ11+'7'!AJ11+'10'!AJ11+'9'!AJ11+'11'!AJ11+'12'!AJ11+'13'!AJ11+'15'!AJ11+'14'!AJ11+'16'!AJ11+'17'!AJ11+'19'!AJ11+'20'!AJ11+'22'!AJ11+'18'!AJ11+'21'!AJ11+'25'!AJ11+'23'!AJ11+'26'!AJ11+'24'!AJ11+'28'!AJ11+'27'!AJ11+'29'!AJ11+'31'!AJ11+'30'!AJ11</f>
        <v>0</v>
      </c>
      <c r="AK11" s="54">
        <f>+'1'!AK11+'3'!AK11+'2'!AK11+'6'!AK11+'5'!AK11+'4'!AK11+'8'!AK11+'7'!AK11+'10'!AK11+'9'!AK11+'11'!AK11+'12'!AK11+'13'!AK11+'15'!AK11+'14'!AK11+'16'!AK11+'17'!AK11+'19'!AK11+'20'!AK11+'22'!AK11+'18'!AK11+'21'!AK11+'25'!AK11+'23'!AK11+'26'!AK11+'24'!AK11+'28'!AK11+'27'!AK11+'29'!AK11+'31'!AK11+'30'!AK11</f>
        <v>0</v>
      </c>
      <c r="AL11" s="65">
        <f t="shared" si="2"/>
        <v>0</v>
      </c>
      <c r="AM11" s="22" t="str">
        <f t="shared" si="3"/>
        <v>OK</v>
      </c>
    </row>
    <row r="12" spans="1:39" customFormat="1" hidden="1">
      <c r="A12" s="68" t="s">
        <v>69</v>
      </c>
      <c r="B12" s="78">
        <v>10315</v>
      </c>
      <c r="C12" s="23" t="s">
        <v>65</v>
      </c>
      <c r="D12" s="24"/>
      <c r="E12" s="24"/>
      <c r="F12" s="24"/>
      <c r="G12" s="25"/>
      <c r="H12" s="14">
        <f>+'1'!H12+'3'!H12+'2'!H12+'6'!H12+'5'!H12+'4'!H12+'8'!H12+'7'!H12+'10'!H12+'9'!H12+'11'!H12+'12'!H12+'13'!H12+'15'!H12+'14'!H12+'16'!H12+'17'!H12+'19'!H12+'20'!H12+'22'!H12+'18'!H12+'21'!H12+'25'!H12+'23'!H12+'26'!H12+'24'!H12+'28'!H12+'27'!H12+'29'!H12+'31'!H12+'30'!H12</f>
        <v>0</v>
      </c>
      <c r="I12" s="15">
        <f>+'1'!I12+'3'!I12+'2'!I12+'6'!I12+'5'!I12+'4'!I12+'8'!I12+'7'!I12+'10'!I12+'9'!I12+'11'!I12+'12'!I12+'13'!I12+'15'!I12+'14'!I12+'16'!I12+'17'!I12+'19'!I12+'20'!I12+'22'!I12+'18'!I12+'21'!I12+'25'!I12+'23'!I12+'26'!I12+'24'!I12+'28'!I12+'27'!I12+'29'!I12+'31'!I12+'30'!I12</f>
        <v>0</v>
      </c>
      <c r="J12" s="15"/>
      <c r="K12" s="16"/>
      <c r="L12" s="27">
        <f>+'1'!L12+'3'!L12+'2'!L12+'6'!L12+'5'!L12+'4'!L12+'8'!L12+'7'!L12+'10'!L12+'9'!L12+'11'!L12+'12'!L12+'13'!L12+'15'!L12+'14'!L12+'16'!L12+'17'!L12+'19'!L12+'20'!L12+'22'!L12+'18'!L12+'21'!L12+'25'!L12+'23'!L12+'26'!L12+'24'!L12+'28'!L12+'27'!L12+'29'!L12+'31'!L12+'30'!L12</f>
        <v>0</v>
      </c>
      <c r="M12" s="27">
        <f>+'1'!M12+'3'!M12+'2'!M12+'6'!M12+'5'!M12+'4'!M12+'8'!M12+'7'!M12+'10'!M12+'9'!M12+'11'!M12+'12'!M12+'13'!M12+'15'!M12+'14'!M12+'16'!M12+'17'!M12+'19'!M12+'20'!M12+'22'!M12+'18'!M12+'21'!M12+'25'!M12+'23'!M12+'26'!M12+'24'!M12+'28'!M12+'27'!M12+'29'!M12+'31'!M12+'30'!M12</f>
        <v>0</v>
      </c>
      <c r="N12" s="27">
        <f>+'1'!N12+'3'!N12+'2'!N12+'6'!N12+'5'!N12+'4'!N12+'8'!N12+'7'!N12+'10'!N12+'9'!N12+'11'!N12+'12'!N12+'13'!N12+'15'!N12+'14'!N12+'16'!N12+'17'!N12+'19'!N12+'20'!N12+'22'!N12+'18'!N12+'21'!N12+'25'!N12+'23'!N12+'26'!N12+'24'!N12+'28'!N12+'27'!N12+'29'!N12+'31'!N12+'30'!N12</f>
        <v>0</v>
      </c>
      <c r="O12" s="27">
        <f>+'1'!O12+'3'!O12+'2'!O12+'6'!O12+'5'!O12+'4'!O12+'8'!O12+'7'!O12+'10'!O12+'9'!O12+'11'!O12+'12'!O12+'13'!O12+'15'!O12+'14'!O12+'16'!O12+'17'!O12+'19'!O12+'20'!O12+'22'!O12+'18'!O12+'21'!O12+'25'!O12+'23'!O12+'26'!O12+'24'!O12+'28'!O12+'27'!O12+'29'!O12+'31'!O12+'30'!O12</f>
        <v>0</v>
      </c>
      <c r="P12" s="27">
        <f>+'1'!P12+'3'!P12+'2'!P12+'6'!P12+'5'!P12+'4'!P12+'8'!P12+'7'!P12+'10'!P12+'9'!P12+'11'!P12+'12'!P12+'13'!P12+'15'!P12+'14'!P12+'16'!P12+'17'!P12+'19'!P12+'20'!P12+'22'!P12+'18'!P12+'21'!P12+'25'!P12+'23'!P12+'26'!P12+'24'!P12+'28'!P12+'27'!P12+'29'!P12+'31'!P12+'30'!P12</f>
        <v>0</v>
      </c>
      <c r="Q12" s="27">
        <f>+'1'!Q12+'3'!Q12+'2'!Q12+'6'!Q12+'5'!Q12+'4'!Q12+'8'!Q12+'7'!Q12+'10'!Q12+'9'!Q12+'11'!Q12+'12'!Q12+'13'!Q12+'15'!Q12+'14'!Q12+'16'!Q12+'17'!Q12+'19'!Q12+'20'!Q12+'22'!Q12+'18'!Q12+'21'!Q12+'25'!Q12+'23'!Q12+'26'!Q12+'24'!Q12+'28'!Q12+'27'!Q12+'29'!Q12+'31'!Q12+'30'!Q12</f>
        <v>0</v>
      </c>
      <c r="R12" s="27">
        <f>+'1'!R12+'3'!R12+'2'!R12+'6'!R12+'5'!R12+'4'!R12+'8'!R12+'7'!R12+'10'!R12+'9'!R12+'11'!R12+'12'!R12+'13'!R12+'15'!R12+'14'!R12+'16'!R12+'17'!R12+'19'!R12+'20'!R12+'22'!R12+'18'!R12+'21'!R12+'25'!R12+'23'!R12+'26'!R12+'24'!R12+'28'!R12+'27'!R12+'29'!R12+'31'!R12+'30'!R12</f>
        <v>0</v>
      </c>
      <c r="S12" s="27">
        <f>+'1'!S12+'3'!S12+'2'!S12+'6'!S12+'5'!S12+'4'!S12+'8'!S12+'7'!S12+'10'!S12+'9'!S12+'11'!S12+'12'!S12+'13'!S12+'15'!S12+'14'!S12+'16'!S12+'17'!S12+'19'!S12+'20'!S12+'22'!S12+'18'!S12+'21'!S12+'25'!S12+'23'!S12+'26'!S12+'24'!S12+'28'!S12+'27'!S12+'29'!S12+'31'!S12+'30'!S12</f>
        <v>0</v>
      </c>
      <c r="T12" s="43">
        <f>+'1'!T12+'3'!T12+'2'!T12+'6'!T12+'5'!T12+'4'!T12+'8'!T12+'7'!T12+'10'!T12+'9'!T12+'11'!T12+'12'!T12+'13'!T12+'15'!T12+'14'!T12+'16'!T12+'17'!T12+'19'!T12+'20'!T12+'22'!T12+'18'!T12+'21'!T12+'25'!T12+'23'!T12+'26'!T12+'24'!T12+'28'!T12+'27'!T12+'29'!T12+'31'!T12+'30'!T12</f>
        <v>0</v>
      </c>
      <c r="U12" s="52">
        <f>+'1'!U12+'3'!U12+'2'!U12+'6'!U12+'5'!U12+'4'!U12+'8'!U12+'7'!U12+'10'!U12+'9'!U12+'11'!U12+'12'!U12+'13'!U12+'15'!U12+'14'!U12+'16'!U12+'17'!U12+'19'!U12+'20'!U12+'22'!U12+'18'!U12+'21'!U12+'25'!U12+'23'!U12+'26'!U12+'24'!U12+'28'!U12+'27'!U12+'29'!U12+'31'!U12+'30'!U12</f>
        <v>0</v>
      </c>
      <c r="V12" s="52">
        <f>+'1'!V12+'3'!V12+'2'!V12+'6'!V12+'5'!V12+'4'!V12+'8'!V12+'7'!V12+'10'!V12+'9'!V12+'11'!V12+'12'!V12+'13'!V12+'15'!V12+'14'!V12+'16'!V12+'17'!V12+'19'!V12+'20'!V12+'22'!V12+'18'!V12+'21'!V12+'25'!V12+'23'!V12+'26'!V12+'24'!V12+'28'!V12+'27'!V12+'29'!V12+'31'!V12+'30'!V12</f>
        <v>0</v>
      </c>
      <c r="W12" s="52">
        <f>+'1'!W12+'3'!W12+'2'!W12+'6'!W12+'5'!W12+'4'!W12+'8'!W12+'7'!W12+'10'!W12+'9'!W12+'11'!W12+'12'!W12+'13'!W12+'15'!W12+'14'!W12+'16'!W12+'17'!W12+'19'!W12+'20'!W12+'22'!W12+'18'!W12+'21'!W12+'25'!W12+'23'!W12+'26'!W12+'24'!W12+'28'!W12+'27'!W12+'29'!W12+'31'!W12+'30'!W12</f>
        <v>0</v>
      </c>
      <c r="X12" s="52">
        <f>+'1'!X12+'3'!X12+'2'!X12+'6'!X12+'5'!X12+'4'!X12+'8'!X12+'7'!X12+'10'!X12+'9'!X12+'11'!X12+'12'!X12+'13'!X12+'15'!X12+'14'!X12+'16'!X12+'17'!X12+'19'!X12+'20'!X12+'22'!X12+'18'!X12+'21'!X12+'25'!X12+'23'!X12+'26'!X12+'24'!X12+'28'!X12+'27'!X12+'29'!X12+'31'!X12+'30'!X12</f>
        <v>0</v>
      </c>
      <c r="Y12" s="52">
        <f>+'1'!Y12+'3'!Y12+'2'!Y12+'6'!Y12+'5'!Y12+'4'!Y12+'8'!Y12+'7'!Y12+'10'!Y12+'9'!Y12+'11'!Y12+'12'!Y12+'13'!Y12+'15'!Y12+'14'!Y12+'16'!Y12+'17'!Y12+'19'!Y12+'20'!Y12+'22'!Y12+'18'!Y12+'21'!Y12+'25'!Y12+'23'!Y12+'26'!Y12+'24'!Y12+'28'!Y12+'27'!Y12+'29'!Y12+'31'!Y12+'30'!Y12</f>
        <v>0</v>
      </c>
      <c r="Z12" s="52">
        <f>+'1'!Z12+'3'!Z12+'2'!Z12+'6'!Z12+'5'!Z12+'4'!Z12+'8'!Z12+'7'!Z12+'10'!Z12+'9'!Z12+'11'!Z12+'12'!Z12+'13'!Z12+'15'!Z12+'14'!Z12+'16'!Z12+'17'!Z12+'19'!Z12+'20'!Z12+'22'!Z12+'18'!Z12+'21'!Z12+'25'!Z12+'23'!Z12+'26'!Z12+'24'!Z12+'28'!Z12+'27'!Z12+'29'!Z12+'31'!Z12+'30'!Z12</f>
        <v>0</v>
      </c>
      <c r="AA12" s="52">
        <f>+'1'!AA12+'3'!AA12+'2'!AA12+'6'!AA12+'5'!AA12+'4'!AA12+'8'!AA12+'7'!AA12+'10'!AA12+'9'!AA12+'11'!AA12+'12'!AA12+'13'!AA12+'15'!AA12+'14'!AA12+'16'!AA12+'17'!AA12+'19'!AA12+'20'!AA12+'22'!AA12+'18'!AA12+'21'!AA12+'25'!AA12+'23'!AA12+'26'!AA12+'24'!AA12+'28'!AA12+'27'!AA12+'29'!AA12+'31'!AA12+'30'!AA12</f>
        <v>0</v>
      </c>
      <c r="AB12" s="52">
        <f>+'1'!AB12+'3'!AB12+'2'!AB12+'6'!AB12+'5'!AB12+'4'!AB12+'8'!AB12+'7'!AB12+'10'!AB12+'9'!AB12+'11'!AB12+'12'!AB12+'13'!AB12+'15'!AB12+'14'!AB12+'16'!AB12+'17'!AB12+'19'!AB12+'20'!AB12+'22'!AB12+'18'!AB12+'21'!AB12+'25'!AB12+'23'!AB12+'26'!AB12+'24'!AB12+'28'!AB12+'27'!AB12+'29'!AB12+'31'!AB12+'30'!AB12</f>
        <v>0</v>
      </c>
      <c r="AC12" s="52">
        <f>+'1'!AC12+'3'!AC12+'2'!AC12+'6'!AC12+'5'!AC12+'4'!AC12+'8'!AC12+'7'!AC12+'10'!AC12+'9'!AC12+'11'!AC12+'12'!AC12+'13'!AC12+'15'!AC12+'14'!AC12+'16'!AC12+'17'!AC12+'19'!AC12+'20'!AC12+'22'!AC12+'18'!AC12+'21'!AC12+'25'!AC12+'23'!AC12+'26'!AC12+'24'!AC12+'28'!AC12+'27'!AC12+'29'!AC12+'31'!AC12+'30'!AC12</f>
        <v>0</v>
      </c>
      <c r="AD12" s="52">
        <f>+'1'!AD12+'3'!AD12+'2'!AD12+'6'!AD12+'5'!AD12+'4'!AD12+'8'!AD12+'7'!AD12+'10'!AD12+'9'!AD12+'11'!AD12+'12'!AD12+'13'!AD12+'15'!AD12+'14'!AD12+'16'!AD12+'17'!AD12+'19'!AD12+'20'!AD12+'22'!AD12+'18'!AD12+'21'!AD12+'25'!AD12+'23'!AD12+'26'!AD12+'24'!AD12+'28'!AD12+'27'!AD12+'29'!AD12+'31'!AD12+'30'!AD12</f>
        <v>0</v>
      </c>
      <c r="AE12" s="52">
        <f>+'1'!AE12+'3'!AE12+'2'!AE12+'6'!AE12+'5'!AE12+'4'!AE12+'8'!AE12+'7'!AE12+'10'!AE12+'9'!AE12+'11'!AE12+'12'!AE12+'13'!AE12+'15'!AE12+'14'!AE12+'16'!AE12+'17'!AE12+'19'!AE12+'20'!AE12+'22'!AE12+'18'!AE12+'21'!AE12+'25'!AE12+'23'!AE12+'26'!AE12+'24'!AE12+'28'!AE12+'27'!AE12+'29'!AE12+'31'!AE12+'30'!AE12</f>
        <v>0</v>
      </c>
      <c r="AF12" s="52">
        <f>+'1'!AF12+'3'!AF12+'2'!AF12+'6'!AF12+'5'!AF12+'4'!AF12+'8'!AF12+'7'!AF12+'10'!AF12+'9'!AF12+'11'!AF12+'12'!AF12+'13'!AF12+'15'!AF12+'14'!AF12+'16'!AF12+'17'!AF12+'19'!AF12+'20'!AF12+'22'!AF12+'18'!AF12+'21'!AF12+'25'!AF12+'23'!AF12+'26'!AF12+'24'!AF12+'28'!AF12+'27'!AF12+'29'!AF12+'31'!AF12+'30'!AF12</f>
        <v>0</v>
      </c>
      <c r="AG12" s="52">
        <f>+'1'!AG12+'3'!AG12+'2'!AG12+'6'!AG12+'5'!AG12+'4'!AG12+'8'!AG12+'7'!AG12+'10'!AG12+'9'!AG12+'11'!AG12+'12'!AG12+'13'!AG12+'15'!AG12+'14'!AG12+'16'!AG12+'17'!AG12+'19'!AG12+'20'!AG12+'22'!AG12+'18'!AG12+'21'!AG12+'25'!AG12+'23'!AG12+'26'!AG12+'24'!AG12+'28'!AG12+'27'!AG12+'29'!AG12+'31'!AG12+'30'!AG12</f>
        <v>0</v>
      </c>
      <c r="AH12" s="52">
        <f>+'1'!AH12+'3'!AH12+'2'!AH12+'6'!AH12+'5'!AH12+'4'!AH12+'8'!AH12+'7'!AH12+'10'!AH12+'9'!AH12+'11'!AH12+'12'!AH12+'13'!AH12+'15'!AH12+'14'!AH12+'16'!AH12+'17'!AH12+'19'!AH12+'20'!AH12+'22'!AH12+'18'!AH12+'21'!AH12+'25'!AH12+'23'!AH12+'26'!AH12+'24'!AH12+'28'!AH12+'27'!AH12+'29'!AH12+'31'!AH12+'30'!AH12</f>
        <v>0</v>
      </c>
      <c r="AI12" s="55">
        <f>+'1'!AI12+'3'!AI12+'2'!AI12+'6'!AI12+'5'!AI12+'4'!AI12+'8'!AI12+'7'!AI12+'10'!AI12+'9'!AI12+'11'!AI12+'12'!AI12+'13'!AI12+'15'!AI12+'14'!AI12+'16'!AI12+'17'!AI12+'19'!AI12+'20'!AI12+'22'!AI12+'18'!AI12+'21'!AI12+'25'!AI12+'23'!AI12+'26'!AI12+'24'!AI12+'28'!AI12+'27'!AI12+'29'!AI12+'31'!AI12+'30'!AI12</f>
        <v>0</v>
      </c>
      <c r="AJ12" s="58">
        <f>+'1'!AJ12+'3'!AJ12+'2'!AJ12+'6'!AJ12+'5'!AJ12+'4'!AJ12+'8'!AJ12+'7'!AJ12+'10'!AJ12+'9'!AJ12+'11'!AJ12+'12'!AJ12+'13'!AJ12+'15'!AJ12+'14'!AJ12+'16'!AJ12+'17'!AJ12+'19'!AJ12+'20'!AJ12+'22'!AJ12+'18'!AJ12+'21'!AJ12+'25'!AJ12+'23'!AJ12+'26'!AJ12+'24'!AJ12+'28'!AJ12+'27'!AJ12+'29'!AJ12+'31'!AJ12+'30'!AJ12</f>
        <v>0</v>
      </c>
      <c r="AK12" s="55">
        <f>+'1'!AK12+'3'!AK12+'2'!AK12+'6'!AK12+'5'!AK12+'4'!AK12+'8'!AK12+'7'!AK12+'10'!AK12+'9'!AK12+'11'!AK12+'12'!AK12+'13'!AK12+'15'!AK12+'14'!AK12+'16'!AK12+'17'!AK12+'19'!AK12+'20'!AK12+'22'!AK12+'18'!AK12+'21'!AK12+'25'!AK12+'23'!AK12+'26'!AK12+'24'!AK12+'28'!AK12+'27'!AK12+'29'!AK12+'31'!AK12+'30'!AK12</f>
        <v>0</v>
      </c>
      <c r="AL12" s="66">
        <f t="shared" si="2"/>
        <v>0</v>
      </c>
      <c r="AM12" s="28" t="str">
        <f t="shared" si="3"/>
        <v>OK</v>
      </c>
    </row>
    <row r="13" spans="1:39" customFormat="1" hidden="1">
      <c r="A13" s="80" t="s">
        <v>89</v>
      </c>
      <c r="B13" s="77">
        <v>14961</v>
      </c>
      <c r="C13" s="17" t="s">
        <v>65</v>
      </c>
      <c r="D13" s="69"/>
      <c r="E13" s="18"/>
      <c r="F13" s="18"/>
      <c r="G13" s="19"/>
      <c r="H13" s="20">
        <f>+'1'!H13+'3'!H13+'2'!H13+'6'!H13+'5'!H13+'4'!H13+'8'!H13+'7'!H13+'10'!H13+'9'!H13+'11'!H13+'12'!H13+'13'!H13+'15'!H13+'14'!H13+'16'!H13+'17'!H13+'19'!H13+'20'!H13+'22'!H13+'18'!H13+'21'!H13+'25'!H13+'23'!H13+'26'!H13+'24'!H13+'28'!H13+'27'!H13+'29'!H13+'31'!H13+'30'!H13</f>
        <v>0</v>
      </c>
      <c r="I13" s="21">
        <f>+'1'!I13+'3'!I13+'2'!I13+'6'!I13+'5'!I13+'4'!I13+'8'!I13+'7'!I13+'10'!I13+'9'!I13+'11'!I13+'12'!I13+'13'!I13+'15'!I13+'14'!I13+'16'!I13+'17'!I13+'19'!I13+'20'!I13+'22'!I13+'18'!I13+'21'!I13+'25'!I13+'23'!I13+'26'!I13+'24'!I13+'28'!I13+'27'!I13+'29'!I13+'31'!I13+'30'!I13</f>
        <v>0</v>
      </c>
      <c r="J13" s="21"/>
      <c r="K13" s="16"/>
      <c r="L13" s="21">
        <f>+'1'!L13+'3'!L13+'2'!L13+'6'!L13+'5'!L13+'4'!L13+'8'!L13+'7'!L13+'10'!L13+'9'!L13+'11'!L13+'12'!L13+'13'!L13+'15'!L13+'14'!L13+'16'!L13+'17'!L13+'19'!L13+'20'!L13+'22'!L13+'18'!L13+'21'!L13+'25'!L13+'23'!L13+'26'!L13+'24'!L13+'28'!L13+'27'!L13+'29'!L13+'31'!L13+'30'!L13</f>
        <v>0</v>
      </c>
      <c r="M13" s="21">
        <f>+'1'!M13+'3'!M13+'2'!M13+'6'!M13+'5'!M13+'4'!M13+'8'!M13+'7'!M13+'10'!M13+'9'!M13+'11'!M13+'12'!M13+'13'!M13+'15'!M13+'14'!M13+'16'!M13+'17'!M13+'19'!M13+'20'!M13+'22'!M13+'18'!M13+'21'!M13+'25'!M13+'23'!M13+'26'!M13+'24'!M13+'28'!M13+'27'!M13+'29'!M13+'31'!M13+'30'!M13</f>
        <v>0</v>
      </c>
      <c r="N13" s="21">
        <f>+'1'!N13+'3'!N13+'2'!N13+'6'!N13+'5'!N13+'4'!N13+'8'!N13+'7'!N13+'10'!N13+'9'!N13+'11'!N13+'12'!N13+'13'!N13+'15'!N13+'14'!N13+'16'!N13+'17'!N13+'19'!N13+'20'!N13+'22'!N13+'18'!N13+'21'!N13+'25'!N13+'23'!N13+'26'!N13+'24'!N13+'28'!N13+'27'!N13+'29'!N13+'31'!N13+'30'!N13</f>
        <v>0</v>
      </c>
      <c r="O13" s="21">
        <f>+'1'!O13+'3'!O13+'2'!O13+'6'!O13+'5'!O13+'4'!O13+'8'!O13+'7'!O13+'10'!O13+'9'!O13+'11'!O13+'12'!O13+'13'!O13+'15'!O13+'14'!O13+'16'!O13+'17'!O13+'19'!O13+'20'!O13+'22'!O13+'18'!O13+'21'!O13+'25'!O13+'23'!O13+'26'!O13+'24'!O13+'28'!O13+'27'!O13+'29'!O13+'31'!O13+'30'!O13</f>
        <v>0</v>
      </c>
      <c r="P13" s="21">
        <f>+'1'!P13+'3'!P13+'2'!P13+'6'!P13+'5'!P13+'4'!P13+'8'!P13+'7'!P13+'10'!P13+'9'!P13+'11'!P13+'12'!P13+'13'!P13+'15'!P13+'14'!P13+'16'!P13+'17'!P13+'19'!P13+'20'!P13+'22'!P13+'18'!P13+'21'!P13+'25'!P13+'23'!P13+'26'!P13+'24'!P13+'28'!P13+'27'!P13+'29'!P13+'31'!P13+'30'!P13</f>
        <v>0</v>
      </c>
      <c r="Q13" s="21">
        <f>+'1'!Q13+'3'!Q13+'2'!Q13+'6'!Q13+'5'!Q13+'4'!Q13+'8'!Q13+'7'!Q13+'10'!Q13+'9'!Q13+'11'!Q13+'12'!Q13+'13'!Q13+'15'!Q13+'14'!Q13+'16'!Q13+'17'!Q13+'19'!Q13+'20'!Q13+'22'!Q13+'18'!Q13+'21'!Q13+'25'!Q13+'23'!Q13+'26'!Q13+'24'!Q13+'28'!Q13+'27'!Q13+'29'!Q13+'31'!Q13+'30'!Q13</f>
        <v>0</v>
      </c>
      <c r="R13" s="21">
        <f>+'1'!R13+'3'!R13+'2'!R13+'6'!R13+'5'!R13+'4'!R13+'8'!R13+'7'!R13+'10'!R13+'9'!R13+'11'!R13+'12'!R13+'13'!R13+'15'!R13+'14'!R13+'16'!R13+'17'!R13+'19'!R13+'20'!R13+'22'!R13+'18'!R13+'21'!R13+'25'!R13+'23'!R13+'26'!R13+'24'!R13+'28'!R13+'27'!R13+'29'!R13+'31'!R13+'30'!R13</f>
        <v>0</v>
      </c>
      <c r="S13" s="21">
        <f>+'1'!S13+'3'!S13+'2'!S13+'6'!S13+'5'!S13+'4'!S13+'8'!S13+'7'!S13+'10'!S13+'9'!S13+'11'!S13+'12'!S13+'13'!S13+'15'!S13+'14'!S13+'16'!S13+'17'!S13+'19'!S13+'20'!S13+'22'!S13+'18'!S13+'21'!S13+'25'!S13+'23'!S13+'26'!S13+'24'!S13+'28'!S13+'27'!S13+'29'!S13+'31'!S13+'30'!S13</f>
        <v>0</v>
      </c>
      <c r="T13" s="42">
        <f>+'1'!T13+'3'!T13+'2'!T13+'6'!T13+'5'!T13+'4'!T13+'8'!T13+'7'!T13+'10'!T13+'9'!T13+'11'!T13+'12'!T13+'13'!T13+'15'!T13+'14'!T13+'16'!T13+'17'!T13+'19'!T13+'20'!T13+'22'!T13+'18'!T13+'21'!T13+'25'!T13+'23'!T13+'26'!T13+'24'!T13+'28'!T13+'27'!T13+'29'!T13+'31'!T13+'30'!T13</f>
        <v>0</v>
      </c>
      <c r="U13" s="51">
        <f>+'1'!U13+'3'!U13+'2'!U13+'6'!U13+'5'!U13+'4'!U13+'8'!U13+'7'!U13+'10'!U13+'9'!U13+'11'!U13+'12'!U13+'13'!U13+'15'!U13+'14'!U13+'16'!U13+'17'!U13+'19'!U13+'20'!U13+'22'!U13+'18'!U13+'21'!U13+'25'!U13+'23'!U13+'26'!U13+'24'!U13+'28'!U13+'27'!U13+'29'!U13+'31'!U13+'30'!U13</f>
        <v>0</v>
      </c>
      <c r="V13" s="51">
        <f>+'1'!V13+'3'!V13+'2'!V13+'6'!V13+'5'!V13+'4'!V13+'8'!V13+'7'!V13+'10'!V13+'9'!V13+'11'!V13+'12'!V13+'13'!V13+'15'!V13+'14'!V13+'16'!V13+'17'!V13+'19'!V13+'20'!V13+'22'!V13+'18'!V13+'21'!V13+'25'!V13+'23'!V13+'26'!V13+'24'!V13+'28'!V13+'27'!V13+'29'!V13+'31'!V13+'30'!V13</f>
        <v>0</v>
      </c>
      <c r="W13" s="51">
        <f>+'1'!W13+'3'!W13+'2'!W13+'6'!W13+'5'!W13+'4'!W13+'8'!W13+'7'!W13+'10'!W13+'9'!W13+'11'!W13+'12'!W13+'13'!W13+'15'!W13+'14'!W13+'16'!W13+'17'!W13+'19'!W13+'20'!W13+'22'!W13+'18'!W13+'21'!W13+'25'!W13+'23'!W13+'26'!W13+'24'!W13+'28'!W13+'27'!W13+'29'!W13+'31'!W13+'30'!W13</f>
        <v>0</v>
      </c>
      <c r="X13" s="51">
        <f>+'1'!X13+'3'!X13+'2'!X13+'6'!X13+'5'!X13+'4'!X13+'8'!X13+'7'!X13+'10'!X13+'9'!X13+'11'!X13+'12'!X13+'13'!X13+'15'!X13+'14'!X13+'16'!X13+'17'!X13+'19'!X13+'20'!X13+'22'!X13+'18'!X13+'21'!X13+'25'!X13+'23'!X13+'26'!X13+'24'!X13+'28'!X13+'27'!X13+'29'!X13+'31'!X13+'30'!X13</f>
        <v>0</v>
      </c>
      <c r="Y13" s="51">
        <f>+'1'!Y13+'3'!Y13+'2'!Y13+'6'!Y13+'5'!Y13+'4'!Y13+'8'!Y13+'7'!Y13+'10'!Y13+'9'!Y13+'11'!Y13+'12'!Y13+'13'!Y13+'15'!Y13+'14'!Y13+'16'!Y13+'17'!Y13+'19'!Y13+'20'!Y13+'22'!Y13+'18'!Y13+'21'!Y13+'25'!Y13+'23'!Y13+'26'!Y13+'24'!Y13+'28'!Y13+'27'!Y13+'29'!Y13+'31'!Y13+'30'!Y13</f>
        <v>0</v>
      </c>
      <c r="Z13" s="51">
        <f>+'1'!Z13+'3'!Z13+'2'!Z13+'6'!Z13+'5'!Z13+'4'!Z13+'8'!Z13+'7'!Z13+'10'!Z13+'9'!Z13+'11'!Z13+'12'!Z13+'13'!Z13+'15'!Z13+'14'!Z13+'16'!Z13+'17'!Z13+'19'!Z13+'20'!Z13+'22'!Z13+'18'!Z13+'21'!Z13+'25'!Z13+'23'!Z13+'26'!Z13+'24'!Z13+'28'!Z13+'27'!Z13+'29'!Z13+'31'!Z13+'30'!Z13</f>
        <v>0</v>
      </c>
      <c r="AA13" s="51">
        <f>+'1'!AA13+'3'!AA13+'2'!AA13+'6'!AA13+'5'!AA13+'4'!AA13+'8'!AA13+'7'!AA13+'10'!AA13+'9'!AA13+'11'!AA13+'12'!AA13+'13'!AA13+'15'!AA13+'14'!AA13+'16'!AA13+'17'!AA13+'19'!AA13+'20'!AA13+'22'!AA13+'18'!AA13+'21'!AA13+'25'!AA13+'23'!AA13+'26'!AA13+'24'!AA13+'28'!AA13+'27'!AA13+'29'!AA13+'31'!AA13+'30'!AA13</f>
        <v>0</v>
      </c>
      <c r="AB13" s="51">
        <f>+'1'!AB13+'3'!AB13+'2'!AB13+'6'!AB13+'5'!AB13+'4'!AB13+'8'!AB13+'7'!AB13+'10'!AB13+'9'!AB13+'11'!AB13+'12'!AB13+'13'!AB13+'15'!AB13+'14'!AB13+'16'!AB13+'17'!AB13+'19'!AB13+'20'!AB13+'22'!AB13+'18'!AB13+'21'!AB13+'25'!AB13+'23'!AB13+'26'!AB13+'24'!AB13+'28'!AB13+'27'!AB13+'29'!AB13+'31'!AB13+'30'!AB13</f>
        <v>0</v>
      </c>
      <c r="AC13" s="51">
        <f>+'1'!AC13+'3'!AC13+'2'!AC13+'6'!AC13+'5'!AC13+'4'!AC13+'8'!AC13+'7'!AC13+'10'!AC13+'9'!AC13+'11'!AC13+'12'!AC13+'13'!AC13+'15'!AC13+'14'!AC13+'16'!AC13+'17'!AC13+'19'!AC13+'20'!AC13+'22'!AC13+'18'!AC13+'21'!AC13+'25'!AC13+'23'!AC13+'26'!AC13+'24'!AC13+'28'!AC13+'27'!AC13+'29'!AC13+'31'!AC13+'30'!AC13</f>
        <v>0</v>
      </c>
      <c r="AD13" s="51">
        <f>+'1'!AD13+'3'!AD13+'2'!AD13+'6'!AD13+'5'!AD13+'4'!AD13+'8'!AD13+'7'!AD13+'10'!AD13+'9'!AD13+'11'!AD13+'12'!AD13+'13'!AD13+'15'!AD13+'14'!AD13+'16'!AD13+'17'!AD13+'19'!AD13+'20'!AD13+'22'!AD13+'18'!AD13+'21'!AD13+'25'!AD13+'23'!AD13+'26'!AD13+'24'!AD13+'28'!AD13+'27'!AD13+'29'!AD13+'31'!AD13+'30'!AD13</f>
        <v>0</v>
      </c>
      <c r="AE13" s="51">
        <f>+'1'!AE13+'3'!AE13+'2'!AE13+'6'!AE13+'5'!AE13+'4'!AE13+'8'!AE13+'7'!AE13+'10'!AE13+'9'!AE13+'11'!AE13+'12'!AE13+'13'!AE13+'15'!AE13+'14'!AE13+'16'!AE13+'17'!AE13+'19'!AE13+'20'!AE13+'22'!AE13+'18'!AE13+'21'!AE13+'25'!AE13+'23'!AE13+'26'!AE13+'24'!AE13+'28'!AE13+'27'!AE13+'29'!AE13+'31'!AE13+'30'!AE13</f>
        <v>0</v>
      </c>
      <c r="AF13" s="51">
        <f>+'1'!AF13+'3'!AF13+'2'!AF13+'6'!AF13+'5'!AF13+'4'!AF13+'8'!AF13+'7'!AF13+'10'!AF13+'9'!AF13+'11'!AF13+'12'!AF13+'13'!AF13+'15'!AF13+'14'!AF13+'16'!AF13+'17'!AF13+'19'!AF13+'20'!AF13+'22'!AF13+'18'!AF13+'21'!AF13+'25'!AF13+'23'!AF13+'26'!AF13+'24'!AF13+'28'!AF13+'27'!AF13+'29'!AF13+'31'!AF13+'30'!AF13</f>
        <v>0</v>
      </c>
      <c r="AG13" s="51">
        <f>+'1'!AG13+'3'!AG13+'2'!AG13+'6'!AG13+'5'!AG13+'4'!AG13+'8'!AG13+'7'!AG13+'10'!AG13+'9'!AG13+'11'!AG13+'12'!AG13+'13'!AG13+'15'!AG13+'14'!AG13+'16'!AG13+'17'!AG13+'19'!AG13+'20'!AG13+'22'!AG13+'18'!AG13+'21'!AG13+'25'!AG13+'23'!AG13+'26'!AG13+'24'!AG13+'28'!AG13+'27'!AG13+'29'!AG13+'31'!AG13+'30'!AG13</f>
        <v>0</v>
      </c>
      <c r="AH13" s="51">
        <f>+'1'!AH13+'3'!AH13+'2'!AH13+'6'!AH13+'5'!AH13+'4'!AH13+'8'!AH13+'7'!AH13+'10'!AH13+'9'!AH13+'11'!AH13+'12'!AH13+'13'!AH13+'15'!AH13+'14'!AH13+'16'!AH13+'17'!AH13+'19'!AH13+'20'!AH13+'22'!AH13+'18'!AH13+'21'!AH13+'25'!AH13+'23'!AH13+'26'!AH13+'24'!AH13+'28'!AH13+'27'!AH13+'29'!AH13+'31'!AH13+'30'!AH13</f>
        <v>0</v>
      </c>
      <c r="AI13" s="54">
        <f>+'1'!AI13+'3'!AI13+'2'!AI13+'6'!AI13+'5'!AI13+'4'!AI13+'8'!AI13+'7'!AI13+'10'!AI13+'9'!AI13+'11'!AI13+'12'!AI13+'13'!AI13+'15'!AI13+'14'!AI13+'16'!AI13+'17'!AI13+'19'!AI13+'20'!AI13+'22'!AI13+'18'!AI13+'21'!AI13+'25'!AI13+'23'!AI13+'26'!AI13+'24'!AI13+'28'!AI13+'27'!AI13+'29'!AI13+'31'!AI13+'30'!AI13</f>
        <v>0</v>
      </c>
      <c r="AJ13" s="57">
        <f>+'1'!AJ13+'3'!AJ13+'2'!AJ13+'6'!AJ13+'5'!AJ13+'4'!AJ13+'8'!AJ13+'7'!AJ13+'10'!AJ13+'9'!AJ13+'11'!AJ13+'12'!AJ13+'13'!AJ13+'15'!AJ13+'14'!AJ13+'16'!AJ13+'17'!AJ13+'19'!AJ13+'20'!AJ13+'22'!AJ13+'18'!AJ13+'21'!AJ13+'25'!AJ13+'23'!AJ13+'26'!AJ13+'24'!AJ13+'28'!AJ13+'27'!AJ13+'29'!AJ13+'31'!AJ13+'30'!AJ13</f>
        <v>0</v>
      </c>
      <c r="AK13" s="54">
        <f>+'1'!AK13+'3'!AK13+'2'!AK13+'6'!AK13+'5'!AK13+'4'!AK13+'8'!AK13+'7'!AK13+'10'!AK13+'9'!AK13+'11'!AK13+'12'!AK13+'13'!AK13+'15'!AK13+'14'!AK13+'16'!AK13+'17'!AK13+'19'!AK13+'20'!AK13+'22'!AK13+'18'!AK13+'21'!AK13+'25'!AK13+'23'!AK13+'26'!AK13+'24'!AK13+'28'!AK13+'27'!AK13+'29'!AK13+'31'!AK13+'30'!AK13</f>
        <v>0</v>
      </c>
      <c r="AL13" s="65">
        <f t="shared" si="2"/>
        <v>0</v>
      </c>
      <c r="AM13" s="22" t="str">
        <f t="shared" si="3"/>
        <v>OK</v>
      </c>
    </row>
    <row r="14" spans="1:39" customFormat="1">
      <c r="A14" s="68" t="s">
        <v>85</v>
      </c>
      <c r="B14" s="78">
        <v>10254</v>
      </c>
      <c r="C14" s="23" t="s">
        <v>63</v>
      </c>
      <c r="D14" s="24"/>
      <c r="E14" s="24"/>
      <c r="F14" s="24"/>
      <c r="G14" s="25"/>
      <c r="H14" s="14">
        <f>+'1'!H14+'3'!H14+'2'!H14+'6'!H14+'5'!H14+'4'!H14+'8'!H14+'7'!H14+'10'!H14+'9'!H14+'11'!H14+'12'!H14+'13'!H14+'15'!H14+'14'!H14+'16'!H14+'17'!H14+'19'!H14+'20'!H14+'22'!H14+'18'!H14+'21'!H14+'25'!H14+'23'!H14+'26'!H14+'24'!H14+'28'!H14+'27'!H14+'29'!H14+'31'!H14+'30'!H14</f>
        <v>3080</v>
      </c>
      <c r="I14" s="15">
        <f>+'1'!I14+'3'!I14+'2'!I14+'6'!I14+'5'!I14+'4'!I14+'8'!I14+'7'!I14+'10'!I14+'9'!I14+'11'!I14+'12'!I14+'13'!I14+'15'!I14+'14'!I14+'16'!I14+'17'!I14+'19'!I14+'20'!I14+'22'!I14+'18'!I14+'21'!I14+'25'!I14+'23'!I14+'26'!I14+'24'!I14+'28'!I14+'27'!I14+'29'!I14+'31'!I14+'30'!I14</f>
        <v>2</v>
      </c>
      <c r="J14" s="15"/>
      <c r="K14" s="16"/>
      <c r="L14" s="27">
        <f>+'1'!L14+'3'!L14+'2'!L14+'6'!L14+'5'!L14+'4'!L14+'8'!L14+'7'!L14+'10'!L14+'9'!L14+'11'!L14+'12'!L14+'13'!L14+'15'!L14+'14'!L14+'16'!L14+'17'!L14+'19'!L14+'20'!L14+'22'!L14+'18'!L14+'21'!L14+'25'!L14+'23'!L14+'26'!L14+'24'!L14+'28'!L14+'27'!L14+'29'!L14+'31'!L14+'30'!L14</f>
        <v>1</v>
      </c>
      <c r="M14" s="27">
        <f>+'1'!M14+'3'!M14+'2'!M14+'6'!M14+'5'!M14+'4'!M14+'8'!M14+'7'!M14+'10'!M14+'9'!M14+'11'!M14+'12'!M14+'13'!M14+'15'!M14+'14'!M14+'16'!M14+'17'!M14+'19'!M14+'20'!M14+'22'!M14+'18'!M14+'21'!M14+'25'!M14+'23'!M14+'26'!M14+'24'!M14+'28'!M14+'27'!M14+'29'!M14+'31'!M14+'30'!M14</f>
        <v>0</v>
      </c>
      <c r="N14" s="27">
        <f>+'1'!N14+'3'!N14+'2'!N14+'6'!N14+'5'!N14+'4'!N14+'8'!N14+'7'!N14+'10'!N14+'9'!N14+'11'!N14+'12'!N14+'13'!N14+'15'!N14+'14'!N14+'16'!N14+'17'!N14+'19'!N14+'20'!N14+'22'!N14+'18'!N14+'21'!N14+'25'!N14+'23'!N14+'26'!N14+'24'!N14+'28'!N14+'27'!N14+'29'!N14+'31'!N14+'30'!N14</f>
        <v>0</v>
      </c>
      <c r="O14" s="27">
        <f>+'1'!O14+'3'!O14+'2'!O14+'6'!O14+'5'!O14+'4'!O14+'8'!O14+'7'!O14+'10'!O14+'9'!O14+'11'!O14+'12'!O14+'13'!O14+'15'!O14+'14'!O14+'16'!O14+'17'!O14+'19'!O14+'20'!O14+'22'!O14+'18'!O14+'21'!O14+'25'!O14+'23'!O14+'26'!O14+'24'!O14+'28'!O14+'27'!O14+'29'!O14+'31'!O14+'30'!O14</f>
        <v>0</v>
      </c>
      <c r="P14" s="27">
        <f>+'1'!P14+'3'!P14+'2'!P14+'6'!P14+'5'!P14+'4'!P14+'8'!P14+'7'!P14+'10'!P14+'9'!P14+'11'!P14+'12'!P14+'13'!P14+'15'!P14+'14'!P14+'16'!P14+'17'!P14+'19'!P14+'20'!P14+'22'!P14+'18'!P14+'21'!P14+'25'!P14+'23'!P14+'26'!P14+'24'!P14+'28'!P14+'27'!P14+'29'!P14+'31'!P14+'30'!P14</f>
        <v>0</v>
      </c>
      <c r="Q14" s="27">
        <f>+'1'!Q14+'3'!Q14+'2'!Q14+'6'!Q14+'5'!Q14+'4'!Q14+'8'!Q14+'7'!Q14+'10'!Q14+'9'!Q14+'11'!Q14+'12'!Q14+'13'!Q14+'15'!Q14+'14'!Q14+'16'!Q14+'17'!Q14+'19'!Q14+'20'!Q14+'22'!Q14+'18'!Q14+'21'!Q14+'25'!Q14+'23'!Q14+'26'!Q14+'24'!Q14+'28'!Q14+'27'!Q14+'29'!Q14+'31'!Q14+'30'!Q14</f>
        <v>0</v>
      </c>
      <c r="R14" s="27">
        <f>+'1'!R14+'3'!R14+'2'!R14+'6'!R14+'5'!R14+'4'!R14+'8'!R14+'7'!R14+'10'!R14+'9'!R14+'11'!R14+'12'!R14+'13'!R14+'15'!R14+'14'!R14+'16'!R14+'17'!R14+'19'!R14+'20'!R14+'22'!R14+'18'!R14+'21'!R14+'25'!R14+'23'!R14+'26'!R14+'24'!R14+'28'!R14+'27'!R14+'29'!R14+'31'!R14+'30'!R14</f>
        <v>0</v>
      </c>
      <c r="S14" s="27">
        <f>+'1'!S14+'3'!S14+'2'!S14+'6'!S14+'5'!S14+'4'!S14+'8'!S14+'7'!S14+'10'!S14+'9'!S14+'11'!S14+'12'!S14+'13'!S14+'15'!S14+'14'!S14+'16'!S14+'17'!S14+'19'!S14+'20'!S14+'22'!S14+'18'!S14+'21'!S14+'25'!S14+'23'!S14+'26'!S14+'24'!S14+'28'!S14+'27'!S14+'29'!S14+'31'!S14+'30'!S14</f>
        <v>0</v>
      </c>
      <c r="T14" s="43">
        <f>+'1'!T14+'3'!T14+'2'!T14+'6'!T14+'5'!T14+'4'!T14+'8'!T14+'7'!T14+'10'!T14+'9'!T14+'11'!T14+'12'!T14+'13'!T14+'15'!T14+'14'!T14+'16'!T14+'17'!T14+'19'!T14+'20'!T14+'22'!T14+'18'!T14+'21'!T14+'25'!T14+'23'!T14+'26'!T14+'24'!T14+'28'!T14+'27'!T14+'29'!T14+'31'!T14+'30'!T14</f>
        <v>0</v>
      </c>
      <c r="U14" s="52">
        <f>+'1'!U14+'3'!U14+'2'!U14+'6'!U14+'5'!U14+'4'!U14+'8'!U14+'7'!U14+'10'!U14+'9'!U14+'11'!U14+'12'!U14+'13'!U14+'15'!U14+'14'!U14+'16'!U14+'17'!U14+'19'!U14+'20'!U14+'22'!U14+'18'!U14+'21'!U14+'25'!U14+'23'!U14+'26'!U14+'24'!U14+'28'!U14+'27'!U14+'29'!U14+'31'!U14+'30'!U14</f>
        <v>0</v>
      </c>
      <c r="V14" s="52">
        <f>+'1'!V14+'3'!V14+'2'!V14+'6'!V14+'5'!V14+'4'!V14+'8'!V14+'7'!V14+'10'!V14+'9'!V14+'11'!V14+'12'!V14+'13'!V14+'15'!V14+'14'!V14+'16'!V14+'17'!V14+'19'!V14+'20'!V14+'22'!V14+'18'!V14+'21'!V14+'25'!V14+'23'!V14+'26'!V14+'24'!V14+'28'!V14+'27'!V14+'29'!V14+'31'!V14+'30'!V14</f>
        <v>0</v>
      </c>
      <c r="W14" s="52">
        <f>+'1'!W14+'3'!W14+'2'!W14+'6'!W14+'5'!W14+'4'!W14+'8'!W14+'7'!W14+'10'!W14+'9'!W14+'11'!W14+'12'!W14+'13'!W14+'15'!W14+'14'!W14+'16'!W14+'17'!W14+'19'!W14+'20'!W14+'22'!W14+'18'!W14+'21'!W14+'25'!W14+'23'!W14+'26'!W14+'24'!W14+'28'!W14+'27'!W14+'29'!W14+'31'!W14+'30'!W14</f>
        <v>0</v>
      </c>
      <c r="X14" s="52">
        <f>+'1'!X14+'3'!X14+'2'!X14+'6'!X14+'5'!X14+'4'!X14+'8'!X14+'7'!X14+'10'!X14+'9'!X14+'11'!X14+'12'!X14+'13'!X14+'15'!X14+'14'!X14+'16'!X14+'17'!X14+'19'!X14+'20'!X14+'22'!X14+'18'!X14+'21'!X14+'25'!X14+'23'!X14+'26'!X14+'24'!X14+'28'!X14+'27'!X14+'29'!X14+'31'!X14+'30'!X14</f>
        <v>0</v>
      </c>
      <c r="Y14" s="52">
        <f>+'1'!Y14+'3'!Y14+'2'!Y14+'6'!Y14+'5'!Y14+'4'!Y14+'8'!Y14+'7'!Y14+'10'!Y14+'9'!Y14+'11'!Y14+'12'!Y14+'13'!Y14+'15'!Y14+'14'!Y14+'16'!Y14+'17'!Y14+'19'!Y14+'20'!Y14+'22'!Y14+'18'!Y14+'21'!Y14+'25'!Y14+'23'!Y14+'26'!Y14+'24'!Y14+'28'!Y14+'27'!Y14+'29'!Y14+'31'!Y14+'30'!Y14</f>
        <v>1</v>
      </c>
      <c r="Z14" s="52">
        <f>+'1'!Z14+'3'!Z14+'2'!Z14+'6'!Z14+'5'!Z14+'4'!Z14+'8'!Z14+'7'!Z14+'10'!Z14+'9'!Z14+'11'!Z14+'12'!Z14+'13'!Z14+'15'!Z14+'14'!Z14+'16'!Z14+'17'!Z14+'19'!Z14+'20'!Z14+'22'!Z14+'18'!Z14+'21'!Z14+'25'!Z14+'23'!Z14+'26'!Z14+'24'!Z14+'28'!Z14+'27'!Z14+'29'!Z14+'31'!Z14+'30'!Z14</f>
        <v>0</v>
      </c>
      <c r="AA14" s="52">
        <f>+'1'!AA14+'3'!AA14+'2'!AA14+'6'!AA14+'5'!AA14+'4'!AA14+'8'!AA14+'7'!AA14+'10'!AA14+'9'!AA14+'11'!AA14+'12'!AA14+'13'!AA14+'15'!AA14+'14'!AA14+'16'!AA14+'17'!AA14+'19'!AA14+'20'!AA14+'22'!AA14+'18'!AA14+'21'!AA14+'25'!AA14+'23'!AA14+'26'!AA14+'24'!AA14+'28'!AA14+'27'!AA14+'29'!AA14+'31'!AA14+'30'!AA14</f>
        <v>0</v>
      </c>
      <c r="AB14" s="52">
        <f>+'1'!AB14+'3'!AB14+'2'!AB14+'6'!AB14+'5'!AB14+'4'!AB14+'8'!AB14+'7'!AB14+'10'!AB14+'9'!AB14+'11'!AB14+'12'!AB14+'13'!AB14+'15'!AB14+'14'!AB14+'16'!AB14+'17'!AB14+'19'!AB14+'20'!AB14+'22'!AB14+'18'!AB14+'21'!AB14+'25'!AB14+'23'!AB14+'26'!AB14+'24'!AB14+'28'!AB14+'27'!AB14+'29'!AB14+'31'!AB14+'30'!AB14</f>
        <v>0</v>
      </c>
      <c r="AC14" s="52">
        <f>+'1'!AC14+'3'!AC14+'2'!AC14+'6'!AC14+'5'!AC14+'4'!AC14+'8'!AC14+'7'!AC14+'10'!AC14+'9'!AC14+'11'!AC14+'12'!AC14+'13'!AC14+'15'!AC14+'14'!AC14+'16'!AC14+'17'!AC14+'19'!AC14+'20'!AC14+'22'!AC14+'18'!AC14+'21'!AC14+'25'!AC14+'23'!AC14+'26'!AC14+'24'!AC14+'28'!AC14+'27'!AC14+'29'!AC14+'31'!AC14+'30'!AC14</f>
        <v>0</v>
      </c>
      <c r="AD14" s="52">
        <f>+'1'!AD14+'3'!AD14+'2'!AD14+'6'!AD14+'5'!AD14+'4'!AD14+'8'!AD14+'7'!AD14+'10'!AD14+'9'!AD14+'11'!AD14+'12'!AD14+'13'!AD14+'15'!AD14+'14'!AD14+'16'!AD14+'17'!AD14+'19'!AD14+'20'!AD14+'22'!AD14+'18'!AD14+'21'!AD14+'25'!AD14+'23'!AD14+'26'!AD14+'24'!AD14+'28'!AD14+'27'!AD14+'29'!AD14+'31'!AD14+'30'!AD14</f>
        <v>0</v>
      </c>
      <c r="AE14" s="52">
        <f>+'1'!AE14+'3'!AE14+'2'!AE14+'6'!AE14+'5'!AE14+'4'!AE14+'8'!AE14+'7'!AE14+'10'!AE14+'9'!AE14+'11'!AE14+'12'!AE14+'13'!AE14+'15'!AE14+'14'!AE14+'16'!AE14+'17'!AE14+'19'!AE14+'20'!AE14+'22'!AE14+'18'!AE14+'21'!AE14+'25'!AE14+'23'!AE14+'26'!AE14+'24'!AE14+'28'!AE14+'27'!AE14+'29'!AE14+'31'!AE14+'30'!AE14</f>
        <v>0</v>
      </c>
      <c r="AF14" s="52">
        <f>+'1'!AF14+'3'!AF14+'2'!AF14+'6'!AF14+'5'!AF14+'4'!AF14+'8'!AF14+'7'!AF14+'10'!AF14+'9'!AF14+'11'!AF14+'12'!AF14+'13'!AF14+'15'!AF14+'14'!AF14+'16'!AF14+'17'!AF14+'19'!AF14+'20'!AF14+'22'!AF14+'18'!AF14+'21'!AF14+'25'!AF14+'23'!AF14+'26'!AF14+'24'!AF14+'28'!AF14+'27'!AF14+'29'!AF14+'31'!AF14+'30'!AF14</f>
        <v>0</v>
      </c>
      <c r="AG14" s="52">
        <f>+'1'!AG14+'3'!AG14+'2'!AG14+'6'!AG14+'5'!AG14+'4'!AG14+'8'!AG14+'7'!AG14+'10'!AG14+'9'!AG14+'11'!AG14+'12'!AG14+'13'!AG14+'15'!AG14+'14'!AG14+'16'!AG14+'17'!AG14+'19'!AG14+'20'!AG14+'22'!AG14+'18'!AG14+'21'!AG14+'25'!AG14+'23'!AG14+'26'!AG14+'24'!AG14+'28'!AG14+'27'!AG14+'29'!AG14+'31'!AG14+'30'!AG14</f>
        <v>0</v>
      </c>
      <c r="AH14" s="52">
        <f>+'1'!AH14+'3'!AH14+'2'!AH14+'6'!AH14+'5'!AH14+'4'!AH14+'8'!AH14+'7'!AH14+'10'!AH14+'9'!AH14+'11'!AH14+'12'!AH14+'13'!AH14+'15'!AH14+'14'!AH14+'16'!AH14+'17'!AH14+'19'!AH14+'20'!AH14+'22'!AH14+'18'!AH14+'21'!AH14+'25'!AH14+'23'!AH14+'26'!AH14+'24'!AH14+'28'!AH14+'27'!AH14+'29'!AH14+'31'!AH14+'30'!AH14</f>
        <v>0</v>
      </c>
      <c r="AI14" s="55">
        <f>+'1'!AI14+'3'!AI14+'2'!AI14+'6'!AI14+'5'!AI14+'4'!AI14+'8'!AI14+'7'!AI14+'10'!AI14+'9'!AI14+'11'!AI14+'12'!AI14+'13'!AI14+'15'!AI14+'14'!AI14+'16'!AI14+'17'!AI14+'19'!AI14+'20'!AI14+'22'!AI14+'18'!AI14+'21'!AI14+'25'!AI14+'23'!AI14+'26'!AI14+'24'!AI14+'28'!AI14+'27'!AI14+'29'!AI14+'31'!AI14+'30'!AI14</f>
        <v>0</v>
      </c>
      <c r="AJ14" s="58">
        <f>+'1'!AJ14+'3'!AJ14+'2'!AJ14+'6'!AJ14+'5'!AJ14+'4'!AJ14+'8'!AJ14+'7'!AJ14+'10'!AJ14+'9'!AJ14+'11'!AJ14+'12'!AJ14+'13'!AJ14+'15'!AJ14+'14'!AJ14+'16'!AJ14+'17'!AJ14+'19'!AJ14+'20'!AJ14+'22'!AJ14+'18'!AJ14+'21'!AJ14+'25'!AJ14+'23'!AJ14+'26'!AJ14+'24'!AJ14+'28'!AJ14+'27'!AJ14+'29'!AJ14+'31'!AJ14+'30'!AJ14</f>
        <v>0</v>
      </c>
      <c r="AK14" s="55">
        <f>+'1'!AK14+'3'!AK14+'2'!AK14+'6'!AK14+'5'!AK14+'4'!AK14+'8'!AK14+'7'!AK14+'10'!AK14+'9'!AK14+'11'!AK14+'12'!AK14+'13'!AK14+'15'!AK14+'14'!AK14+'16'!AK14+'17'!AK14+'19'!AK14+'20'!AK14+'22'!AK14+'18'!AK14+'21'!AK14+'25'!AK14+'23'!AK14+'26'!AK14+'24'!AK14+'28'!AK14+'27'!AK14+'29'!AK14+'31'!AK14+'30'!AK14</f>
        <v>0</v>
      </c>
      <c r="AL14" s="66">
        <f t="shared" si="2"/>
        <v>2</v>
      </c>
      <c r="AM14" s="28" t="str">
        <f t="shared" si="3"/>
        <v>OK</v>
      </c>
    </row>
    <row r="15" spans="1:39" customFormat="1">
      <c r="A15" s="17" t="s">
        <v>86</v>
      </c>
      <c r="B15" s="77">
        <v>11856</v>
      </c>
      <c r="C15" s="17" t="s">
        <v>63</v>
      </c>
      <c r="D15" s="69"/>
      <c r="E15" s="18"/>
      <c r="F15" s="18"/>
      <c r="G15" s="19"/>
      <c r="H15" s="20">
        <f>+'1'!H15+'3'!H15+'2'!H15+'6'!H15+'5'!H15+'4'!H15+'8'!H15+'7'!H15+'10'!H15+'9'!H15+'11'!H15+'12'!H15+'13'!H15+'15'!H15+'14'!H15+'16'!H15+'17'!H15+'19'!H15+'20'!H15+'22'!H15+'18'!H15+'21'!H15+'25'!H15+'23'!H15+'26'!H15+'24'!H15+'28'!H15+'27'!H15+'29'!H15+'31'!H15+'30'!H15</f>
        <v>4984</v>
      </c>
      <c r="I15" s="21">
        <f>+'1'!I15+'3'!I15+'2'!I15+'6'!I15+'5'!I15+'4'!I15+'8'!I15+'7'!I15+'10'!I15+'9'!I15+'11'!I15+'12'!I15+'13'!I15+'15'!I15+'14'!I15+'16'!I15+'17'!I15+'19'!I15+'20'!I15+'22'!I15+'18'!I15+'21'!I15+'25'!I15+'23'!I15+'26'!I15+'24'!I15+'28'!I15+'27'!I15+'29'!I15+'31'!I15+'30'!I15</f>
        <v>4</v>
      </c>
      <c r="J15" s="21"/>
      <c r="K15" s="16"/>
      <c r="L15" s="21">
        <f>+'1'!L15+'3'!L15+'2'!L15+'6'!L15+'5'!L15+'4'!L15+'8'!L15+'7'!L15+'10'!L15+'9'!L15+'11'!L15+'12'!L15+'13'!L15+'15'!L15+'14'!L15+'16'!L15+'17'!L15+'19'!L15+'20'!L15+'22'!L15+'18'!L15+'21'!L15+'25'!L15+'23'!L15+'26'!L15+'24'!L15+'28'!L15+'27'!L15+'29'!L15+'31'!L15+'30'!L15</f>
        <v>1</v>
      </c>
      <c r="M15" s="21">
        <f>+'1'!M15+'3'!M15+'2'!M15+'6'!M15+'5'!M15+'4'!M15+'8'!M15+'7'!M15+'10'!M15+'9'!M15+'11'!M15+'12'!M15+'13'!M15+'15'!M15+'14'!M15+'16'!M15+'17'!M15+'19'!M15+'20'!M15+'22'!M15+'18'!M15+'21'!M15+'25'!M15+'23'!M15+'26'!M15+'24'!M15+'28'!M15+'27'!M15+'29'!M15+'31'!M15+'30'!M15</f>
        <v>0</v>
      </c>
      <c r="N15" s="21">
        <f>+'1'!N15+'3'!N15+'2'!N15+'6'!N15+'5'!N15+'4'!N15+'8'!N15+'7'!N15+'10'!N15+'9'!N15+'11'!N15+'12'!N15+'13'!N15+'15'!N15+'14'!N15+'16'!N15+'17'!N15+'19'!N15+'20'!N15+'22'!N15+'18'!N15+'21'!N15+'25'!N15+'23'!N15+'26'!N15+'24'!N15+'28'!N15+'27'!N15+'29'!N15+'31'!N15+'30'!N15</f>
        <v>0</v>
      </c>
      <c r="O15" s="21">
        <f>+'1'!O15+'3'!O15+'2'!O15+'6'!O15+'5'!O15+'4'!O15+'8'!O15+'7'!O15+'10'!O15+'9'!O15+'11'!O15+'12'!O15+'13'!O15+'15'!O15+'14'!O15+'16'!O15+'17'!O15+'19'!O15+'20'!O15+'22'!O15+'18'!O15+'21'!O15+'25'!O15+'23'!O15+'26'!O15+'24'!O15+'28'!O15+'27'!O15+'29'!O15+'31'!O15+'30'!O15</f>
        <v>0</v>
      </c>
      <c r="P15" s="21">
        <f>+'1'!P15+'3'!P15+'2'!P15+'6'!P15+'5'!P15+'4'!P15+'8'!P15+'7'!P15+'10'!P15+'9'!P15+'11'!P15+'12'!P15+'13'!P15+'15'!P15+'14'!P15+'16'!P15+'17'!P15+'19'!P15+'20'!P15+'22'!P15+'18'!P15+'21'!P15+'25'!P15+'23'!P15+'26'!P15+'24'!P15+'28'!P15+'27'!P15+'29'!P15+'31'!P15+'30'!P15</f>
        <v>0</v>
      </c>
      <c r="Q15" s="21">
        <f>+'1'!Q15+'3'!Q15+'2'!Q15+'6'!Q15+'5'!Q15+'4'!Q15+'8'!Q15+'7'!Q15+'10'!Q15+'9'!Q15+'11'!Q15+'12'!Q15+'13'!Q15+'15'!Q15+'14'!Q15+'16'!Q15+'17'!Q15+'19'!Q15+'20'!Q15+'22'!Q15+'18'!Q15+'21'!Q15+'25'!Q15+'23'!Q15+'26'!Q15+'24'!Q15+'28'!Q15+'27'!Q15+'29'!Q15+'31'!Q15+'30'!Q15</f>
        <v>0</v>
      </c>
      <c r="R15" s="21">
        <f>+'1'!R15+'3'!R15+'2'!R15+'6'!R15+'5'!R15+'4'!R15+'8'!R15+'7'!R15+'10'!R15+'9'!R15+'11'!R15+'12'!R15+'13'!R15+'15'!R15+'14'!R15+'16'!R15+'17'!R15+'19'!R15+'20'!R15+'22'!R15+'18'!R15+'21'!R15+'25'!R15+'23'!R15+'26'!R15+'24'!R15+'28'!R15+'27'!R15+'29'!R15+'31'!R15+'30'!R15</f>
        <v>0</v>
      </c>
      <c r="S15" s="21">
        <f>+'1'!S15+'3'!S15+'2'!S15+'6'!S15+'5'!S15+'4'!S15+'8'!S15+'7'!S15+'10'!S15+'9'!S15+'11'!S15+'12'!S15+'13'!S15+'15'!S15+'14'!S15+'16'!S15+'17'!S15+'19'!S15+'20'!S15+'22'!S15+'18'!S15+'21'!S15+'25'!S15+'23'!S15+'26'!S15+'24'!S15+'28'!S15+'27'!S15+'29'!S15+'31'!S15+'30'!S15</f>
        <v>0</v>
      </c>
      <c r="T15" s="42">
        <f>+'1'!T15+'3'!T15+'2'!T15+'6'!T15+'5'!T15+'4'!T15+'8'!T15+'7'!T15+'10'!T15+'9'!T15+'11'!T15+'12'!T15+'13'!T15+'15'!T15+'14'!T15+'16'!T15+'17'!T15+'19'!T15+'20'!T15+'22'!T15+'18'!T15+'21'!T15+'25'!T15+'23'!T15+'26'!T15+'24'!T15+'28'!T15+'27'!T15+'29'!T15+'31'!T15+'30'!T15</f>
        <v>0</v>
      </c>
      <c r="U15" s="51">
        <f>+'1'!U15+'3'!U15+'2'!U15+'6'!U15+'5'!U15+'4'!U15+'8'!U15+'7'!U15+'10'!U15+'9'!U15+'11'!U15+'12'!U15+'13'!U15+'15'!U15+'14'!U15+'16'!U15+'17'!U15+'19'!U15+'20'!U15+'22'!U15+'18'!U15+'21'!U15+'25'!U15+'23'!U15+'26'!U15+'24'!U15+'28'!U15+'27'!U15+'29'!U15+'31'!U15+'30'!U15</f>
        <v>0</v>
      </c>
      <c r="V15" s="51">
        <f>+'1'!V15+'3'!V15+'2'!V15+'6'!V15+'5'!V15+'4'!V15+'8'!V15+'7'!V15+'10'!V15+'9'!V15+'11'!V15+'12'!V15+'13'!V15+'15'!V15+'14'!V15+'16'!V15+'17'!V15+'19'!V15+'20'!V15+'22'!V15+'18'!V15+'21'!V15+'25'!V15+'23'!V15+'26'!V15+'24'!V15+'28'!V15+'27'!V15+'29'!V15+'31'!V15+'30'!V15</f>
        <v>0</v>
      </c>
      <c r="W15" s="51">
        <f>+'1'!W15+'3'!W15+'2'!W15+'6'!W15+'5'!W15+'4'!W15+'8'!W15+'7'!W15+'10'!W15+'9'!W15+'11'!W15+'12'!W15+'13'!W15+'15'!W15+'14'!W15+'16'!W15+'17'!W15+'19'!W15+'20'!W15+'22'!W15+'18'!W15+'21'!W15+'25'!W15+'23'!W15+'26'!W15+'24'!W15+'28'!W15+'27'!W15+'29'!W15+'31'!W15+'30'!W15</f>
        <v>0</v>
      </c>
      <c r="X15" s="51">
        <f>+'1'!X15+'3'!X15+'2'!X15+'6'!X15+'5'!X15+'4'!X15+'8'!X15+'7'!X15+'10'!X15+'9'!X15+'11'!X15+'12'!X15+'13'!X15+'15'!X15+'14'!X15+'16'!X15+'17'!X15+'19'!X15+'20'!X15+'22'!X15+'18'!X15+'21'!X15+'25'!X15+'23'!X15+'26'!X15+'24'!X15+'28'!X15+'27'!X15+'29'!X15+'31'!X15+'30'!X15</f>
        <v>0</v>
      </c>
      <c r="Y15" s="51">
        <f>+'1'!Y15+'3'!Y15+'2'!Y15+'6'!Y15+'5'!Y15+'4'!Y15+'8'!Y15+'7'!Y15+'10'!Y15+'9'!Y15+'11'!Y15+'12'!Y15+'13'!Y15+'15'!Y15+'14'!Y15+'16'!Y15+'17'!Y15+'19'!Y15+'20'!Y15+'22'!Y15+'18'!Y15+'21'!Y15+'25'!Y15+'23'!Y15+'26'!Y15+'24'!Y15+'28'!Y15+'27'!Y15+'29'!Y15+'31'!Y15+'30'!Y15</f>
        <v>3</v>
      </c>
      <c r="Z15" s="51">
        <f>+'1'!Z15+'3'!Z15+'2'!Z15+'6'!Z15+'5'!Z15+'4'!Z15+'8'!Z15+'7'!Z15+'10'!Z15+'9'!Z15+'11'!Z15+'12'!Z15+'13'!Z15+'15'!Z15+'14'!Z15+'16'!Z15+'17'!Z15+'19'!Z15+'20'!Z15+'22'!Z15+'18'!Z15+'21'!Z15+'25'!Z15+'23'!Z15+'26'!Z15+'24'!Z15+'28'!Z15+'27'!Z15+'29'!Z15+'31'!Z15+'30'!Z15</f>
        <v>0</v>
      </c>
      <c r="AA15" s="51">
        <f>+'1'!AA15+'3'!AA15+'2'!AA15+'6'!AA15+'5'!AA15+'4'!AA15+'8'!AA15+'7'!AA15+'10'!AA15+'9'!AA15+'11'!AA15+'12'!AA15+'13'!AA15+'15'!AA15+'14'!AA15+'16'!AA15+'17'!AA15+'19'!AA15+'20'!AA15+'22'!AA15+'18'!AA15+'21'!AA15+'25'!AA15+'23'!AA15+'26'!AA15+'24'!AA15+'28'!AA15+'27'!AA15+'29'!AA15+'31'!AA15+'30'!AA15</f>
        <v>0</v>
      </c>
      <c r="AB15" s="51">
        <f>+'1'!AB15+'3'!AB15+'2'!AB15+'6'!AB15+'5'!AB15+'4'!AB15+'8'!AB15+'7'!AB15+'10'!AB15+'9'!AB15+'11'!AB15+'12'!AB15+'13'!AB15+'15'!AB15+'14'!AB15+'16'!AB15+'17'!AB15+'19'!AB15+'20'!AB15+'22'!AB15+'18'!AB15+'21'!AB15+'25'!AB15+'23'!AB15+'26'!AB15+'24'!AB15+'28'!AB15+'27'!AB15+'29'!AB15+'31'!AB15+'30'!AB15</f>
        <v>0</v>
      </c>
      <c r="AC15" s="51">
        <f>+'1'!AC15+'3'!AC15+'2'!AC15+'6'!AC15+'5'!AC15+'4'!AC15+'8'!AC15+'7'!AC15+'10'!AC15+'9'!AC15+'11'!AC15+'12'!AC15+'13'!AC15+'15'!AC15+'14'!AC15+'16'!AC15+'17'!AC15+'19'!AC15+'20'!AC15+'22'!AC15+'18'!AC15+'21'!AC15+'25'!AC15+'23'!AC15+'26'!AC15+'24'!AC15+'28'!AC15+'27'!AC15+'29'!AC15+'31'!AC15+'30'!AC15</f>
        <v>0</v>
      </c>
      <c r="AD15" s="51">
        <f>+'1'!AD15+'3'!AD15+'2'!AD15+'6'!AD15+'5'!AD15+'4'!AD15+'8'!AD15+'7'!AD15+'10'!AD15+'9'!AD15+'11'!AD15+'12'!AD15+'13'!AD15+'15'!AD15+'14'!AD15+'16'!AD15+'17'!AD15+'19'!AD15+'20'!AD15+'22'!AD15+'18'!AD15+'21'!AD15+'25'!AD15+'23'!AD15+'26'!AD15+'24'!AD15+'28'!AD15+'27'!AD15+'29'!AD15+'31'!AD15+'30'!AD15</f>
        <v>0</v>
      </c>
      <c r="AE15" s="51">
        <f>+'1'!AE15+'3'!AE15+'2'!AE15+'6'!AE15+'5'!AE15+'4'!AE15+'8'!AE15+'7'!AE15+'10'!AE15+'9'!AE15+'11'!AE15+'12'!AE15+'13'!AE15+'15'!AE15+'14'!AE15+'16'!AE15+'17'!AE15+'19'!AE15+'20'!AE15+'22'!AE15+'18'!AE15+'21'!AE15+'25'!AE15+'23'!AE15+'26'!AE15+'24'!AE15+'28'!AE15+'27'!AE15+'29'!AE15+'31'!AE15+'30'!AE15</f>
        <v>0</v>
      </c>
      <c r="AF15" s="51">
        <f>+'1'!AF15+'3'!AF15+'2'!AF15+'6'!AF15+'5'!AF15+'4'!AF15+'8'!AF15+'7'!AF15+'10'!AF15+'9'!AF15+'11'!AF15+'12'!AF15+'13'!AF15+'15'!AF15+'14'!AF15+'16'!AF15+'17'!AF15+'19'!AF15+'20'!AF15+'22'!AF15+'18'!AF15+'21'!AF15+'25'!AF15+'23'!AF15+'26'!AF15+'24'!AF15+'28'!AF15+'27'!AF15+'29'!AF15+'31'!AF15+'30'!AF15</f>
        <v>0</v>
      </c>
      <c r="AG15" s="51">
        <f>+'1'!AG15+'3'!AG15+'2'!AG15+'6'!AG15+'5'!AG15+'4'!AG15+'8'!AG15+'7'!AG15+'10'!AG15+'9'!AG15+'11'!AG15+'12'!AG15+'13'!AG15+'15'!AG15+'14'!AG15+'16'!AG15+'17'!AG15+'19'!AG15+'20'!AG15+'22'!AG15+'18'!AG15+'21'!AG15+'25'!AG15+'23'!AG15+'26'!AG15+'24'!AG15+'28'!AG15+'27'!AG15+'29'!AG15+'31'!AG15+'30'!AG15</f>
        <v>0</v>
      </c>
      <c r="AH15" s="51">
        <f>+'1'!AH15+'3'!AH15+'2'!AH15+'6'!AH15+'5'!AH15+'4'!AH15+'8'!AH15+'7'!AH15+'10'!AH15+'9'!AH15+'11'!AH15+'12'!AH15+'13'!AH15+'15'!AH15+'14'!AH15+'16'!AH15+'17'!AH15+'19'!AH15+'20'!AH15+'22'!AH15+'18'!AH15+'21'!AH15+'25'!AH15+'23'!AH15+'26'!AH15+'24'!AH15+'28'!AH15+'27'!AH15+'29'!AH15+'31'!AH15+'30'!AH15</f>
        <v>0</v>
      </c>
      <c r="AI15" s="54">
        <f>+'1'!AI15+'3'!AI15+'2'!AI15+'6'!AI15+'5'!AI15+'4'!AI15+'8'!AI15+'7'!AI15+'10'!AI15+'9'!AI15+'11'!AI15+'12'!AI15+'13'!AI15+'15'!AI15+'14'!AI15+'16'!AI15+'17'!AI15+'19'!AI15+'20'!AI15+'22'!AI15+'18'!AI15+'21'!AI15+'25'!AI15+'23'!AI15+'26'!AI15+'24'!AI15+'28'!AI15+'27'!AI15+'29'!AI15+'31'!AI15+'30'!AI15</f>
        <v>0</v>
      </c>
      <c r="AJ15" s="57">
        <f>+'1'!AJ15+'3'!AJ15+'2'!AJ15+'6'!AJ15+'5'!AJ15+'4'!AJ15+'8'!AJ15+'7'!AJ15+'10'!AJ15+'9'!AJ15+'11'!AJ15+'12'!AJ15+'13'!AJ15+'15'!AJ15+'14'!AJ15+'16'!AJ15+'17'!AJ15+'19'!AJ15+'20'!AJ15+'22'!AJ15+'18'!AJ15+'21'!AJ15+'25'!AJ15+'23'!AJ15+'26'!AJ15+'24'!AJ15+'28'!AJ15+'27'!AJ15+'29'!AJ15+'31'!AJ15+'30'!AJ15</f>
        <v>0</v>
      </c>
      <c r="AK15" s="54">
        <f>+'1'!AK15+'3'!AK15+'2'!AK15+'6'!AK15+'5'!AK15+'4'!AK15+'8'!AK15+'7'!AK15+'10'!AK15+'9'!AK15+'11'!AK15+'12'!AK15+'13'!AK15+'15'!AK15+'14'!AK15+'16'!AK15+'17'!AK15+'19'!AK15+'20'!AK15+'22'!AK15+'18'!AK15+'21'!AK15+'25'!AK15+'23'!AK15+'26'!AK15+'24'!AK15+'28'!AK15+'27'!AK15+'29'!AK15+'31'!AK15+'30'!AK15</f>
        <v>0</v>
      </c>
      <c r="AL15" s="65">
        <f t="shared" si="2"/>
        <v>4</v>
      </c>
      <c r="AM15" s="22" t="str">
        <f t="shared" si="3"/>
        <v>OK</v>
      </c>
    </row>
    <row r="16" spans="1:39" customFormat="1" hidden="1">
      <c r="A16" s="68" t="s">
        <v>90</v>
      </c>
      <c r="B16" s="78">
        <v>15003</v>
      </c>
      <c r="C16" s="23" t="s">
        <v>63</v>
      </c>
      <c r="D16" s="24"/>
      <c r="E16" s="24"/>
      <c r="F16" s="24"/>
      <c r="G16" s="25"/>
      <c r="H16" s="14">
        <f>+'1'!H16+'3'!H16+'2'!H16+'6'!H16+'5'!H16+'4'!H16+'8'!H16+'7'!H16+'10'!H16+'9'!H16+'11'!H16+'12'!H16+'13'!H16+'15'!H16+'14'!H16+'16'!H16+'17'!H16+'19'!H16+'20'!H16+'22'!H16+'18'!H16+'21'!H16+'25'!H16+'23'!H16+'26'!H16+'24'!H16+'28'!H16+'27'!H16+'29'!H16+'31'!H16+'30'!H16</f>
        <v>0</v>
      </c>
      <c r="I16" s="15">
        <f>+'1'!I16+'3'!I16+'2'!I16+'6'!I16+'5'!I16+'4'!I16+'8'!I16+'7'!I16+'10'!I16+'9'!I16+'11'!I16+'12'!I16+'13'!I16+'15'!I16+'14'!I16+'16'!I16+'17'!I16+'19'!I16+'20'!I16+'22'!I16+'18'!I16+'21'!I16+'25'!I16+'23'!I16+'26'!I16+'24'!I16+'28'!I16+'27'!I16+'29'!I16+'31'!I16+'30'!I16</f>
        <v>0</v>
      </c>
      <c r="J16" s="15"/>
      <c r="K16" s="16"/>
      <c r="L16" s="27">
        <f>+'1'!L16+'3'!L16+'2'!L16+'6'!L16+'5'!L16+'4'!L16+'8'!L16+'7'!L16+'10'!L16+'9'!L16+'11'!L16+'12'!L16+'13'!L16+'15'!L16+'14'!L16+'16'!L16+'17'!L16+'19'!L16+'20'!L16+'22'!L16+'18'!L16+'21'!L16+'25'!L16+'23'!L16+'26'!L16+'24'!L16+'28'!L16+'27'!L16+'29'!L16+'31'!L16+'30'!L16</f>
        <v>0</v>
      </c>
      <c r="M16" s="27">
        <f>+'1'!M16+'3'!M16+'2'!M16+'6'!M16+'5'!M16+'4'!M16+'8'!M16+'7'!M16+'10'!M16+'9'!M16+'11'!M16+'12'!M16+'13'!M16+'15'!M16+'14'!M16+'16'!M16+'17'!M16+'19'!M16+'20'!M16+'22'!M16+'18'!M16+'21'!M16+'25'!M16+'23'!M16+'26'!M16+'24'!M16+'28'!M16+'27'!M16+'29'!M16+'31'!M16+'30'!M16</f>
        <v>0</v>
      </c>
      <c r="N16" s="27">
        <f>+'1'!N16+'3'!N16+'2'!N16+'6'!N16+'5'!N16+'4'!N16+'8'!N16+'7'!N16+'10'!N16+'9'!N16+'11'!N16+'12'!N16+'13'!N16+'15'!N16+'14'!N16+'16'!N16+'17'!N16+'19'!N16+'20'!N16+'22'!N16+'18'!N16+'21'!N16+'25'!N16+'23'!N16+'26'!N16+'24'!N16+'28'!N16+'27'!N16+'29'!N16+'31'!N16+'30'!N16</f>
        <v>0</v>
      </c>
      <c r="O16" s="27">
        <f>+'1'!O16+'3'!O16+'2'!O16+'6'!O16+'5'!O16+'4'!O16+'8'!O16+'7'!O16+'10'!O16+'9'!O16+'11'!O16+'12'!O16+'13'!O16+'15'!O16+'14'!O16+'16'!O16+'17'!O16+'19'!O16+'20'!O16+'22'!O16+'18'!O16+'21'!O16+'25'!O16+'23'!O16+'26'!O16+'24'!O16+'28'!O16+'27'!O16+'29'!O16+'31'!O16+'30'!O16</f>
        <v>0</v>
      </c>
      <c r="P16" s="27">
        <f>+'1'!P16+'3'!P16+'2'!P16+'6'!P16+'5'!P16+'4'!P16+'8'!P16+'7'!P16+'10'!P16+'9'!P16+'11'!P16+'12'!P16+'13'!P16+'15'!P16+'14'!P16+'16'!P16+'17'!P16+'19'!P16+'20'!P16+'22'!P16+'18'!P16+'21'!P16+'25'!P16+'23'!P16+'26'!P16+'24'!P16+'28'!P16+'27'!P16+'29'!P16+'31'!P16+'30'!P16</f>
        <v>0</v>
      </c>
      <c r="Q16" s="27">
        <f>+'1'!Q16+'3'!Q16+'2'!Q16+'6'!Q16+'5'!Q16+'4'!Q16+'8'!Q16+'7'!Q16+'10'!Q16+'9'!Q16+'11'!Q16+'12'!Q16+'13'!Q16+'15'!Q16+'14'!Q16+'16'!Q16+'17'!Q16+'19'!Q16+'20'!Q16+'22'!Q16+'18'!Q16+'21'!Q16+'25'!Q16+'23'!Q16+'26'!Q16+'24'!Q16+'28'!Q16+'27'!Q16+'29'!Q16+'31'!Q16+'30'!Q16</f>
        <v>0</v>
      </c>
      <c r="R16" s="27">
        <f>+'1'!R16+'3'!R16+'2'!R16+'6'!R16+'5'!R16+'4'!R16+'8'!R16+'7'!R16+'10'!R16+'9'!R16+'11'!R16+'12'!R16+'13'!R16+'15'!R16+'14'!R16+'16'!R16+'17'!R16+'19'!R16+'20'!R16+'22'!R16+'18'!R16+'21'!R16+'25'!R16+'23'!R16+'26'!R16+'24'!R16+'28'!R16+'27'!R16+'29'!R16+'31'!R16+'30'!R16</f>
        <v>0</v>
      </c>
      <c r="S16" s="27">
        <f>+'1'!S16+'3'!S16+'2'!S16+'6'!S16+'5'!S16+'4'!S16+'8'!S16+'7'!S16+'10'!S16+'9'!S16+'11'!S16+'12'!S16+'13'!S16+'15'!S16+'14'!S16+'16'!S16+'17'!S16+'19'!S16+'20'!S16+'22'!S16+'18'!S16+'21'!S16+'25'!S16+'23'!S16+'26'!S16+'24'!S16+'28'!S16+'27'!S16+'29'!S16+'31'!S16+'30'!S16</f>
        <v>0</v>
      </c>
      <c r="T16" s="43">
        <f>+'1'!T16+'3'!T16+'2'!T16+'6'!T16+'5'!T16+'4'!T16+'8'!T16+'7'!T16+'10'!T16+'9'!T16+'11'!T16+'12'!T16+'13'!T16+'15'!T16+'14'!T16+'16'!T16+'17'!T16+'19'!T16+'20'!T16+'22'!T16+'18'!T16+'21'!T16+'25'!T16+'23'!T16+'26'!T16+'24'!T16+'28'!T16+'27'!T16+'29'!T16+'31'!T16+'30'!T16</f>
        <v>0</v>
      </c>
      <c r="U16" s="52">
        <f>+'1'!U16+'3'!U16+'2'!U16+'6'!U16+'5'!U16+'4'!U16+'8'!U16+'7'!U16+'10'!U16+'9'!U16+'11'!U16+'12'!U16+'13'!U16+'15'!U16+'14'!U16+'16'!U16+'17'!U16+'19'!U16+'20'!U16+'22'!U16+'18'!U16+'21'!U16+'25'!U16+'23'!U16+'26'!U16+'24'!U16+'28'!U16+'27'!U16+'29'!U16+'31'!U16+'30'!U16</f>
        <v>0</v>
      </c>
      <c r="V16" s="52">
        <f>+'1'!V16+'3'!V16+'2'!V16+'6'!V16+'5'!V16+'4'!V16+'8'!V16+'7'!V16+'10'!V16+'9'!V16+'11'!V16+'12'!V16+'13'!V16+'15'!V16+'14'!V16+'16'!V16+'17'!V16+'19'!V16+'20'!V16+'22'!V16+'18'!V16+'21'!V16+'25'!V16+'23'!V16+'26'!V16+'24'!V16+'28'!V16+'27'!V16+'29'!V16+'31'!V16+'30'!V16</f>
        <v>0</v>
      </c>
      <c r="W16" s="52">
        <f>+'1'!W16+'3'!W16+'2'!W16+'6'!W16+'5'!W16+'4'!W16+'8'!W16+'7'!W16+'10'!W16+'9'!W16+'11'!W16+'12'!W16+'13'!W16+'15'!W16+'14'!W16+'16'!W16+'17'!W16+'19'!W16+'20'!W16+'22'!W16+'18'!W16+'21'!W16+'25'!W16+'23'!W16+'26'!W16+'24'!W16+'28'!W16+'27'!W16+'29'!W16+'31'!W16+'30'!W16</f>
        <v>0</v>
      </c>
      <c r="X16" s="52">
        <f>+'1'!X16+'3'!X16+'2'!X16+'6'!X16+'5'!X16+'4'!X16+'8'!X16+'7'!X16+'10'!X16+'9'!X16+'11'!X16+'12'!X16+'13'!X16+'15'!X16+'14'!X16+'16'!X16+'17'!X16+'19'!X16+'20'!X16+'22'!X16+'18'!X16+'21'!X16+'25'!X16+'23'!X16+'26'!X16+'24'!X16+'28'!X16+'27'!X16+'29'!X16+'31'!X16+'30'!X16</f>
        <v>0</v>
      </c>
      <c r="Y16" s="52">
        <f>+'1'!Y16+'3'!Y16+'2'!Y16+'6'!Y16+'5'!Y16+'4'!Y16+'8'!Y16+'7'!Y16+'10'!Y16+'9'!Y16+'11'!Y16+'12'!Y16+'13'!Y16+'15'!Y16+'14'!Y16+'16'!Y16+'17'!Y16+'19'!Y16+'20'!Y16+'22'!Y16+'18'!Y16+'21'!Y16+'25'!Y16+'23'!Y16+'26'!Y16+'24'!Y16+'28'!Y16+'27'!Y16+'29'!Y16+'31'!Y16+'30'!Y16</f>
        <v>0</v>
      </c>
      <c r="Z16" s="52">
        <f>+'1'!Z16+'3'!Z16+'2'!Z16+'6'!Z16+'5'!Z16+'4'!Z16+'8'!Z16+'7'!Z16+'10'!Z16+'9'!Z16+'11'!Z16+'12'!Z16+'13'!Z16+'15'!Z16+'14'!Z16+'16'!Z16+'17'!Z16+'19'!Z16+'20'!Z16+'22'!Z16+'18'!Z16+'21'!Z16+'25'!Z16+'23'!Z16+'26'!Z16+'24'!Z16+'28'!Z16+'27'!Z16+'29'!Z16+'31'!Z16+'30'!Z16</f>
        <v>0</v>
      </c>
      <c r="AA16" s="52">
        <f>+'1'!AA16+'3'!AA16+'2'!AA16+'6'!AA16+'5'!AA16+'4'!AA16+'8'!AA16+'7'!AA16+'10'!AA16+'9'!AA16+'11'!AA16+'12'!AA16+'13'!AA16+'15'!AA16+'14'!AA16+'16'!AA16+'17'!AA16+'19'!AA16+'20'!AA16+'22'!AA16+'18'!AA16+'21'!AA16+'25'!AA16+'23'!AA16+'26'!AA16+'24'!AA16+'28'!AA16+'27'!AA16+'29'!AA16+'31'!AA16+'30'!AA16</f>
        <v>0</v>
      </c>
      <c r="AB16" s="52">
        <f>+'1'!AB16+'3'!AB16+'2'!AB16+'6'!AB16+'5'!AB16+'4'!AB16+'8'!AB16+'7'!AB16+'10'!AB16+'9'!AB16+'11'!AB16+'12'!AB16+'13'!AB16+'15'!AB16+'14'!AB16+'16'!AB16+'17'!AB16+'19'!AB16+'20'!AB16+'22'!AB16+'18'!AB16+'21'!AB16+'25'!AB16+'23'!AB16+'26'!AB16+'24'!AB16+'28'!AB16+'27'!AB16+'29'!AB16+'31'!AB16+'30'!AB16</f>
        <v>0</v>
      </c>
      <c r="AC16" s="52">
        <f>+'1'!AC16+'3'!AC16+'2'!AC16+'6'!AC16+'5'!AC16+'4'!AC16+'8'!AC16+'7'!AC16+'10'!AC16+'9'!AC16+'11'!AC16+'12'!AC16+'13'!AC16+'15'!AC16+'14'!AC16+'16'!AC16+'17'!AC16+'19'!AC16+'20'!AC16+'22'!AC16+'18'!AC16+'21'!AC16+'25'!AC16+'23'!AC16+'26'!AC16+'24'!AC16+'28'!AC16+'27'!AC16+'29'!AC16+'31'!AC16+'30'!AC16</f>
        <v>0</v>
      </c>
      <c r="AD16" s="52">
        <f>+'1'!AD16+'3'!AD16+'2'!AD16+'6'!AD16+'5'!AD16+'4'!AD16+'8'!AD16+'7'!AD16+'10'!AD16+'9'!AD16+'11'!AD16+'12'!AD16+'13'!AD16+'15'!AD16+'14'!AD16+'16'!AD16+'17'!AD16+'19'!AD16+'20'!AD16+'22'!AD16+'18'!AD16+'21'!AD16+'25'!AD16+'23'!AD16+'26'!AD16+'24'!AD16+'28'!AD16+'27'!AD16+'29'!AD16+'31'!AD16+'30'!AD16</f>
        <v>0</v>
      </c>
      <c r="AE16" s="52">
        <f>+'1'!AE16+'3'!AE16+'2'!AE16+'6'!AE16+'5'!AE16+'4'!AE16+'8'!AE16+'7'!AE16+'10'!AE16+'9'!AE16+'11'!AE16+'12'!AE16+'13'!AE16+'15'!AE16+'14'!AE16+'16'!AE16+'17'!AE16+'19'!AE16+'20'!AE16+'22'!AE16+'18'!AE16+'21'!AE16+'25'!AE16+'23'!AE16+'26'!AE16+'24'!AE16+'28'!AE16+'27'!AE16+'29'!AE16+'31'!AE16+'30'!AE16</f>
        <v>0</v>
      </c>
      <c r="AF16" s="52">
        <f>+'1'!AF16+'3'!AF16+'2'!AF16+'6'!AF16+'5'!AF16+'4'!AF16+'8'!AF16+'7'!AF16+'10'!AF16+'9'!AF16+'11'!AF16+'12'!AF16+'13'!AF16+'15'!AF16+'14'!AF16+'16'!AF16+'17'!AF16+'19'!AF16+'20'!AF16+'22'!AF16+'18'!AF16+'21'!AF16+'25'!AF16+'23'!AF16+'26'!AF16+'24'!AF16+'28'!AF16+'27'!AF16+'29'!AF16+'31'!AF16+'30'!AF16</f>
        <v>0</v>
      </c>
      <c r="AG16" s="52">
        <f>+'1'!AG16+'3'!AG16+'2'!AG16+'6'!AG16+'5'!AG16+'4'!AG16+'8'!AG16+'7'!AG16+'10'!AG16+'9'!AG16+'11'!AG16+'12'!AG16+'13'!AG16+'15'!AG16+'14'!AG16+'16'!AG16+'17'!AG16+'19'!AG16+'20'!AG16+'22'!AG16+'18'!AG16+'21'!AG16+'25'!AG16+'23'!AG16+'26'!AG16+'24'!AG16+'28'!AG16+'27'!AG16+'29'!AG16+'31'!AG16+'30'!AG16</f>
        <v>0</v>
      </c>
      <c r="AH16" s="52">
        <f>+'1'!AH16+'3'!AH16+'2'!AH16+'6'!AH16+'5'!AH16+'4'!AH16+'8'!AH16+'7'!AH16+'10'!AH16+'9'!AH16+'11'!AH16+'12'!AH16+'13'!AH16+'15'!AH16+'14'!AH16+'16'!AH16+'17'!AH16+'19'!AH16+'20'!AH16+'22'!AH16+'18'!AH16+'21'!AH16+'25'!AH16+'23'!AH16+'26'!AH16+'24'!AH16+'28'!AH16+'27'!AH16+'29'!AH16+'31'!AH16+'30'!AH16</f>
        <v>0</v>
      </c>
      <c r="AI16" s="55">
        <f>+'1'!AI16+'3'!AI16+'2'!AI16+'6'!AI16+'5'!AI16+'4'!AI16+'8'!AI16+'7'!AI16+'10'!AI16+'9'!AI16+'11'!AI16+'12'!AI16+'13'!AI16+'15'!AI16+'14'!AI16+'16'!AI16+'17'!AI16+'19'!AI16+'20'!AI16+'22'!AI16+'18'!AI16+'21'!AI16+'25'!AI16+'23'!AI16+'26'!AI16+'24'!AI16+'28'!AI16+'27'!AI16+'29'!AI16+'31'!AI16+'30'!AI16</f>
        <v>0</v>
      </c>
      <c r="AJ16" s="58">
        <f>+'1'!AJ16+'3'!AJ16+'2'!AJ16+'6'!AJ16+'5'!AJ16+'4'!AJ16+'8'!AJ16+'7'!AJ16+'10'!AJ16+'9'!AJ16+'11'!AJ16+'12'!AJ16+'13'!AJ16+'15'!AJ16+'14'!AJ16+'16'!AJ16+'17'!AJ16+'19'!AJ16+'20'!AJ16+'22'!AJ16+'18'!AJ16+'21'!AJ16+'25'!AJ16+'23'!AJ16+'26'!AJ16+'24'!AJ16+'28'!AJ16+'27'!AJ16+'29'!AJ16+'31'!AJ16+'30'!AJ16</f>
        <v>0</v>
      </c>
      <c r="AK16" s="55">
        <f>+'1'!AK16+'3'!AK16+'2'!AK16+'6'!AK16+'5'!AK16+'4'!AK16+'8'!AK16+'7'!AK16+'10'!AK16+'9'!AK16+'11'!AK16+'12'!AK16+'13'!AK16+'15'!AK16+'14'!AK16+'16'!AK16+'17'!AK16+'19'!AK16+'20'!AK16+'22'!AK16+'18'!AK16+'21'!AK16+'25'!AK16+'23'!AK16+'26'!AK16+'24'!AK16+'28'!AK16+'27'!AK16+'29'!AK16+'31'!AK16+'30'!AK16</f>
        <v>0</v>
      </c>
      <c r="AL16" s="66">
        <f t="shared" si="2"/>
        <v>0</v>
      </c>
      <c r="AM16" s="28" t="str">
        <f t="shared" si="3"/>
        <v>OK</v>
      </c>
    </row>
    <row r="17" spans="1:39" customFormat="1" hidden="1">
      <c r="A17" s="17" t="s">
        <v>92</v>
      </c>
      <c r="B17" s="77">
        <v>15173</v>
      </c>
      <c r="C17" s="17" t="s">
        <v>64</v>
      </c>
      <c r="D17" s="69"/>
      <c r="E17" s="18"/>
      <c r="F17" s="18"/>
      <c r="G17" s="19"/>
      <c r="H17" s="20">
        <f>+'1'!H17+'3'!H17+'2'!H17+'6'!H17+'5'!H17+'4'!H17+'8'!H17+'7'!H17+'10'!H17+'9'!H17+'11'!H17+'12'!H17+'13'!H17+'15'!H17+'14'!H17+'16'!H17+'17'!H17+'19'!H17+'20'!H17+'22'!H17+'18'!H17+'21'!H17+'25'!H17+'23'!H17+'26'!H17+'24'!H17+'28'!H17+'27'!H17+'29'!H17+'31'!H17+'30'!H17</f>
        <v>840</v>
      </c>
      <c r="I17" s="21">
        <f>+'1'!I17+'3'!I17+'2'!I17+'6'!I17+'5'!I17+'4'!I17+'8'!I17+'7'!I17+'10'!I17+'9'!I17+'11'!I17+'12'!I17+'13'!I17+'15'!I17+'14'!I17+'16'!I17+'17'!I17+'19'!I17+'20'!I17+'22'!I17+'18'!I17+'21'!I17+'25'!I17+'23'!I17+'26'!I17+'24'!I17+'28'!I17+'27'!I17+'29'!I17+'31'!I17+'30'!I17</f>
        <v>0</v>
      </c>
      <c r="J17" s="21"/>
      <c r="K17" s="16"/>
      <c r="L17" s="21">
        <f>+'1'!L17+'3'!L17+'2'!L17+'6'!L17+'5'!L17+'4'!L17+'8'!L17+'7'!L17+'10'!L17+'9'!L17+'11'!L17+'12'!L17+'13'!L17+'15'!L17+'14'!L17+'16'!L17+'17'!L17+'19'!L17+'20'!L17+'22'!L17+'18'!L17+'21'!L17+'25'!L17+'23'!L17+'26'!L17+'24'!L17+'28'!L17+'27'!L17+'29'!L17+'31'!L17+'30'!L17</f>
        <v>0</v>
      </c>
      <c r="M17" s="21">
        <f>+'1'!M17+'3'!M17+'2'!M17+'6'!M17+'5'!M17+'4'!M17+'8'!M17+'7'!M17+'10'!M17+'9'!M17+'11'!M17+'12'!M17+'13'!M17+'15'!M17+'14'!M17+'16'!M17+'17'!M17+'19'!M17+'20'!M17+'22'!M17+'18'!M17+'21'!M17+'25'!M17+'23'!M17+'26'!M17+'24'!M17+'28'!M17+'27'!M17+'29'!M17+'31'!M17+'30'!M17</f>
        <v>0</v>
      </c>
      <c r="N17" s="21">
        <f>+'1'!N17+'3'!N17+'2'!N17+'6'!N17+'5'!N17+'4'!N17+'8'!N17+'7'!N17+'10'!N17+'9'!N17+'11'!N17+'12'!N17+'13'!N17+'15'!N17+'14'!N17+'16'!N17+'17'!N17+'19'!N17+'20'!N17+'22'!N17+'18'!N17+'21'!N17+'25'!N17+'23'!N17+'26'!N17+'24'!N17+'28'!N17+'27'!N17+'29'!N17+'31'!N17+'30'!N17</f>
        <v>0</v>
      </c>
      <c r="O17" s="21">
        <f>+'1'!O17+'3'!O17+'2'!O17+'6'!O17+'5'!O17+'4'!O17+'8'!O17+'7'!O17+'10'!O17+'9'!O17+'11'!O17+'12'!O17+'13'!O17+'15'!O17+'14'!O17+'16'!O17+'17'!O17+'19'!O17+'20'!O17+'22'!O17+'18'!O17+'21'!O17+'25'!O17+'23'!O17+'26'!O17+'24'!O17+'28'!O17+'27'!O17+'29'!O17+'31'!O17+'30'!O17</f>
        <v>0</v>
      </c>
      <c r="P17" s="21">
        <f>+'1'!P17+'3'!P17+'2'!P17+'6'!P17+'5'!P17+'4'!P17+'8'!P17+'7'!P17+'10'!P17+'9'!P17+'11'!P17+'12'!P17+'13'!P17+'15'!P17+'14'!P17+'16'!P17+'17'!P17+'19'!P17+'20'!P17+'22'!P17+'18'!P17+'21'!P17+'25'!P17+'23'!P17+'26'!P17+'24'!P17+'28'!P17+'27'!P17+'29'!P17+'31'!P17+'30'!P17</f>
        <v>0</v>
      </c>
      <c r="Q17" s="21">
        <f>+'1'!Q17+'3'!Q17+'2'!Q17+'6'!Q17+'5'!Q17+'4'!Q17+'8'!Q17+'7'!Q17+'10'!Q17+'9'!Q17+'11'!Q17+'12'!Q17+'13'!Q17+'15'!Q17+'14'!Q17+'16'!Q17+'17'!Q17+'19'!Q17+'20'!Q17+'22'!Q17+'18'!Q17+'21'!Q17+'25'!Q17+'23'!Q17+'26'!Q17+'24'!Q17+'28'!Q17+'27'!Q17+'29'!Q17+'31'!Q17+'30'!Q17</f>
        <v>0</v>
      </c>
      <c r="R17" s="21">
        <f>+'1'!R17+'3'!R17+'2'!R17+'6'!R17+'5'!R17+'4'!R17+'8'!R17+'7'!R17+'10'!R17+'9'!R17+'11'!R17+'12'!R17+'13'!R17+'15'!R17+'14'!R17+'16'!R17+'17'!R17+'19'!R17+'20'!R17+'22'!R17+'18'!R17+'21'!R17+'25'!R17+'23'!R17+'26'!R17+'24'!R17+'28'!R17+'27'!R17+'29'!R17+'31'!R17+'30'!R17</f>
        <v>0</v>
      </c>
      <c r="S17" s="21">
        <f>+'1'!S17+'3'!S17+'2'!S17+'6'!S17+'5'!S17+'4'!S17+'8'!S17+'7'!S17+'10'!S17+'9'!S17+'11'!S17+'12'!S17+'13'!S17+'15'!S17+'14'!S17+'16'!S17+'17'!S17+'19'!S17+'20'!S17+'22'!S17+'18'!S17+'21'!S17+'25'!S17+'23'!S17+'26'!S17+'24'!S17+'28'!S17+'27'!S17+'29'!S17+'31'!S17+'30'!S17</f>
        <v>0</v>
      </c>
      <c r="T17" s="42">
        <f>+'1'!T17+'3'!T17+'2'!T17+'6'!T17+'5'!T17+'4'!T17+'8'!T17+'7'!T17+'10'!T17+'9'!T17+'11'!T17+'12'!T17+'13'!T17+'15'!T17+'14'!T17+'16'!T17+'17'!T17+'19'!T17+'20'!T17+'22'!T17+'18'!T17+'21'!T17+'25'!T17+'23'!T17+'26'!T17+'24'!T17+'28'!T17+'27'!T17+'29'!T17+'31'!T17+'30'!T17</f>
        <v>0</v>
      </c>
      <c r="U17" s="51">
        <f>+'1'!U17+'3'!U17+'2'!U17+'6'!U17+'5'!U17+'4'!U17+'8'!U17+'7'!U17+'10'!U17+'9'!U17+'11'!U17+'12'!U17+'13'!U17+'15'!U17+'14'!U17+'16'!U17+'17'!U17+'19'!U17+'20'!U17+'22'!U17+'18'!U17+'21'!U17+'25'!U17+'23'!U17+'26'!U17+'24'!U17+'28'!U17+'27'!U17+'29'!U17+'31'!U17+'30'!U17</f>
        <v>0</v>
      </c>
      <c r="V17" s="51">
        <f>+'1'!V17+'3'!V17+'2'!V17+'6'!V17+'5'!V17+'4'!V17+'8'!V17+'7'!V17+'10'!V17+'9'!V17+'11'!V17+'12'!V17+'13'!V17+'15'!V17+'14'!V17+'16'!V17+'17'!V17+'19'!V17+'20'!V17+'22'!V17+'18'!V17+'21'!V17+'25'!V17+'23'!V17+'26'!V17+'24'!V17+'28'!V17+'27'!V17+'29'!V17+'31'!V17+'30'!V17</f>
        <v>0</v>
      </c>
      <c r="W17" s="51">
        <f>+'1'!W17+'3'!W17+'2'!W17+'6'!W17+'5'!W17+'4'!W17+'8'!W17+'7'!W17+'10'!W17+'9'!W17+'11'!W17+'12'!W17+'13'!W17+'15'!W17+'14'!W17+'16'!W17+'17'!W17+'19'!W17+'20'!W17+'22'!W17+'18'!W17+'21'!W17+'25'!W17+'23'!W17+'26'!W17+'24'!W17+'28'!W17+'27'!W17+'29'!W17+'31'!W17+'30'!W17</f>
        <v>0</v>
      </c>
      <c r="X17" s="51">
        <f>+'1'!X17+'3'!X17+'2'!X17+'6'!X17+'5'!X17+'4'!X17+'8'!X17+'7'!X17+'10'!X17+'9'!X17+'11'!X17+'12'!X17+'13'!X17+'15'!X17+'14'!X17+'16'!X17+'17'!X17+'19'!X17+'20'!X17+'22'!X17+'18'!X17+'21'!X17+'25'!X17+'23'!X17+'26'!X17+'24'!X17+'28'!X17+'27'!X17+'29'!X17+'31'!X17+'30'!X17</f>
        <v>0</v>
      </c>
      <c r="Y17" s="51">
        <f>+'1'!Y17+'3'!Y17+'2'!Y17+'6'!Y17+'5'!Y17+'4'!Y17+'8'!Y17+'7'!Y17+'10'!Y17+'9'!Y17+'11'!Y17+'12'!Y17+'13'!Y17+'15'!Y17+'14'!Y17+'16'!Y17+'17'!Y17+'19'!Y17+'20'!Y17+'22'!Y17+'18'!Y17+'21'!Y17+'25'!Y17+'23'!Y17+'26'!Y17+'24'!Y17+'28'!Y17+'27'!Y17+'29'!Y17+'31'!Y17+'30'!Y17</f>
        <v>0</v>
      </c>
      <c r="Z17" s="51">
        <f>+'1'!Z17+'3'!Z17+'2'!Z17+'6'!Z17+'5'!Z17+'4'!Z17+'8'!Z17+'7'!Z17+'10'!Z17+'9'!Z17+'11'!Z17+'12'!Z17+'13'!Z17+'15'!Z17+'14'!Z17+'16'!Z17+'17'!Z17+'19'!Z17+'20'!Z17+'22'!Z17+'18'!Z17+'21'!Z17+'25'!Z17+'23'!Z17+'26'!Z17+'24'!Z17+'28'!Z17+'27'!Z17+'29'!Z17+'31'!Z17+'30'!Z17</f>
        <v>0</v>
      </c>
      <c r="AA17" s="51">
        <f>+'1'!AA17+'3'!AA17+'2'!AA17+'6'!AA17+'5'!AA17+'4'!AA17+'8'!AA17+'7'!AA17+'10'!AA17+'9'!AA17+'11'!AA17+'12'!AA17+'13'!AA17+'15'!AA17+'14'!AA17+'16'!AA17+'17'!AA17+'19'!AA17+'20'!AA17+'22'!AA17+'18'!AA17+'21'!AA17+'25'!AA17+'23'!AA17+'26'!AA17+'24'!AA17+'28'!AA17+'27'!AA17+'29'!AA17+'31'!AA17+'30'!AA17</f>
        <v>0</v>
      </c>
      <c r="AB17" s="51">
        <f>+'1'!AB17+'3'!AB17+'2'!AB17+'6'!AB17+'5'!AB17+'4'!AB17+'8'!AB17+'7'!AB17+'10'!AB17+'9'!AB17+'11'!AB17+'12'!AB17+'13'!AB17+'15'!AB17+'14'!AB17+'16'!AB17+'17'!AB17+'19'!AB17+'20'!AB17+'22'!AB17+'18'!AB17+'21'!AB17+'25'!AB17+'23'!AB17+'26'!AB17+'24'!AB17+'28'!AB17+'27'!AB17+'29'!AB17+'31'!AB17+'30'!AB17</f>
        <v>0</v>
      </c>
      <c r="AC17" s="51">
        <f>+'1'!AC17+'3'!AC17+'2'!AC17+'6'!AC17+'5'!AC17+'4'!AC17+'8'!AC17+'7'!AC17+'10'!AC17+'9'!AC17+'11'!AC17+'12'!AC17+'13'!AC17+'15'!AC17+'14'!AC17+'16'!AC17+'17'!AC17+'19'!AC17+'20'!AC17+'22'!AC17+'18'!AC17+'21'!AC17+'25'!AC17+'23'!AC17+'26'!AC17+'24'!AC17+'28'!AC17+'27'!AC17+'29'!AC17+'31'!AC17+'30'!AC17</f>
        <v>0</v>
      </c>
      <c r="AD17" s="51">
        <f>+'1'!AD17+'3'!AD17+'2'!AD17+'6'!AD17+'5'!AD17+'4'!AD17+'8'!AD17+'7'!AD17+'10'!AD17+'9'!AD17+'11'!AD17+'12'!AD17+'13'!AD17+'15'!AD17+'14'!AD17+'16'!AD17+'17'!AD17+'19'!AD17+'20'!AD17+'22'!AD17+'18'!AD17+'21'!AD17+'25'!AD17+'23'!AD17+'26'!AD17+'24'!AD17+'28'!AD17+'27'!AD17+'29'!AD17+'31'!AD17+'30'!AD17</f>
        <v>0</v>
      </c>
      <c r="AE17" s="51">
        <f>+'1'!AE17+'3'!AE17+'2'!AE17+'6'!AE17+'5'!AE17+'4'!AE17+'8'!AE17+'7'!AE17+'10'!AE17+'9'!AE17+'11'!AE17+'12'!AE17+'13'!AE17+'15'!AE17+'14'!AE17+'16'!AE17+'17'!AE17+'19'!AE17+'20'!AE17+'22'!AE17+'18'!AE17+'21'!AE17+'25'!AE17+'23'!AE17+'26'!AE17+'24'!AE17+'28'!AE17+'27'!AE17+'29'!AE17+'31'!AE17+'30'!AE17</f>
        <v>0</v>
      </c>
      <c r="AF17" s="51">
        <f>+'1'!AF17+'3'!AF17+'2'!AF17+'6'!AF17+'5'!AF17+'4'!AF17+'8'!AF17+'7'!AF17+'10'!AF17+'9'!AF17+'11'!AF17+'12'!AF17+'13'!AF17+'15'!AF17+'14'!AF17+'16'!AF17+'17'!AF17+'19'!AF17+'20'!AF17+'22'!AF17+'18'!AF17+'21'!AF17+'25'!AF17+'23'!AF17+'26'!AF17+'24'!AF17+'28'!AF17+'27'!AF17+'29'!AF17+'31'!AF17+'30'!AF17</f>
        <v>0</v>
      </c>
      <c r="AG17" s="51">
        <f>+'1'!AG17+'3'!AG17+'2'!AG17+'6'!AG17+'5'!AG17+'4'!AG17+'8'!AG17+'7'!AG17+'10'!AG17+'9'!AG17+'11'!AG17+'12'!AG17+'13'!AG17+'15'!AG17+'14'!AG17+'16'!AG17+'17'!AG17+'19'!AG17+'20'!AG17+'22'!AG17+'18'!AG17+'21'!AG17+'25'!AG17+'23'!AG17+'26'!AG17+'24'!AG17+'28'!AG17+'27'!AG17+'29'!AG17+'31'!AG17+'30'!AG17</f>
        <v>0</v>
      </c>
      <c r="AH17" s="51">
        <f>+'1'!AH17+'3'!AH17+'2'!AH17+'6'!AH17+'5'!AH17+'4'!AH17+'8'!AH17+'7'!AH17+'10'!AH17+'9'!AH17+'11'!AH17+'12'!AH17+'13'!AH17+'15'!AH17+'14'!AH17+'16'!AH17+'17'!AH17+'19'!AH17+'20'!AH17+'22'!AH17+'18'!AH17+'21'!AH17+'25'!AH17+'23'!AH17+'26'!AH17+'24'!AH17+'28'!AH17+'27'!AH17+'29'!AH17+'31'!AH17+'30'!AH17</f>
        <v>0</v>
      </c>
      <c r="AI17" s="54">
        <f>+'1'!AI17+'3'!AI17+'2'!AI17+'6'!AI17+'5'!AI17+'4'!AI17+'8'!AI17+'7'!AI17+'10'!AI17+'9'!AI17+'11'!AI17+'12'!AI17+'13'!AI17+'15'!AI17+'14'!AI17+'16'!AI17+'17'!AI17+'19'!AI17+'20'!AI17+'22'!AI17+'18'!AI17+'21'!AI17+'25'!AI17+'23'!AI17+'26'!AI17+'24'!AI17+'28'!AI17+'27'!AI17+'29'!AI17+'31'!AI17+'30'!AI17</f>
        <v>0</v>
      </c>
      <c r="AJ17" s="57">
        <f>+'1'!AJ17+'3'!AJ17+'2'!AJ17+'6'!AJ17+'5'!AJ17+'4'!AJ17+'8'!AJ17+'7'!AJ17+'10'!AJ17+'9'!AJ17+'11'!AJ17+'12'!AJ17+'13'!AJ17+'15'!AJ17+'14'!AJ17+'16'!AJ17+'17'!AJ17+'19'!AJ17+'20'!AJ17+'22'!AJ17+'18'!AJ17+'21'!AJ17+'25'!AJ17+'23'!AJ17+'26'!AJ17+'24'!AJ17+'28'!AJ17+'27'!AJ17+'29'!AJ17+'31'!AJ17+'30'!AJ17</f>
        <v>0</v>
      </c>
      <c r="AK17" s="54">
        <f>+'1'!AK17+'3'!AK17+'2'!AK17+'6'!AK17+'5'!AK17+'4'!AK17+'8'!AK17+'7'!AK17+'10'!AK17+'9'!AK17+'11'!AK17+'12'!AK17+'13'!AK17+'15'!AK17+'14'!AK17+'16'!AK17+'17'!AK17+'19'!AK17+'20'!AK17+'22'!AK17+'18'!AK17+'21'!AK17+'25'!AK17+'23'!AK17+'26'!AK17+'24'!AK17+'28'!AK17+'27'!AK17+'29'!AK17+'31'!AK17+'30'!AK17</f>
        <v>0</v>
      </c>
      <c r="AL17" s="65">
        <f t="shared" si="2"/>
        <v>0</v>
      </c>
      <c r="AM17" s="22" t="str">
        <f t="shared" si="3"/>
        <v>OK</v>
      </c>
    </row>
    <row r="18" spans="1:39" customFormat="1">
      <c r="A18" s="68" t="s">
        <v>93</v>
      </c>
      <c r="B18" s="78">
        <v>15519</v>
      </c>
      <c r="C18" s="23" t="s">
        <v>65</v>
      </c>
      <c r="D18" s="24"/>
      <c r="E18" s="24"/>
      <c r="F18" s="24"/>
      <c r="G18" s="25"/>
      <c r="H18" s="14">
        <f>+'1'!H18+'3'!H18+'2'!H18+'6'!H18+'5'!H18+'4'!H18+'8'!H18+'7'!H18+'10'!H18+'9'!H18+'11'!H18+'12'!H18+'13'!H18+'15'!H18+'14'!H18+'16'!H18+'17'!H18+'19'!H18+'20'!H18+'22'!H18+'18'!H18+'21'!H18+'25'!H18+'23'!H18+'26'!H18+'24'!H18+'28'!H18+'27'!H18+'29'!H18+'31'!H18+'30'!H18</f>
        <v>7627</v>
      </c>
      <c r="I18" s="15">
        <f>+'1'!I18+'3'!I18+'2'!I18+'6'!I18+'5'!I18+'4'!I18+'8'!I18+'7'!I18+'10'!I18+'9'!I18+'11'!I18+'12'!I18+'13'!I18+'15'!I18+'14'!I18+'16'!I18+'17'!I18+'19'!I18+'20'!I18+'22'!I18+'18'!I18+'21'!I18+'25'!I18+'23'!I18+'26'!I18+'24'!I18+'28'!I18+'27'!I18+'29'!I18+'31'!I18+'30'!I18</f>
        <v>0</v>
      </c>
      <c r="J18" s="15"/>
      <c r="K18" s="16"/>
      <c r="L18" s="27">
        <f>+'1'!L18+'3'!L18+'2'!L18+'6'!L18+'5'!L18+'4'!L18+'8'!L18+'7'!L18+'10'!L18+'9'!L18+'11'!L18+'12'!L18+'13'!L18+'15'!L18+'14'!L18+'16'!L18+'17'!L18+'19'!L18+'20'!L18+'22'!L18+'18'!L18+'21'!L18+'25'!L18+'23'!L18+'26'!L18+'24'!L18+'28'!L18+'27'!L18+'29'!L18+'31'!L18+'30'!L18</f>
        <v>0</v>
      </c>
      <c r="M18" s="27">
        <f>+'1'!M18+'3'!M18+'2'!M18+'6'!M18+'5'!M18+'4'!M18+'8'!M18+'7'!M18+'10'!M18+'9'!M18+'11'!M18+'12'!M18+'13'!M18+'15'!M18+'14'!M18+'16'!M18+'17'!M18+'19'!M18+'20'!M18+'22'!M18+'18'!M18+'21'!M18+'25'!M18+'23'!M18+'26'!M18+'24'!M18+'28'!M18+'27'!M18+'29'!M18+'31'!M18+'30'!M18</f>
        <v>0</v>
      </c>
      <c r="N18" s="27">
        <f>+'1'!N18+'3'!N18+'2'!N18+'6'!N18+'5'!N18+'4'!N18+'8'!N18+'7'!N18+'10'!N18+'9'!N18+'11'!N18+'12'!N18+'13'!N18+'15'!N18+'14'!N18+'16'!N18+'17'!N18+'19'!N18+'20'!N18+'22'!N18+'18'!N18+'21'!N18+'25'!N18+'23'!N18+'26'!N18+'24'!N18+'28'!N18+'27'!N18+'29'!N18+'31'!N18+'30'!N18</f>
        <v>0</v>
      </c>
      <c r="O18" s="27">
        <f>+'1'!O18+'3'!O18+'2'!O18+'6'!O18+'5'!O18+'4'!O18+'8'!O18+'7'!O18+'10'!O18+'9'!O18+'11'!O18+'12'!O18+'13'!O18+'15'!O18+'14'!O18+'16'!O18+'17'!O18+'19'!O18+'20'!O18+'22'!O18+'18'!O18+'21'!O18+'25'!O18+'23'!O18+'26'!O18+'24'!O18+'28'!O18+'27'!O18+'29'!O18+'31'!O18+'30'!O18</f>
        <v>0</v>
      </c>
      <c r="P18" s="27">
        <f>+'1'!P18+'3'!P18+'2'!P18+'6'!P18+'5'!P18+'4'!P18+'8'!P18+'7'!P18+'10'!P18+'9'!P18+'11'!P18+'12'!P18+'13'!P18+'15'!P18+'14'!P18+'16'!P18+'17'!P18+'19'!P18+'20'!P18+'22'!P18+'18'!P18+'21'!P18+'25'!P18+'23'!P18+'26'!P18+'24'!P18+'28'!P18+'27'!P18+'29'!P18+'31'!P18+'30'!P18</f>
        <v>0</v>
      </c>
      <c r="Q18" s="27">
        <f>+'1'!Q18+'3'!Q18+'2'!Q18+'6'!Q18+'5'!Q18+'4'!Q18+'8'!Q18+'7'!Q18+'10'!Q18+'9'!Q18+'11'!Q18+'12'!Q18+'13'!Q18+'15'!Q18+'14'!Q18+'16'!Q18+'17'!Q18+'19'!Q18+'20'!Q18+'22'!Q18+'18'!Q18+'21'!Q18+'25'!Q18+'23'!Q18+'26'!Q18+'24'!Q18+'28'!Q18+'27'!Q18+'29'!Q18+'31'!Q18+'30'!Q18</f>
        <v>0</v>
      </c>
      <c r="R18" s="27">
        <f>+'1'!R18+'3'!R18+'2'!R18+'6'!R18+'5'!R18+'4'!R18+'8'!R18+'7'!R18+'10'!R18+'9'!R18+'11'!R18+'12'!R18+'13'!R18+'15'!R18+'14'!R18+'16'!R18+'17'!R18+'19'!R18+'20'!R18+'22'!R18+'18'!R18+'21'!R18+'25'!R18+'23'!R18+'26'!R18+'24'!R18+'28'!R18+'27'!R18+'29'!R18+'31'!R18+'30'!R18</f>
        <v>0</v>
      </c>
      <c r="S18" s="27">
        <f>+'1'!S18+'3'!S18+'2'!S18+'6'!S18+'5'!S18+'4'!S18+'8'!S18+'7'!S18+'10'!S18+'9'!S18+'11'!S18+'12'!S18+'13'!S18+'15'!S18+'14'!S18+'16'!S18+'17'!S18+'19'!S18+'20'!S18+'22'!S18+'18'!S18+'21'!S18+'25'!S18+'23'!S18+'26'!S18+'24'!S18+'28'!S18+'27'!S18+'29'!S18+'31'!S18+'30'!S18</f>
        <v>0</v>
      </c>
      <c r="T18" s="43">
        <f>+'1'!T18+'3'!T18+'2'!T18+'6'!T18+'5'!T18+'4'!T18+'8'!T18+'7'!T18+'10'!T18+'9'!T18+'11'!T18+'12'!T18+'13'!T18+'15'!T18+'14'!T18+'16'!T18+'17'!T18+'19'!T18+'20'!T18+'22'!T18+'18'!T18+'21'!T18+'25'!T18+'23'!T18+'26'!T18+'24'!T18+'28'!T18+'27'!T18+'29'!T18+'31'!T18+'30'!T18</f>
        <v>0</v>
      </c>
      <c r="U18" s="52">
        <f>+'1'!U18+'3'!U18+'2'!U18+'6'!U18+'5'!U18+'4'!U18+'8'!U18+'7'!U18+'10'!U18+'9'!U18+'11'!U18+'12'!U18+'13'!U18+'15'!U18+'14'!U18+'16'!U18+'17'!U18+'19'!U18+'20'!U18+'22'!U18+'18'!U18+'21'!U18+'25'!U18+'23'!U18+'26'!U18+'24'!U18+'28'!U18+'27'!U18+'29'!U18+'31'!U18+'30'!U18</f>
        <v>0</v>
      </c>
      <c r="V18" s="52">
        <f>+'1'!V18+'3'!V18+'2'!V18+'6'!V18+'5'!V18+'4'!V18+'8'!V18+'7'!V18+'10'!V18+'9'!V18+'11'!V18+'12'!V18+'13'!V18+'15'!V18+'14'!V18+'16'!V18+'17'!V18+'19'!V18+'20'!V18+'22'!V18+'18'!V18+'21'!V18+'25'!V18+'23'!V18+'26'!V18+'24'!V18+'28'!V18+'27'!V18+'29'!V18+'31'!V18+'30'!V18</f>
        <v>0</v>
      </c>
      <c r="W18" s="52">
        <f>+'1'!W18+'3'!W18+'2'!W18+'6'!W18+'5'!W18+'4'!W18+'8'!W18+'7'!W18+'10'!W18+'9'!W18+'11'!W18+'12'!W18+'13'!W18+'15'!W18+'14'!W18+'16'!W18+'17'!W18+'19'!W18+'20'!W18+'22'!W18+'18'!W18+'21'!W18+'25'!W18+'23'!W18+'26'!W18+'24'!W18+'28'!W18+'27'!W18+'29'!W18+'31'!W18+'30'!W18</f>
        <v>0</v>
      </c>
      <c r="X18" s="52">
        <f>+'1'!X18+'3'!X18+'2'!X18+'6'!X18+'5'!X18+'4'!X18+'8'!X18+'7'!X18+'10'!X18+'9'!X18+'11'!X18+'12'!X18+'13'!X18+'15'!X18+'14'!X18+'16'!X18+'17'!X18+'19'!X18+'20'!X18+'22'!X18+'18'!X18+'21'!X18+'25'!X18+'23'!X18+'26'!X18+'24'!X18+'28'!X18+'27'!X18+'29'!X18+'31'!X18+'30'!X18</f>
        <v>0</v>
      </c>
      <c r="Y18" s="52">
        <f>+'1'!Y18+'3'!Y18+'2'!Y18+'6'!Y18+'5'!Y18+'4'!Y18+'8'!Y18+'7'!Y18+'10'!Y18+'9'!Y18+'11'!Y18+'12'!Y18+'13'!Y18+'15'!Y18+'14'!Y18+'16'!Y18+'17'!Y18+'19'!Y18+'20'!Y18+'22'!Y18+'18'!Y18+'21'!Y18+'25'!Y18+'23'!Y18+'26'!Y18+'24'!Y18+'28'!Y18+'27'!Y18+'29'!Y18+'31'!Y18+'30'!Y18</f>
        <v>0</v>
      </c>
      <c r="Z18" s="52">
        <f>+'1'!Z18+'3'!Z18+'2'!Z18+'6'!Z18+'5'!Z18+'4'!Z18+'8'!Z18+'7'!Z18+'10'!Z18+'9'!Z18+'11'!Z18+'12'!Z18+'13'!Z18+'15'!Z18+'14'!Z18+'16'!Z18+'17'!Z18+'19'!Z18+'20'!Z18+'22'!Z18+'18'!Z18+'21'!Z18+'25'!Z18+'23'!Z18+'26'!Z18+'24'!Z18+'28'!Z18+'27'!Z18+'29'!Z18+'31'!Z18+'30'!Z18</f>
        <v>0</v>
      </c>
      <c r="AA18" s="52">
        <f>+'1'!AA18+'3'!AA18+'2'!AA18+'6'!AA18+'5'!AA18+'4'!AA18+'8'!AA18+'7'!AA18+'10'!AA18+'9'!AA18+'11'!AA18+'12'!AA18+'13'!AA18+'15'!AA18+'14'!AA18+'16'!AA18+'17'!AA18+'19'!AA18+'20'!AA18+'22'!AA18+'18'!AA18+'21'!AA18+'25'!AA18+'23'!AA18+'26'!AA18+'24'!AA18+'28'!AA18+'27'!AA18+'29'!AA18+'31'!AA18+'30'!AA18</f>
        <v>0</v>
      </c>
      <c r="AB18" s="52">
        <f>+'1'!AB18+'3'!AB18+'2'!AB18+'6'!AB18+'5'!AB18+'4'!AB18+'8'!AB18+'7'!AB18+'10'!AB18+'9'!AB18+'11'!AB18+'12'!AB18+'13'!AB18+'15'!AB18+'14'!AB18+'16'!AB18+'17'!AB18+'19'!AB18+'20'!AB18+'22'!AB18+'18'!AB18+'21'!AB18+'25'!AB18+'23'!AB18+'26'!AB18+'24'!AB18+'28'!AB18+'27'!AB18+'29'!AB18+'31'!AB18+'30'!AB18</f>
        <v>0</v>
      </c>
      <c r="AC18" s="52">
        <f>+'1'!AC18+'3'!AC18+'2'!AC18+'6'!AC18+'5'!AC18+'4'!AC18+'8'!AC18+'7'!AC18+'10'!AC18+'9'!AC18+'11'!AC18+'12'!AC18+'13'!AC18+'15'!AC18+'14'!AC18+'16'!AC18+'17'!AC18+'19'!AC18+'20'!AC18+'22'!AC18+'18'!AC18+'21'!AC18+'25'!AC18+'23'!AC18+'26'!AC18+'24'!AC18+'28'!AC18+'27'!AC18+'29'!AC18+'31'!AC18+'30'!AC18</f>
        <v>0</v>
      </c>
      <c r="AD18" s="52">
        <f>+'1'!AD18+'3'!AD18+'2'!AD18+'6'!AD18+'5'!AD18+'4'!AD18+'8'!AD18+'7'!AD18+'10'!AD18+'9'!AD18+'11'!AD18+'12'!AD18+'13'!AD18+'15'!AD18+'14'!AD18+'16'!AD18+'17'!AD18+'19'!AD18+'20'!AD18+'22'!AD18+'18'!AD18+'21'!AD18+'25'!AD18+'23'!AD18+'26'!AD18+'24'!AD18+'28'!AD18+'27'!AD18+'29'!AD18+'31'!AD18+'30'!AD18</f>
        <v>0</v>
      </c>
      <c r="AE18" s="52">
        <f>+'1'!AE18+'3'!AE18+'2'!AE18+'6'!AE18+'5'!AE18+'4'!AE18+'8'!AE18+'7'!AE18+'10'!AE18+'9'!AE18+'11'!AE18+'12'!AE18+'13'!AE18+'15'!AE18+'14'!AE18+'16'!AE18+'17'!AE18+'19'!AE18+'20'!AE18+'22'!AE18+'18'!AE18+'21'!AE18+'25'!AE18+'23'!AE18+'26'!AE18+'24'!AE18+'28'!AE18+'27'!AE18+'29'!AE18+'31'!AE18+'30'!AE18</f>
        <v>0</v>
      </c>
      <c r="AF18" s="52">
        <f>+'1'!AF18+'3'!AF18+'2'!AF18+'6'!AF18+'5'!AF18+'4'!AF18+'8'!AF18+'7'!AF18+'10'!AF18+'9'!AF18+'11'!AF18+'12'!AF18+'13'!AF18+'15'!AF18+'14'!AF18+'16'!AF18+'17'!AF18+'19'!AF18+'20'!AF18+'22'!AF18+'18'!AF18+'21'!AF18+'25'!AF18+'23'!AF18+'26'!AF18+'24'!AF18+'28'!AF18+'27'!AF18+'29'!AF18+'31'!AF18+'30'!AF18</f>
        <v>0</v>
      </c>
      <c r="AG18" s="52">
        <f>+'1'!AG18+'3'!AG18+'2'!AG18+'6'!AG18+'5'!AG18+'4'!AG18+'8'!AG18+'7'!AG18+'10'!AG18+'9'!AG18+'11'!AG18+'12'!AG18+'13'!AG18+'15'!AG18+'14'!AG18+'16'!AG18+'17'!AG18+'19'!AG18+'20'!AG18+'22'!AG18+'18'!AG18+'21'!AG18+'25'!AG18+'23'!AG18+'26'!AG18+'24'!AG18+'28'!AG18+'27'!AG18+'29'!AG18+'31'!AG18+'30'!AG18</f>
        <v>0</v>
      </c>
      <c r="AH18" s="52">
        <f>+'1'!AH18+'3'!AH18+'2'!AH18+'6'!AH18+'5'!AH18+'4'!AH18+'8'!AH18+'7'!AH18+'10'!AH18+'9'!AH18+'11'!AH18+'12'!AH18+'13'!AH18+'15'!AH18+'14'!AH18+'16'!AH18+'17'!AH18+'19'!AH18+'20'!AH18+'22'!AH18+'18'!AH18+'21'!AH18+'25'!AH18+'23'!AH18+'26'!AH18+'24'!AH18+'28'!AH18+'27'!AH18+'29'!AH18+'31'!AH18+'30'!AH18</f>
        <v>0</v>
      </c>
      <c r="AI18" s="55">
        <f>+'1'!AI18+'3'!AI18+'2'!AI18+'6'!AI18+'5'!AI18+'4'!AI18+'8'!AI18+'7'!AI18+'10'!AI18+'9'!AI18+'11'!AI18+'12'!AI18+'13'!AI18+'15'!AI18+'14'!AI18+'16'!AI18+'17'!AI18+'19'!AI18+'20'!AI18+'22'!AI18+'18'!AI18+'21'!AI18+'25'!AI18+'23'!AI18+'26'!AI18+'24'!AI18+'28'!AI18+'27'!AI18+'29'!AI18+'31'!AI18+'30'!AI18</f>
        <v>0</v>
      </c>
      <c r="AJ18" s="58">
        <f>+'1'!AJ18+'3'!AJ18+'2'!AJ18+'6'!AJ18+'5'!AJ18+'4'!AJ18+'8'!AJ18+'7'!AJ18+'10'!AJ18+'9'!AJ18+'11'!AJ18+'12'!AJ18+'13'!AJ18+'15'!AJ18+'14'!AJ18+'16'!AJ18+'17'!AJ18+'19'!AJ18+'20'!AJ18+'22'!AJ18+'18'!AJ18+'21'!AJ18+'25'!AJ18+'23'!AJ18+'26'!AJ18+'24'!AJ18+'28'!AJ18+'27'!AJ18+'29'!AJ18+'31'!AJ18+'30'!AJ18</f>
        <v>0</v>
      </c>
      <c r="AK18" s="55">
        <f>+'1'!AK18+'3'!AK18+'2'!AK18+'6'!AK18+'5'!AK18+'4'!AK18+'8'!AK18+'7'!AK18+'10'!AK18+'9'!AK18+'11'!AK18+'12'!AK18+'13'!AK18+'15'!AK18+'14'!AK18+'16'!AK18+'17'!AK18+'19'!AK18+'20'!AK18+'22'!AK18+'18'!AK18+'21'!AK18+'25'!AK18+'23'!AK18+'26'!AK18+'24'!AK18+'28'!AK18+'27'!AK18+'29'!AK18+'31'!AK18+'30'!AK18</f>
        <v>0</v>
      </c>
      <c r="AL18" s="66">
        <f t="shared" si="2"/>
        <v>0</v>
      </c>
      <c r="AM18" s="28" t="str">
        <f t="shared" si="3"/>
        <v>OK</v>
      </c>
    </row>
    <row r="19" spans="1:39" customFormat="1">
      <c r="A19" s="17" t="s">
        <v>91</v>
      </c>
      <c r="B19" s="77">
        <v>14988</v>
      </c>
      <c r="C19" s="17" t="s">
        <v>64</v>
      </c>
      <c r="D19" s="69"/>
      <c r="E19" s="18"/>
      <c r="F19" s="18"/>
      <c r="G19" s="19"/>
      <c r="H19" s="20">
        <f>+'1'!H19+'3'!H19+'2'!H19+'6'!H19+'5'!H19+'4'!H19+'8'!H19+'7'!H19+'10'!H19+'9'!H19+'11'!H19+'12'!H19+'13'!H19+'15'!H19+'14'!H19+'16'!H19+'17'!H19+'19'!H19+'20'!H19+'22'!H19+'18'!H19+'21'!H19+'25'!H19+'23'!H19+'26'!H19+'24'!H19+'28'!H19+'27'!H19+'29'!H19+'31'!H19+'30'!H19</f>
        <v>111819</v>
      </c>
      <c r="I19" s="21">
        <f>+'1'!I19+'3'!I19+'2'!I19+'6'!I19+'5'!I19+'4'!I19+'8'!I19+'7'!I19+'10'!I19+'9'!I19+'11'!I19+'12'!I19+'13'!I19+'15'!I19+'14'!I19+'16'!I19+'17'!I19+'19'!I19+'20'!I19+'22'!I19+'18'!I19+'21'!I19+'25'!I19+'23'!I19+'26'!I19+'24'!I19+'28'!I19+'27'!I19+'29'!I19+'31'!I19+'30'!I19</f>
        <v>7</v>
      </c>
      <c r="J19" s="21"/>
      <c r="K19" s="16"/>
      <c r="L19" s="21">
        <f>+'1'!L19+'3'!L19+'2'!L19+'6'!L19+'5'!L19+'4'!L19+'8'!L19+'7'!L19+'10'!L19+'9'!L19+'11'!L19+'12'!L19+'13'!L19+'15'!L19+'14'!L19+'16'!L19+'17'!L19+'19'!L19+'20'!L19+'22'!L19+'18'!L19+'21'!L19+'25'!L19+'23'!L19+'26'!L19+'24'!L19+'28'!L19+'27'!L19+'29'!L19+'31'!L19+'30'!L19</f>
        <v>1</v>
      </c>
      <c r="M19" s="21">
        <f>+'1'!M19+'3'!M19+'2'!M19+'6'!M19+'5'!M19+'4'!M19+'8'!M19+'7'!M19+'10'!M19+'9'!M19+'11'!M19+'12'!M19+'13'!M19+'15'!M19+'14'!M19+'16'!M19+'17'!M19+'19'!M19+'20'!M19+'22'!M19+'18'!M19+'21'!M19+'25'!M19+'23'!M19+'26'!M19+'24'!M19+'28'!M19+'27'!M19+'29'!M19+'31'!M19+'30'!M19</f>
        <v>2</v>
      </c>
      <c r="N19" s="21">
        <f>+'1'!N19+'3'!N19+'2'!N19+'6'!N19+'5'!N19+'4'!N19+'8'!N19+'7'!N19+'10'!N19+'9'!N19+'11'!N19+'12'!N19+'13'!N19+'15'!N19+'14'!N19+'16'!N19+'17'!N19+'19'!N19+'20'!N19+'22'!N19+'18'!N19+'21'!N19+'25'!N19+'23'!N19+'26'!N19+'24'!N19+'28'!N19+'27'!N19+'29'!N19+'31'!N19+'30'!N19</f>
        <v>0</v>
      </c>
      <c r="O19" s="21">
        <f>+'1'!O19+'3'!O19+'2'!O19+'6'!O19+'5'!O19+'4'!O19+'8'!O19+'7'!O19+'10'!O19+'9'!O19+'11'!O19+'12'!O19+'13'!O19+'15'!O19+'14'!O19+'16'!O19+'17'!O19+'19'!O19+'20'!O19+'22'!O19+'18'!O19+'21'!O19+'25'!O19+'23'!O19+'26'!O19+'24'!O19+'28'!O19+'27'!O19+'29'!O19+'31'!O19+'30'!O19</f>
        <v>0</v>
      </c>
      <c r="P19" s="21">
        <f>+'1'!P19+'3'!P19+'2'!P19+'6'!P19+'5'!P19+'4'!P19+'8'!P19+'7'!P19+'10'!P19+'9'!P19+'11'!P19+'12'!P19+'13'!P19+'15'!P19+'14'!P19+'16'!P19+'17'!P19+'19'!P19+'20'!P19+'22'!P19+'18'!P19+'21'!P19+'25'!P19+'23'!P19+'26'!P19+'24'!P19+'28'!P19+'27'!P19+'29'!P19+'31'!P19+'30'!P19</f>
        <v>1</v>
      </c>
      <c r="Q19" s="21">
        <f>+'1'!Q19+'3'!Q19+'2'!Q19+'6'!Q19+'5'!Q19+'4'!Q19+'8'!Q19+'7'!Q19+'10'!Q19+'9'!Q19+'11'!Q19+'12'!Q19+'13'!Q19+'15'!Q19+'14'!Q19+'16'!Q19+'17'!Q19+'19'!Q19+'20'!Q19+'22'!Q19+'18'!Q19+'21'!Q19+'25'!Q19+'23'!Q19+'26'!Q19+'24'!Q19+'28'!Q19+'27'!Q19+'29'!Q19+'31'!Q19+'30'!Q19</f>
        <v>0</v>
      </c>
      <c r="R19" s="21">
        <f>+'1'!R19+'3'!R19+'2'!R19+'6'!R19+'5'!R19+'4'!R19+'8'!R19+'7'!R19+'10'!R19+'9'!R19+'11'!R19+'12'!R19+'13'!R19+'15'!R19+'14'!R19+'16'!R19+'17'!R19+'19'!R19+'20'!R19+'22'!R19+'18'!R19+'21'!R19+'25'!R19+'23'!R19+'26'!R19+'24'!R19+'28'!R19+'27'!R19+'29'!R19+'31'!R19+'30'!R19</f>
        <v>0</v>
      </c>
      <c r="S19" s="21">
        <f>+'1'!S19+'3'!S19+'2'!S19+'6'!S19+'5'!S19+'4'!S19+'8'!S19+'7'!S19+'10'!S19+'9'!S19+'11'!S19+'12'!S19+'13'!S19+'15'!S19+'14'!S19+'16'!S19+'17'!S19+'19'!S19+'20'!S19+'22'!S19+'18'!S19+'21'!S19+'25'!S19+'23'!S19+'26'!S19+'24'!S19+'28'!S19+'27'!S19+'29'!S19+'31'!S19+'30'!S19</f>
        <v>0</v>
      </c>
      <c r="T19" s="42">
        <f>+'1'!T19+'3'!T19+'2'!T19+'6'!T19+'5'!T19+'4'!T19+'8'!T19+'7'!T19+'10'!T19+'9'!T19+'11'!T19+'12'!T19+'13'!T19+'15'!T19+'14'!T19+'16'!T19+'17'!T19+'19'!T19+'20'!T19+'22'!T19+'18'!T19+'21'!T19+'25'!T19+'23'!T19+'26'!T19+'24'!T19+'28'!T19+'27'!T19+'29'!T19+'31'!T19+'30'!T19</f>
        <v>0</v>
      </c>
      <c r="U19" s="51">
        <f>+'1'!U19+'3'!U19+'2'!U19+'6'!U19+'5'!U19+'4'!U19+'8'!U19+'7'!U19+'10'!U19+'9'!U19+'11'!U19+'12'!U19+'13'!U19+'15'!U19+'14'!U19+'16'!U19+'17'!U19+'19'!U19+'20'!U19+'22'!U19+'18'!U19+'21'!U19+'25'!U19+'23'!U19+'26'!U19+'24'!U19+'28'!U19+'27'!U19+'29'!U19+'31'!U19+'30'!U19</f>
        <v>0</v>
      </c>
      <c r="V19" s="51">
        <f>+'1'!V19+'3'!V19+'2'!V19+'6'!V19+'5'!V19+'4'!V19+'8'!V19+'7'!V19+'10'!V19+'9'!V19+'11'!V19+'12'!V19+'13'!V19+'15'!V19+'14'!V19+'16'!V19+'17'!V19+'19'!V19+'20'!V19+'22'!V19+'18'!V19+'21'!V19+'25'!V19+'23'!V19+'26'!V19+'24'!V19+'28'!V19+'27'!V19+'29'!V19+'31'!V19+'30'!V19</f>
        <v>0</v>
      </c>
      <c r="W19" s="51">
        <f>+'1'!W19+'3'!W19+'2'!W19+'6'!W19+'5'!W19+'4'!W19+'8'!W19+'7'!W19+'10'!W19+'9'!W19+'11'!W19+'12'!W19+'13'!W19+'15'!W19+'14'!W19+'16'!W19+'17'!W19+'19'!W19+'20'!W19+'22'!W19+'18'!W19+'21'!W19+'25'!W19+'23'!W19+'26'!W19+'24'!W19+'28'!W19+'27'!W19+'29'!W19+'31'!W19+'30'!W19</f>
        <v>0</v>
      </c>
      <c r="X19" s="51">
        <f>+'1'!X19+'3'!X19+'2'!X19+'6'!X19+'5'!X19+'4'!X19+'8'!X19+'7'!X19+'10'!X19+'9'!X19+'11'!X19+'12'!X19+'13'!X19+'15'!X19+'14'!X19+'16'!X19+'17'!X19+'19'!X19+'20'!X19+'22'!X19+'18'!X19+'21'!X19+'25'!X19+'23'!X19+'26'!X19+'24'!X19+'28'!X19+'27'!X19+'29'!X19+'31'!X19+'30'!X19</f>
        <v>0</v>
      </c>
      <c r="Y19" s="51">
        <f>+'1'!Y19+'3'!Y19+'2'!Y19+'6'!Y19+'5'!Y19+'4'!Y19+'8'!Y19+'7'!Y19+'10'!Y19+'9'!Y19+'11'!Y19+'12'!Y19+'13'!Y19+'15'!Y19+'14'!Y19+'16'!Y19+'17'!Y19+'19'!Y19+'20'!Y19+'22'!Y19+'18'!Y19+'21'!Y19+'25'!Y19+'23'!Y19+'26'!Y19+'24'!Y19+'28'!Y19+'27'!Y19+'29'!Y19+'31'!Y19+'30'!Y19</f>
        <v>0</v>
      </c>
      <c r="Z19" s="51">
        <f>+'1'!Z19+'3'!Z19+'2'!Z19+'6'!Z19+'5'!Z19+'4'!Z19+'8'!Z19+'7'!Z19+'10'!Z19+'9'!Z19+'11'!Z19+'12'!Z19+'13'!Z19+'15'!Z19+'14'!Z19+'16'!Z19+'17'!Z19+'19'!Z19+'20'!Z19+'22'!Z19+'18'!Z19+'21'!Z19+'25'!Z19+'23'!Z19+'26'!Z19+'24'!Z19+'28'!Z19+'27'!Z19+'29'!Z19+'31'!Z19+'30'!Z19</f>
        <v>0</v>
      </c>
      <c r="AA19" s="51">
        <f>+'1'!AA19+'3'!AA19+'2'!AA19+'6'!AA19+'5'!AA19+'4'!AA19+'8'!AA19+'7'!AA19+'10'!AA19+'9'!AA19+'11'!AA19+'12'!AA19+'13'!AA19+'15'!AA19+'14'!AA19+'16'!AA19+'17'!AA19+'19'!AA19+'20'!AA19+'22'!AA19+'18'!AA19+'21'!AA19+'25'!AA19+'23'!AA19+'26'!AA19+'24'!AA19+'28'!AA19+'27'!AA19+'29'!AA19+'31'!AA19+'30'!AA19</f>
        <v>0</v>
      </c>
      <c r="AB19" s="51">
        <f>+'1'!AB19+'3'!AB19+'2'!AB19+'6'!AB19+'5'!AB19+'4'!AB19+'8'!AB19+'7'!AB19+'10'!AB19+'9'!AB19+'11'!AB19+'12'!AB19+'13'!AB19+'15'!AB19+'14'!AB19+'16'!AB19+'17'!AB19+'19'!AB19+'20'!AB19+'22'!AB19+'18'!AB19+'21'!AB19+'25'!AB19+'23'!AB19+'26'!AB19+'24'!AB19+'28'!AB19+'27'!AB19+'29'!AB19+'31'!AB19+'30'!AB19</f>
        <v>1</v>
      </c>
      <c r="AC19" s="51">
        <f>+'1'!AC19+'3'!AC19+'2'!AC19+'6'!AC19+'5'!AC19+'4'!AC19+'8'!AC19+'7'!AC19+'10'!AC19+'9'!AC19+'11'!AC19+'12'!AC19+'13'!AC19+'15'!AC19+'14'!AC19+'16'!AC19+'17'!AC19+'19'!AC19+'20'!AC19+'22'!AC19+'18'!AC19+'21'!AC19+'25'!AC19+'23'!AC19+'26'!AC19+'24'!AC19+'28'!AC19+'27'!AC19+'29'!AC19+'31'!AC19+'30'!AC19</f>
        <v>2</v>
      </c>
      <c r="AD19" s="51">
        <f>+'1'!AD19+'3'!AD19+'2'!AD19+'6'!AD19+'5'!AD19+'4'!AD19+'8'!AD19+'7'!AD19+'10'!AD19+'9'!AD19+'11'!AD19+'12'!AD19+'13'!AD19+'15'!AD19+'14'!AD19+'16'!AD19+'17'!AD19+'19'!AD19+'20'!AD19+'22'!AD19+'18'!AD19+'21'!AD19+'25'!AD19+'23'!AD19+'26'!AD19+'24'!AD19+'28'!AD19+'27'!AD19+'29'!AD19+'31'!AD19+'30'!AD19</f>
        <v>0</v>
      </c>
      <c r="AE19" s="51">
        <f>+'1'!AE19+'3'!AE19+'2'!AE19+'6'!AE19+'5'!AE19+'4'!AE19+'8'!AE19+'7'!AE19+'10'!AE19+'9'!AE19+'11'!AE19+'12'!AE19+'13'!AE19+'15'!AE19+'14'!AE19+'16'!AE19+'17'!AE19+'19'!AE19+'20'!AE19+'22'!AE19+'18'!AE19+'21'!AE19+'25'!AE19+'23'!AE19+'26'!AE19+'24'!AE19+'28'!AE19+'27'!AE19+'29'!AE19+'31'!AE19+'30'!AE19</f>
        <v>0</v>
      </c>
      <c r="AF19" s="51">
        <f>+'1'!AF19+'3'!AF19+'2'!AF19+'6'!AF19+'5'!AF19+'4'!AF19+'8'!AF19+'7'!AF19+'10'!AF19+'9'!AF19+'11'!AF19+'12'!AF19+'13'!AF19+'15'!AF19+'14'!AF19+'16'!AF19+'17'!AF19+'19'!AF19+'20'!AF19+'22'!AF19+'18'!AF19+'21'!AF19+'25'!AF19+'23'!AF19+'26'!AF19+'24'!AF19+'28'!AF19+'27'!AF19+'29'!AF19+'31'!AF19+'30'!AF19</f>
        <v>0</v>
      </c>
      <c r="AG19" s="51">
        <f>+'1'!AG19+'3'!AG19+'2'!AG19+'6'!AG19+'5'!AG19+'4'!AG19+'8'!AG19+'7'!AG19+'10'!AG19+'9'!AG19+'11'!AG19+'12'!AG19+'13'!AG19+'15'!AG19+'14'!AG19+'16'!AG19+'17'!AG19+'19'!AG19+'20'!AG19+'22'!AG19+'18'!AG19+'21'!AG19+'25'!AG19+'23'!AG19+'26'!AG19+'24'!AG19+'28'!AG19+'27'!AG19+'29'!AG19+'31'!AG19+'30'!AG19</f>
        <v>0</v>
      </c>
      <c r="AH19" s="51">
        <f>+'1'!AH19+'3'!AH19+'2'!AH19+'6'!AH19+'5'!AH19+'4'!AH19+'8'!AH19+'7'!AH19+'10'!AH19+'9'!AH19+'11'!AH19+'12'!AH19+'13'!AH19+'15'!AH19+'14'!AH19+'16'!AH19+'17'!AH19+'19'!AH19+'20'!AH19+'22'!AH19+'18'!AH19+'21'!AH19+'25'!AH19+'23'!AH19+'26'!AH19+'24'!AH19+'28'!AH19+'27'!AH19+'29'!AH19+'31'!AH19+'30'!AH19</f>
        <v>0</v>
      </c>
      <c r="AI19" s="54">
        <f>+'1'!AI19+'3'!AI19+'2'!AI19+'6'!AI19+'5'!AI19+'4'!AI19+'8'!AI19+'7'!AI19+'10'!AI19+'9'!AI19+'11'!AI19+'12'!AI19+'13'!AI19+'15'!AI19+'14'!AI19+'16'!AI19+'17'!AI19+'19'!AI19+'20'!AI19+'22'!AI19+'18'!AI19+'21'!AI19+'25'!AI19+'23'!AI19+'26'!AI19+'24'!AI19+'28'!AI19+'27'!AI19+'29'!AI19+'31'!AI19+'30'!AI19</f>
        <v>0</v>
      </c>
      <c r="AJ19" s="57">
        <f>+'1'!AJ19+'3'!AJ19+'2'!AJ19+'6'!AJ19+'5'!AJ19+'4'!AJ19+'8'!AJ19+'7'!AJ19+'10'!AJ19+'9'!AJ19+'11'!AJ19+'12'!AJ19+'13'!AJ19+'15'!AJ19+'14'!AJ19+'16'!AJ19+'17'!AJ19+'19'!AJ19+'20'!AJ19+'22'!AJ19+'18'!AJ19+'21'!AJ19+'25'!AJ19+'23'!AJ19+'26'!AJ19+'24'!AJ19+'28'!AJ19+'27'!AJ19+'29'!AJ19+'31'!AJ19+'30'!AJ19</f>
        <v>0</v>
      </c>
      <c r="AK19" s="54">
        <f>+'1'!AK19+'3'!AK19+'2'!AK19+'6'!AK19+'5'!AK19+'4'!AK19+'8'!AK19+'7'!AK19+'10'!AK19+'9'!AK19+'11'!AK19+'12'!AK19+'13'!AK19+'15'!AK19+'14'!AK19+'16'!AK19+'17'!AK19+'19'!AK19+'20'!AK19+'22'!AK19+'18'!AK19+'21'!AK19+'25'!AK19+'23'!AK19+'26'!AK19+'24'!AK19+'28'!AK19+'27'!AK19+'29'!AK19+'31'!AK19+'30'!AK19</f>
        <v>0</v>
      </c>
      <c r="AL19" s="65">
        <f t="shared" si="2"/>
        <v>7</v>
      </c>
      <c r="AM19" s="22" t="str">
        <f t="shared" si="3"/>
        <v>OK</v>
      </c>
    </row>
    <row r="20" spans="1:39" customFormat="1" hidden="1">
      <c r="A20" s="68" t="s">
        <v>110</v>
      </c>
      <c r="B20" s="78">
        <v>14983</v>
      </c>
      <c r="C20" s="23" t="s">
        <v>62</v>
      </c>
      <c r="D20" s="24"/>
      <c r="E20" s="24"/>
      <c r="F20" s="24"/>
      <c r="G20" s="25"/>
      <c r="H20" s="14">
        <f>+'1'!H20+'3'!H20+'2'!H20+'6'!H20+'5'!H20+'4'!H20+'8'!H20+'7'!H20+'10'!H20+'9'!H20+'11'!H20+'12'!H20+'13'!H20+'15'!H20+'14'!H20+'16'!H20+'17'!H20+'19'!H20+'20'!H20+'22'!H20+'18'!H20+'21'!H20+'25'!H20+'23'!H20+'26'!H20+'24'!H20+'28'!H20+'27'!H20+'29'!H20+'31'!H20+'30'!H20</f>
        <v>0</v>
      </c>
      <c r="I20" s="15">
        <f>+'1'!I20+'3'!I20+'2'!I20+'6'!I20+'5'!I20+'4'!I20+'8'!I20+'7'!I20+'10'!I20+'9'!I20+'11'!I20+'12'!I20+'13'!I20+'15'!I20+'14'!I20+'16'!I20+'17'!I20+'19'!I20+'20'!I20+'22'!I20+'18'!I20+'21'!I20+'25'!I20+'23'!I20+'26'!I20+'24'!I20+'28'!I20+'27'!I20+'29'!I20+'31'!I20+'30'!I20</f>
        <v>0</v>
      </c>
      <c r="J20" s="15"/>
      <c r="K20" s="16"/>
      <c r="L20" s="27">
        <f>+'1'!L20+'3'!L20+'2'!L20+'6'!L20+'5'!L20+'4'!L20+'8'!L20+'7'!L20+'10'!L20+'9'!L20+'11'!L20+'12'!L20+'13'!L20+'15'!L20+'14'!L20+'16'!L20+'17'!L20+'19'!L20+'20'!L20+'22'!L20+'18'!L20+'21'!L20+'25'!L20+'23'!L20+'26'!L20+'24'!L20+'28'!L20+'27'!L20+'29'!L20+'31'!L20+'30'!L20</f>
        <v>0</v>
      </c>
      <c r="M20" s="27">
        <f>+'1'!M20+'3'!M20+'2'!M20+'6'!M20+'5'!M20+'4'!M20+'8'!M20+'7'!M20+'10'!M20+'9'!M20+'11'!M20+'12'!M20+'13'!M20+'15'!M20+'14'!M20+'16'!M20+'17'!M20+'19'!M20+'20'!M20+'22'!M20+'18'!M20+'21'!M20+'25'!M20+'23'!M20+'26'!M20+'24'!M20+'28'!M20+'27'!M20+'29'!M20+'31'!M20+'30'!M20</f>
        <v>0</v>
      </c>
      <c r="N20" s="27">
        <f>+'1'!N20+'3'!N20+'2'!N20+'6'!N20+'5'!N20+'4'!N20+'8'!N20+'7'!N20+'10'!N20+'9'!N20+'11'!N20+'12'!N20+'13'!N20+'15'!N20+'14'!N20+'16'!N20+'17'!N20+'19'!N20+'20'!N20+'22'!N20+'18'!N20+'21'!N20+'25'!N20+'23'!N20+'26'!N20+'24'!N20+'28'!N20+'27'!N20+'29'!N20+'31'!N20+'30'!N20</f>
        <v>0</v>
      </c>
      <c r="O20" s="27">
        <f>+'1'!O20+'3'!O20+'2'!O20+'6'!O20+'5'!O20+'4'!O20+'8'!O20+'7'!O20+'10'!O20+'9'!O20+'11'!O20+'12'!O20+'13'!O20+'15'!O20+'14'!O20+'16'!O20+'17'!O20+'19'!O20+'20'!O20+'22'!O20+'18'!O20+'21'!O20+'25'!O20+'23'!O20+'26'!O20+'24'!O20+'28'!O20+'27'!O20+'29'!O20+'31'!O20+'30'!O20</f>
        <v>0</v>
      </c>
      <c r="P20" s="27">
        <f>+'1'!P20+'3'!P20+'2'!P20+'6'!P20+'5'!P20+'4'!P20+'8'!P20+'7'!P20+'10'!P20+'9'!P20+'11'!P20+'12'!P20+'13'!P20+'15'!P20+'14'!P20+'16'!P20+'17'!P20+'19'!P20+'20'!P20+'22'!P20+'18'!P20+'21'!P20+'25'!P20+'23'!P20+'26'!P20+'24'!P20+'28'!P20+'27'!P20+'29'!P20+'31'!P20+'30'!P20</f>
        <v>0</v>
      </c>
      <c r="Q20" s="27">
        <f>+'1'!Q20+'3'!Q20+'2'!Q20+'6'!Q20+'5'!Q20+'4'!Q20+'8'!Q20+'7'!Q20+'10'!Q20+'9'!Q20+'11'!Q20+'12'!Q20+'13'!Q20+'15'!Q20+'14'!Q20+'16'!Q20+'17'!Q20+'19'!Q20+'20'!Q20+'22'!Q20+'18'!Q20+'21'!Q20+'25'!Q20+'23'!Q20+'26'!Q20+'24'!Q20+'28'!Q20+'27'!Q20+'29'!Q20+'31'!Q20+'30'!Q20</f>
        <v>0</v>
      </c>
      <c r="R20" s="27">
        <f>+'1'!R20+'3'!R20+'2'!R20+'6'!R20+'5'!R20+'4'!R20+'8'!R20+'7'!R20+'10'!R20+'9'!R20+'11'!R20+'12'!R20+'13'!R20+'15'!R20+'14'!R20+'16'!R20+'17'!R20+'19'!R20+'20'!R20+'22'!R20+'18'!R20+'21'!R20+'25'!R20+'23'!R20+'26'!R20+'24'!R20+'28'!R20+'27'!R20+'29'!R20+'31'!R20+'30'!R20</f>
        <v>0</v>
      </c>
      <c r="S20" s="27">
        <f>+'1'!S20+'3'!S20+'2'!S20+'6'!S20+'5'!S20+'4'!S20+'8'!S20+'7'!S20+'10'!S20+'9'!S20+'11'!S20+'12'!S20+'13'!S20+'15'!S20+'14'!S20+'16'!S20+'17'!S20+'19'!S20+'20'!S20+'22'!S20+'18'!S20+'21'!S20+'25'!S20+'23'!S20+'26'!S20+'24'!S20+'28'!S20+'27'!S20+'29'!S20+'31'!S20+'30'!S20</f>
        <v>0</v>
      </c>
      <c r="T20" s="43">
        <f>+'1'!T20+'3'!T20+'2'!T20+'6'!T20+'5'!T20+'4'!T20+'8'!T20+'7'!T20+'10'!T20+'9'!T20+'11'!T20+'12'!T20+'13'!T20+'15'!T20+'14'!T20+'16'!T20+'17'!T20+'19'!T20+'20'!T20+'22'!T20+'18'!T20+'21'!T20+'25'!T20+'23'!T20+'26'!T20+'24'!T20+'28'!T20+'27'!T20+'29'!T20+'31'!T20+'30'!T20</f>
        <v>0</v>
      </c>
      <c r="U20" s="52">
        <f>+'1'!U20+'3'!U20+'2'!U20+'6'!U20+'5'!U20+'4'!U20+'8'!U20+'7'!U20+'10'!U20+'9'!U20+'11'!U20+'12'!U20+'13'!U20+'15'!U20+'14'!U20+'16'!U20+'17'!U20+'19'!U20+'20'!U20+'22'!U20+'18'!U20+'21'!U20+'25'!U20+'23'!U20+'26'!U20+'24'!U20+'28'!U20+'27'!U20+'29'!U20+'31'!U20+'30'!U20</f>
        <v>0</v>
      </c>
      <c r="V20" s="52">
        <f>+'1'!V20+'3'!V20+'2'!V20+'6'!V20+'5'!V20+'4'!V20+'8'!V20+'7'!V20+'10'!V20+'9'!V20+'11'!V20+'12'!V20+'13'!V20+'15'!V20+'14'!V20+'16'!V20+'17'!V20+'19'!V20+'20'!V20+'22'!V20+'18'!V20+'21'!V20+'25'!V20+'23'!V20+'26'!V20+'24'!V20+'28'!V20+'27'!V20+'29'!V20+'31'!V20+'30'!V20</f>
        <v>0</v>
      </c>
      <c r="W20" s="52">
        <f>+'1'!W20+'3'!W20+'2'!W20+'6'!W20+'5'!W20+'4'!W20+'8'!W20+'7'!W20+'10'!W20+'9'!W20+'11'!W20+'12'!W20+'13'!W20+'15'!W20+'14'!W20+'16'!W20+'17'!W20+'19'!W20+'20'!W20+'22'!W20+'18'!W20+'21'!W20+'25'!W20+'23'!W20+'26'!W20+'24'!W20+'28'!W20+'27'!W20+'29'!W20+'31'!W20+'30'!W20</f>
        <v>0</v>
      </c>
      <c r="X20" s="52">
        <f>+'1'!X20+'3'!X20+'2'!X20+'6'!X20+'5'!X20+'4'!X20+'8'!X20+'7'!X20+'10'!X20+'9'!X20+'11'!X20+'12'!X20+'13'!X20+'15'!X20+'14'!X20+'16'!X20+'17'!X20+'19'!X20+'20'!X20+'22'!X20+'18'!X20+'21'!X20+'25'!X20+'23'!X20+'26'!X20+'24'!X20+'28'!X20+'27'!X20+'29'!X20+'31'!X20+'30'!X20</f>
        <v>0</v>
      </c>
      <c r="Y20" s="52">
        <f>+'1'!Y20+'3'!Y20+'2'!Y20+'6'!Y20+'5'!Y20+'4'!Y20+'8'!Y20+'7'!Y20+'10'!Y20+'9'!Y20+'11'!Y20+'12'!Y20+'13'!Y20+'15'!Y20+'14'!Y20+'16'!Y20+'17'!Y20+'19'!Y20+'20'!Y20+'22'!Y20+'18'!Y20+'21'!Y20+'25'!Y20+'23'!Y20+'26'!Y20+'24'!Y20+'28'!Y20+'27'!Y20+'29'!Y20+'31'!Y20+'30'!Y20</f>
        <v>0</v>
      </c>
      <c r="Z20" s="52">
        <f>+'1'!Z20+'3'!Z20+'2'!Z20+'6'!Z20+'5'!Z20+'4'!Z20+'8'!Z20+'7'!Z20+'10'!Z20+'9'!Z20+'11'!Z20+'12'!Z20+'13'!Z20+'15'!Z20+'14'!Z20+'16'!Z20+'17'!Z20+'19'!Z20+'20'!Z20+'22'!Z20+'18'!Z20+'21'!Z20+'25'!Z20+'23'!Z20+'26'!Z20+'24'!Z20+'28'!Z20+'27'!Z20+'29'!Z20+'31'!Z20+'30'!Z20</f>
        <v>0</v>
      </c>
      <c r="AA20" s="52">
        <f>+'1'!AA20+'3'!AA20+'2'!AA20+'6'!AA20+'5'!AA20+'4'!AA20+'8'!AA20+'7'!AA20+'10'!AA20+'9'!AA20+'11'!AA20+'12'!AA20+'13'!AA20+'15'!AA20+'14'!AA20+'16'!AA20+'17'!AA20+'19'!AA20+'20'!AA20+'22'!AA20+'18'!AA20+'21'!AA20+'25'!AA20+'23'!AA20+'26'!AA20+'24'!AA20+'28'!AA20+'27'!AA20+'29'!AA20+'31'!AA20+'30'!AA20</f>
        <v>0</v>
      </c>
      <c r="AB20" s="52">
        <f>+'1'!AB20+'3'!AB20+'2'!AB20+'6'!AB20+'5'!AB20+'4'!AB20+'8'!AB20+'7'!AB20+'10'!AB20+'9'!AB20+'11'!AB20+'12'!AB20+'13'!AB20+'15'!AB20+'14'!AB20+'16'!AB20+'17'!AB20+'19'!AB20+'20'!AB20+'22'!AB20+'18'!AB20+'21'!AB20+'25'!AB20+'23'!AB20+'26'!AB20+'24'!AB20+'28'!AB20+'27'!AB20+'29'!AB20+'31'!AB20+'30'!AB20</f>
        <v>0</v>
      </c>
      <c r="AC20" s="52">
        <f>+'1'!AC20+'3'!AC20+'2'!AC20+'6'!AC20+'5'!AC20+'4'!AC20+'8'!AC20+'7'!AC20+'10'!AC20+'9'!AC20+'11'!AC20+'12'!AC20+'13'!AC20+'15'!AC20+'14'!AC20+'16'!AC20+'17'!AC20+'19'!AC20+'20'!AC20+'22'!AC20+'18'!AC20+'21'!AC20+'25'!AC20+'23'!AC20+'26'!AC20+'24'!AC20+'28'!AC20+'27'!AC20+'29'!AC20+'31'!AC20+'30'!AC20</f>
        <v>0</v>
      </c>
      <c r="AD20" s="52">
        <f>+'1'!AD20+'3'!AD20+'2'!AD20+'6'!AD20+'5'!AD20+'4'!AD20+'8'!AD20+'7'!AD20+'10'!AD20+'9'!AD20+'11'!AD20+'12'!AD20+'13'!AD20+'15'!AD20+'14'!AD20+'16'!AD20+'17'!AD20+'19'!AD20+'20'!AD20+'22'!AD20+'18'!AD20+'21'!AD20+'25'!AD20+'23'!AD20+'26'!AD20+'24'!AD20+'28'!AD20+'27'!AD20+'29'!AD20+'31'!AD20+'30'!AD20</f>
        <v>0</v>
      </c>
      <c r="AE20" s="52">
        <f>+'1'!AE20+'3'!AE20+'2'!AE20+'6'!AE20+'5'!AE20+'4'!AE20+'8'!AE20+'7'!AE20+'10'!AE20+'9'!AE20+'11'!AE20+'12'!AE20+'13'!AE20+'15'!AE20+'14'!AE20+'16'!AE20+'17'!AE20+'19'!AE20+'20'!AE20+'22'!AE20+'18'!AE20+'21'!AE20+'25'!AE20+'23'!AE20+'26'!AE20+'24'!AE20+'28'!AE20+'27'!AE20+'29'!AE20+'31'!AE20+'30'!AE20</f>
        <v>0</v>
      </c>
      <c r="AF20" s="52">
        <f>+'1'!AF20+'3'!AF20+'2'!AF20+'6'!AF20+'5'!AF20+'4'!AF20+'8'!AF20+'7'!AF20+'10'!AF20+'9'!AF20+'11'!AF20+'12'!AF20+'13'!AF20+'15'!AF20+'14'!AF20+'16'!AF20+'17'!AF20+'19'!AF20+'20'!AF20+'22'!AF20+'18'!AF20+'21'!AF20+'25'!AF20+'23'!AF20+'26'!AF20+'24'!AF20+'28'!AF20+'27'!AF20+'29'!AF20+'31'!AF20+'30'!AF20</f>
        <v>0</v>
      </c>
      <c r="AG20" s="52">
        <f>+'1'!AG20+'3'!AG20+'2'!AG20+'6'!AG20+'5'!AG20+'4'!AG20+'8'!AG20+'7'!AG20+'10'!AG20+'9'!AG20+'11'!AG20+'12'!AG20+'13'!AG20+'15'!AG20+'14'!AG20+'16'!AG20+'17'!AG20+'19'!AG20+'20'!AG20+'22'!AG20+'18'!AG20+'21'!AG20+'25'!AG20+'23'!AG20+'26'!AG20+'24'!AG20+'28'!AG20+'27'!AG20+'29'!AG20+'31'!AG20+'30'!AG20</f>
        <v>0</v>
      </c>
      <c r="AH20" s="52">
        <f>+'1'!AH20+'3'!AH20+'2'!AH20+'6'!AH20+'5'!AH20+'4'!AH20+'8'!AH20+'7'!AH20+'10'!AH20+'9'!AH20+'11'!AH20+'12'!AH20+'13'!AH20+'15'!AH20+'14'!AH20+'16'!AH20+'17'!AH20+'19'!AH20+'20'!AH20+'22'!AH20+'18'!AH20+'21'!AH20+'25'!AH20+'23'!AH20+'26'!AH20+'24'!AH20+'28'!AH20+'27'!AH20+'29'!AH20+'31'!AH20+'30'!AH20</f>
        <v>0</v>
      </c>
      <c r="AI20" s="55">
        <f>+'1'!AI20+'3'!AI20+'2'!AI20+'6'!AI20+'5'!AI20+'4'!AI20+'8'!AI20+'7'!AI20+'10'!AI20+'9'!AI20+'11'!AI20+'12'!AI20+'13'!AI20+'15'!AI20+'14'!AI20+'16'!AI20+'17'!AI20+'19'!AI20+'20'!AI20+'22'!AI20+'18'!AI20+'21'!AI20+'25'!AI20+'23'!AI20+'26'!AI20+'24'!AI20+'28'!AI20+'27'!AI20+'29'!AI20+'31'!AI20+'30'!AI20</f>
        <v>0</v>
      </c>
      <c r="AJ20" s="58">
        <f>+'1'!AJ20+'3'!AJ20+'2'!AJ20+'6'!AJ20+'5'!AJ20+'4'!AJ20+'8'!AJ20+'7'!AJ20+'10'!AJ20+'9'!AJ20+'11'!AJ20+'12'!AJ20+'13'!AJ20+'15'!AJ20+'14'!AJ20+'16'!AJ20+'17'!AJ20+'19'!AJ20+'20'!AJ20+'22'!AJ20+'18'!AJ20+'21'!AJ20+'25'!AJ20+'23'!AJ20+'26'!AJ20+'24'!AJ20+'28'!AJ20+'27'!AJ20+'29'!AJ20+'31'!AJ20+'30'!AJ20</f>
        <v>0</v>
      </c>
      <c r="AK20" s="55">
        <f>+'1'!AK20+'3'!AK20+'2'!AK20+'6'!AK20+'5'!AK20+'4'!AK20+'8'!AK20+'7'!AK20+'10'!AK20+'9'!AK20+'11'!AK20+'12'!AK20+'13'!AK20+'15'!AK20+'14'!AK20+'16'!AK20+'17'!AK20+'19'!AK20+'20'!AK20+'22'!AK20+'18'!AK20+'21'!AK20+'25'!AK20+'23'!AK20+'26'!AK20+'24'!AK20+'28'!AK20+'27'!AK20+'29'!AK20+'31'!AK20+'30'!AK20</f>
        <v>0</v>
      </c>
      <c r="AL20" s="66">
        <f t="shared" si="2"/>
        <v>0</v>
      </c>
      <c r="AM20" s="28" t="str">
        <f t="shared" si="3"/>
        <v>OK</v>
      </c>
    </row>
    <row r="21" spans="1:39" customFormat="1" hidden="1">
      <c r="A21" s="17" t="s">
        <v>94</v>
      </c>
      <c r="B21" s="77">
        <v>16269</v>
      </c>
      <c r="C21" s="17" t="s">
        <v>95</v>
      </c>
      <c r="D21" s="69"/>
      <c r="E21" s="18"/>
      <c r="F21" s="18"/>
      <c r="G21" s="19"/>
      <c r="H21" s="20">
        <f>+'1'!H21+'3'!H21+'2'!H21+'6'!H21+'5'!H21+'4'!H21+'8'!H21+'7'!H21+'10'!H21+'9'!H21+'11'!H21+'12'!H21+'13'!H21+'15'!H21+'14'!H21+'16'!H21+'17'!H21+'19'!H21+'20'!H21+'22'!H21+'18'!H21+'21'!H21+'25'!H21+'23'!H21+'26'!H21+'24'!H21+'28'!H21+'27'!H21+'29'!H21+'31'!H21+'30'!H21</f>
        <v>0</v>
      </c>
      <c r="I21" s="21">
        <f>+'1'!I21+'3'!I21+'2'!I21+'6'!I21+'5'!I21+'4'!I21+'8'!I21+'7'!I21+'10'!I21+'9'!I21+'11'!I21+'12'!I21+'13'!I21+'15'!I21+'14'!I21+'16'!I21+'17'!I21+'19'!I21+'20'!I21+'22'!I21+'18'!I21+'21'!I21+'25'!I21+'23'!I21+'26'!I21+'24'!I21+'28'!I21+'27'!I21+'29'!I21+'31'!I21+'30'!I21</f>
        <v>0</v>
      </c>
      <c r="J21" s="21"/>
      <c r="K21" s="16"/>
      <c r="L21" s="21">
        <f>+'1'!L21+'3'!L21+'2'!L21+'6'!L21+'5'!L21+'4'!L21+'8'!L21+'7'!L21+'10'!L21+'9'!L21+'11'!L21+'12'!L21+'13'!L21+'15'!L21+'14'!L21+'16'!L21+'17'!L21+'19'!L21+'20'!L21+'22'!L21+'18'!L21+'21'!L21+'25'!L21+'23'!L21+'26'!L21+'24'!L21+'28'!L21+'27'!L21+'29'!L21+'31'!L21+'30'!L21</f>
        <v>0</v>
      </c>
      <c r="M21" s="21">
        <f>+'1'!M21+'3'!M21+'2'!M21+'6'!M21+'5'!M21+'4'!M21+'8'!M21+'7'!M21+'10'!M21+'9'!M21+'11'!M21+'12'!M21+'13'!M21+'15'!M21+'14'!M21+'16'!M21+'17'!M21+'19'!M21+'20'!M21+'22'!M21+'18'!M21+'21'!M21+'25'!M21+'23'!M21+'26'!M21+'24'!M21+'28'!M21+'27'!M21+'29'!M21+'31'!M21+'30'!M21</f>
        <v>0</v>
      </c>
      <c r="N21" s="21">
        <f>+'1'!N21+'3'!N21+'2'!N21+'6'!N21+'5'!N21+'4'!N21+'8'!N21+'7'!N21+'10'!N21+'9'!N21+'11'!N21+'12'!N21+'13'!N21+'15'!N21+'14'!N21+'16'!N21+'17'!N21+'19'!N21+'20'!N21+'22'!N21+'18'!N21+'21'!N21+'25'!N21+'23'!N21+'26'!N21+'24'!N21+'28'!N21+'27'!N21+'29'!N21+'31'!N21+'30'!N21</f>
        <v>0</v>
      </c>
      <c r="O21" s="21">
        <f>+'1'!O21+'3'!O21+'2'!O21+'6'!O21+'5'!O21+'4'!O21+'8'!O21+'7'!O21+'10'!O21+'9'!O21+'11'!O21+'12'!O21+'13'!O21+'15'!O21+'14'!O21+'16'!O21+'17'!O21+'19'!O21+'20'!O21+'22'!O21+'18'!O21+'21'!O21+'25'!O21+'23'!O21+'26'!O21+'24'!O21+'28'!O21+'27'!O21+'29'!O21+'31'!O21+'30'!O21</f>
        <v>0</v>
      </c>
      <c r="P21" s="21">
        <f>+'1'!P21+'3'!P21+'2'!P21+'6'!P21+'5'!P21+'4'!P21+'8'!P21+'7'!P21+'10'!P21+'9'!P21+'11'!P21+'12'!P21+'13'!P21+'15'!P21+'14'!P21+'16'!P21+'17'!P21+'19'!P21+'20'!P21+'22'!P21+'18'!P21+'21'!P21+'25'!P21+'23'!P21+'26'!P21+'24'!P21+'28'!P21+'27'!P21+'29'!P21+'31'!P21+'30'!P21</f>
        <v>0</v>
      </c>
      <c r="Q21" s="21">
        <f>+'1'!Q21+'3'!Q21+'2'!Q21+'6'!Q21+'5'!Q21+'4'!Q21+'8'!Q21+'7'!Q21+'10'!Q21+'9'!Q21+'11'!Q21+'12'!Q21+'13'!Q21+'15'!Q21+'14'!Q21+'16'!Q21+'17'!Q21+'19'!Q21+'20'!Q21+'22'!Q21+'18'!Q21+'21'!Q21+'25'!Q21+'23'!Q21+'26'!Q21+'24'!Q21+'28'!Q21+'27'!Q21+'29'!Q21+'31'!Q21+'30'!Q21</f>
        <v>0</v>
      </c>
      <c r="R21" s="21">
        <f>+'1'!R21+'3'!R21+'2'!R21+'6'!R21+'5'!R21+'4'!R21+'8'!R21+'7'!R21+'10'!R21+'9'!R21+'11'!R21+'12'!R21+'13'!R21+'15'!R21+'14'!R21+'16'!R21+'17'!R21+'19'!R21+'20'!R21+'22'!R21+'18'!R21+'21'!R21+'25'!R21+'23'!R21+'26'!R21+'24'!R21+'28'!R21+'27'!R21+'29'!R21+'31'!R21+'30'!R21</f>
        <v>0</v>
      </c>
      <c r="S21" s="21">
        <f>+'1'!S21+'3'!S21+'2'!S21+'6'!S21+'5'!S21+'4'!S21+'8'!S21+'7'!S21+'10'!S21+'9'!S21+'11'!S21+'12'!S21+'13'!S21+'15'!S21+'14'!S21+'16'!S21+'17'!S21+'19'!S21+'20'!S21+'22'!S21+'18'!S21+'21'!S21+'25'!S21+'23'!S21+'26'!S21+'24'!S21+'28'!S21+'27'!S21+'29'!S21+'31'!S21+'30'!S21</f>
        <v>0</v>
      </c>
      <c r="T21" s="42">
        <f>+'1'!T21+'3'!T21+'2'!T21+'6'!T21+'5'!T21+'4'!T21+'8'!T21+'7'!T21+'10'!T21+'9'!T21+'11'!T21+'12'!T21+'13'!T21+'15'!T21+'14'!T21+'16'!T21+'17'!T21+'19'!T21+'20'!T21+'22'!T21+'18'!T21+'21'!T21+'25'!T21+'23'!T21+'26'!T21+'24'!T21+'28'!T21+'27'!T21+'29'!T21+'31'!T21+'30'!T21</f>
        <v>0</v>
      </c>
      <c r="U21" s="51">
        <f>+'1'!U21+'3'!U21+'2'!U21+'6'!U21+'5'!U21+'4'!U21+'8'!U21+'7'!U21+'10'!U21+'9'!U21+'11'!U21+'12'!U21+'13'!U21+'15'!U21+'14'!U21+'16'!U21+'17'!U21+'19'!U21+'20'!U21+'22'!U21+'18'!U21+'21'!U21+'25'!U21+'23'!U21+'26'!U21+'24'!U21+'28'!U21+'27'!U21+'29'!U21+'31'!U21+'30'!U21</f>
        <v>0</v>
      </c>
      <c r="V21" s="51">
        <f>+'1'!V21+'3'!V21+'2'!V21+'6'!V21+'5'!V21+'4'!V21+'8'!V21+'7'!V21+'10'!V21+'9'!V21+'11'!V21+'12'!V21+'13'!V21+'15'!V21+'14'!V21+'16'!V21+'17'!V21+'19'!V21+'20'!V21+'22'!V21+'18'!V21+'21'!V21+'25'!V21+'23'!V21+'26'!V21+'24'!V21+'28'!V21+'27'!V21+'29'!V21+'31'!V21+'30'!V21</f>
        <v>0</v>
      </c>
      <c r="W21" s="51">
        <f>+'1'!W21+'3'!W21+'2'!W21+'6'!W21+'5'!W21+'4'!W21+'8'!W21+'7'!W21+'10'!W21+'9'!W21+'11'!W21+'12'!W21+'13'!W21+'15'!W21+'14'!W21+'16'!W21+'17'!W21+'19'!W21+'20'!W21+'22'!W21+'18'!W21+'21'!W21+'25'!W21+'23'!W21+'26'!W21+'24'!W21+'28'!W21+'27'!W21+'29'!W21+'31'!W21+'30'!W21</f>
        <v>0</v>
      </c>
      <c r="X21" s="51">
        <f>+'1'!X21+'3'!X21+'2'!X21+'6'!X21+'5'!X21+'4'!X21+'8'!X21+'7'!X21+'10'!X21+'9'!X21+'11'!X21+'12'!X21+'13'!X21+'15'!X21+'14'!X21+'16'!X21+'17'!X21+'19'!X21+'20'!X21+'22'!X21+'18'!X21+'21'!X21+'25'!X21+'23'!X21+'26'!X21+'24'!X21+'28'!X21+'27'!X21+'29'!X21+'31'!X21+'30'!X21</f>
        <v>0</v>
      </c>
      <c r="Y21" s="51">
        <f>+'1'!Y21+'3'!Y21+'2'!Y21+'6'!Y21+'5'!Y21+'4'!Y21+'8'!Y21+'7'!Y21+'10'!Y21+'9'!Y21+'11'!Y21+'12'!Y21+'13'!Y21+'15'!Y21+'14'!Y21+'16'!Y21+'17'!Y21+'19'!Y21+'20'!Y21+'22'!Y21+'18'!Y21+'21'!Y21+'25'!Y21+'23'!Y21+'26'!Y21+'24'!Y21+'28'!Y21+'27'!Y21+'29'!Y21+'31'!Y21+'30'!Y21</f>
        <v>0</v>
      </c>
      <c r="Z21" s="51">
        <f>+'1'!Z21+'3'!Z21+'2'!Z21+'6'!Z21+'5'!Z21+'4'!Z21+'8'!Z21+'7'!Z21+'10'!Z21+'9'!Z21+'11'!Z21+'12'!Z21+'13'!Z21+'15'!Z21+'14'!Z21+'16'!Z21+'17'!Z21+'19'!Z21+'20'!Z21+'22'!Z21+'18'!Z21+'21'!Z21+'25'!Z21+'23'!Z21+'26'!Z21+'24'!Z21+'28'!Z21+'27'!Z21+'29'!Z21+'31'!Z21+'30'!Z21</f>
        <v>0</v>
      </c>
      <c r="AA21" s="51">
        <f>+'1'!AA21+'3'!AA21+'2'!AA21+'6'!AA21+'5'!AA21+'4'!AA21+'8'!AA21+'7'!AA21+'10'!AA21+'9'!AA21+'11'!AA21+'12'!AA21+'13'!AA21+'15'!AA21+'14'!AA21+'16'!AA21+'17'!AA21+'19'!AA21+'20'!AA21+'22'!AA21+'18'!AA21+'21'!AA21+'25'!AA21+'23'!AA21+'26'!AA21+'24'!AA21+'28'!AA21+'27'!AA21+'29'!AA21+'31'!AA21+'30'!AA21</f>
        <v>0</v>
      </c>
      <c r="AB21" s="51">
        <f>+'1'!AB21+'3'!AB21+'2'!AB21+'6'!AB21+'5'!AB21+'4'!AB21+'8'!AB21+'7'!AB21+'10'!AB21+'9'!AB21+'11'!AB21+'12'!AB21+'13'!AB21+'15'!AB21+'14'!AB21+'16'!AB21+'17'!AB21+'19'!AB21+'20'!AB21+'22'!AB21+'18'!AB21+'21'!AB21+'25'!AB21+'23'!AB21+'26'!AB21+'24'!AB21+'28'!AB21+'27'!AB21+'29'!AB21+'31'!AB21+'30'!AB21</f>
        <v>0</v>
      </c>
      <c r="AC21" s="51">
        <f>+'1'!AC21+'3'!AC21+'2'!AC21+'6'!AC21+'5'!AC21+'4'!AC21+'8'!AC21+'7'!AC21+'10'!AC21+'9'!AC21+'11'!AC21+'12'!AC21+'13'!AC21+'15'!AC21+'14'!AC21+'16'!AC21+'17'!AC21+'19'!AC21+'20'!AC21+'22'!AC21+'18'!AC21+'21'!AC21+'25'!AC21+'23'!AC21+'26'!AC21+'24'!AC21+'28'!AC21+'27'!AC21+'29'!AC21+'31'!AC21+'30'!AC21</f>
        <v>0</v>
      </c>
      <c r="AD21" s="51">
        <f>+'1'!AD21+'3'!AD21+'2'!AD21+'6'!AD21+'5'!AD21+'4'!AD21+'8'!AD21+'7'!AD21+'10'!AD21+'9'!AD21+'11'!AD21+'12'!AD21+'13'!AD21+'15'!AD21+'14'!AD21+'16'!AD21+'17'!AD21+'19'!AD21+'20'!AD21+'22'!AD21+'18'!AD21+'21'!AD21+'25'!AD21+'23'!AD21+'26'!AD21+'24'!AD21+'28'!AD21+'27'!AD21+'29'!AD21+'31'!AD21+'30'!AD21</f>
        <v>0</v>
      </c>
      <c r="AE21" s="51">
        <f>+'1'!AE21+'3'!AE21+'2'!AE21+'6'!AE21+'5'!AE21+'4'!AE21+'8'!AE21+'7'!AE21+'10'!AE21+'9'!AE21+'11'!AE21+'12'!AE21+'13'!AE21+'15'!AE21+'14'!AE21+'16'!AE21+'17'!AE21+'19'!AE21+'20'!AE21+'22'!AE21+'18'!AE21+'21'!AE21+'25'!AE21+'23'!AE21+'26'!AE21+'24'!AE21+'28'!AE21+'27'!AE21+'29'!AE21+'31'!AE21+'30'!AE21</f>
        <v>0</v>
      </c>
      <c r="AF21" s="51">
        <f>+'1'!AF21+'3'!AF21+'2'!AF21+'6'!AF21+'5'!AF21+'4'!AF21+'8'!AF21+'7'!AF21+'10'!AF21+'9'!AF21+'11'!AF21+'12'!AF21+'13'!AF21+'15'!AF21+'14'!AF21+'16'!AF21+'17'!AF21+'19'!AF21+'20'!AF21+'22'!AF21+'18'!AF21+'21'!AF21+'25'!AF21+'23'!AF21+'26'!AF21+'24'!AF21+'28'!AF21+'27'!AF21+'29'!AF21+'31'!AF21+'30'!AF21</f>
        <v>0</v>
      </c>
      <c r="AG21" s="51">
        <f>+'1'!AG21+'3'!AG21+'2'!AG21+'6'!AG21+'5'!AG21+'4'!AG21+'8'!AG21+'7'!AG21+'10'!AG21+'9'!AG21+'11'!AG21+'12'!AG21+'13'!AG21+'15'!AG21+'14'!AG21+'16'!AG21+'17'!AG21+'19'!AG21+'20'!AG21+'22'!AG21+'18'!AG21+'21'!AG21+'25'!AG21+'23'!AG21+'26'!AG21+'24'!AG21+'28'!AG21+'27'!AG21+'29'!AG21+'31'!AG21+'30'!AG21</f>
        <v>0</v>
      </c>
      <c r="AH21" s="51">
        <f>+'1'!AH21+'3'!AH21+'2'!AH21+'6'!AH21+'5'!AH21+'4'!AH21+'8'!AH21+'7'!AH21+'10'!AH21+'9'!AH21+'11'!AH21+'12'!AH21+'13'!AH21+'15'!AH21+'14'!AH21+'16'!AH21+'17'!AH21+'19'!AH21+'20'!AH21+'22'!AH21+'18'!AH21+'21'!AH21+'25'!AH21+'23'!AH21+'26'!AH21+'24'!AH21+'28'!AH21+'27'!AH21+'29'!AH21+'31'!AH21+'30'!AH21</f>
        <v>0</v>
      </c>
      <c r="AI21" s="54">
        <f>+'1'!AI21+'3'!AI21+'2'!AI21+'6'!AI21+'5'!AI21+'4'!AI21+'8'!AI21+'7'!AI21+'10'!AI21+'9'!AI21+'11'!AI21+'12'!AI21+'13'!AI21+'15'!AI21+'14'!AI21+'16'!AI21+'17'!AI21+'19'!AI21+'20'!AI21+'22'!AI21+'18'!AI21+'21'!AI21+'25'!AI21+'23'!AI21+'26'!AI21+'24'!AI21+'28'!AI21+'27'!AI21+'29'!AI21+'31'!AI21+'30'!AI21</f>
        <v>0</v>
      </c>
      <c r="AJ21" s="57">
        <f>+'1'!AJ21+'3'!AJ21+'2'!AJ21+'6'!AJ21+'5'!AJ21+'4'!AJ21+'8'!AJ21+'7'!AJ21+'10'!AJ21+'9'!AJ21+'11'!AJ21+'12'!AJ21+'13'!AJ21+'15'!AJ21+'14'!AJ21+'16'!AJ21+'17'!AJ21+'19'!AJ21+'20'!AJ21+'22'!AJ21+'18'!AJ21+'21'!AJ21+'25'!AJ21+'23'!AJ21+'26'!AJ21+'24'!AJ21+'28'!AJ21+'27'!AJ21+'29'!AJ21+'31'!AJ21+'30'!AJ21</f>
        <v>0</v>
      </c>
      <c r="AK21" s="54">
        <f>+'1'!AK21+'3'!AK21+'2'!AK21+'6'!AK21+'5'!AK21+'4'!AK21+'8'!AK21+'7'!AK21+'10'!AK21+'9'!AK21+'11'!AK21+'12'!AK21+'13'!AK21+'15'!AK21+'14'!AK21+'16'!AK21+'17'!AK21+'19'!AK21+'20'!AK21+'22'!AK21+'18'!AK21+'21'!AK21+'25'!AK21+'23'!AK21+'26'!AK21+'24'!AK21+'28'!AK21+'27'!AK21+'29'!AK21+'31'!AK21+'30'!AK21</f>
        <v>0</v>
      </c>
      <c r="AL21" s="65">
        <f t="shared" si="2"/>
        <v>0</v>
      </c>
      <c r="AM21" s="22" t="str">
        <f t="shared" si="3"/>
        <v>OK</v>
      </c>
    </row>
    <row r="22" spans="1:39" customFormat="1">
      <c r="A22" s="68" t="s">
        <v>113</v>
      </c>
      <c r="B22" s="78">
        <v>19059</v>
      </c>
      <c r="C22" s="23" t="s">
        <v>65</v>
      </c>
      <c r="D22" s="24"/>
      <c r="E22" s="24"/>
      <c r="F22" s="24"/>
      <c r="G22" s="25"/>
      <c r="H22" s="14">
        <f>+'1'!H22+'3'!H22+'2'!H22+'6'!H22+'5'!H22+'4'!H22+'8'!H22+'7'!H22+'10'!H22+'9'!H22+'11'!H22+'12'!H22+'13'!H22+'15'!H22+'14'!H22+'16'!H22+'17'!H22+'19'!H22+'20'!H22+'22'!H22+'18'!H22+'21'!H22+'25'!H22+'23'!H22+'26'!H22+'24'!H22+'28'!H22+'27'!H22+'29'!H22+'31'!H22+'30'!H22</f>
        <v>14550</v>
      </c>
      <c r="I22" s="15">
        <f>+'1'!I22+'3'!I22+'2'!I22+'6'!I22+'5'!I22+'4'!I22+'8'!I22+'7'!I22+'10'!I22+'9'!I22+'11'!I22+'12'!I22+'13'!I22+'15'!I22+'14'!I22+'16'!I22+'17'!I22+'19'!I22+'20'!I22+'22'!I22+'18'!I22+'21'!I22+'25'!I22+'23'!I22+'26'!I22+'24'!I22+'28'!I22+'27'!I22+'29'!I22+'31'!I22+'30'!I22</f>
        <v>3</v>
      </c>
      <c r="J22" s="15"/>
      <c r="K22" s="16"/>
      <c r="L22" s="27">
        <f>+'1'!L22+'3'!L22+'2'!L22+'6'!L22+'5'!L22+'4'!L22+'8'!L22+'7'!L22+'10'!L22+'9'!L22+'11'!L22+'12'!L22+'13'!L22+'15'!L22+'14'!L22+'16'!L22+'17'!L22+'19'!L22+'20'!L22+'22'!L22+'18'!L22+'21'!L22+'25'!L22+'23'!L22+'26'!L22+'24'!L22+'28'!L22+'27'!L22+'29'!L22+'31'!L22+'30'!L22</f>
        <v>0</v>
      </c>
      <c r="M22" s="27">
        <f>+'1'!M22+'3'!M22+'2'!M22+'6'!M22+'5'!M22+'4'!M22+'8'!M22+'7'!M22+'10'!M22+'9'!M22+'11'!M22+'12'!M22+'13'!M22+'15'!M22+'14'!M22+'16'!M22+'17'!M22+'19'!M22+'20'!M22+'22'!M22+'18'!M22+'21'!M22+'25'!M22+'23'!M22+'26'!M22+'24'!M22+'28'!M22+'27'!M22+'29'!M22+'31'!M22+'30'!M22</f>
        <v>0</v>
      </c>
      <c r="N22" s="27">
        <f>+'1'!N22+'3'!N22+'2'!N22+'6'!N22+'5'!N22+'4'!N22+'8'!N22+'7'!N22+'10'!N22+'9'!N22+'11'!N22+'12'!N22+'13'!N22+'15'!N22+'14'!N22+'16'!N22+'17'!N22+'19'!N22+'20'!N22+'22'!N22+'18'!N22+'21'!N22+'25'!N22+'23'!N22+'26'!N22+'24'!N22+'28'!N22+'27'!N22+'29'!N22+'31'!N22+'30'!N22</f>
        <v>0</v>
      </c>
      <c r="O22" s="27">
        <f>+'1'!O22+'3'!O22+'2'!O22+'6'!O22+'5'!O22+'4'!O22+'8'!O22+'7'!O22+'10'!O22+'9'!O22+'11'!O22+'12'!O22+'13'!O22+'15'!O22+'14'!O22+'16'!O22+'17'!O22+'19'!O22+'20'!O22+'22'!O22+'18'!O22+'21'!O22+'25'!O22+'23'!O22+'26'!O22+'24'!O22+'28'!O22+'27'!O22+'29'!O22+'31'!O22+'30'!O22</f>
        <v>0</v>
      </c>
      <c r="P22" s="27">
        <f>+'1'!P22+'3'!P22+'2'!P22+'6'!P22+'5'!P22+'4'!P22+'8'!P22+'7'!P22+'10'!P22+'9'!P22+'11'!P22+'12'!P22+'13'!P22+'15'!P22+'14'!P22+'16'!P22+'17'!P22+'19'!P22+'20'!P22+'22'!P22+'18'!P22+'21'!P22+'25'!P22+'23'!P22+'26'!P22+'24'!P22+'28'!P22+'27'!P22+'29'!P22+'31'!P22+'30'!P22</f>
        <v>0</v>
      </c>
      <c r="Q22" s="27">
        <f>+'1'!Q22+'3'!Q22+'2'!Q22+'6'!Q22+'5'!Q22+'4'!Q22+'8'!Q22+'7'!Q22+'10'!Q22+'9'!Q22+'11'!Q22+'12'!Q22+'13'!Q22+'15'!Q22+'14'!Q22+'16'!Q22+'17'!Q22+'19'!Q22+'20'!Q22+'22'!Q22+'18'!Q22+'21'!Q22+'25'!Q22+'23'!Q22+'26'!Q22+'24'!Q22+'28'!Q22+'27'!Q22+'29'!Q22+'31'!Q22+'30'!Q22</f>
        <v>0</v>
      </c>
      <c r="R22" s="27">
        <f>+'1'!R22+'3'!R22+'2'!R22+'6'!R22+'5'!R22+'4'!R22+'8'!R22+'7'!R22+'10'!R22+'9'!R22+'11'!R22+'12'!R22+'13'!R22+'15'!R22+'14'!R22+'16'!R22+'17'!R22+'19'!R22+'20'!R22+'22'!R22+'18'!R22+'21'!R22+'25'!R22+'23'!R22+'26'!R22+'24'!R22+'28'!R22+'27'!R22+'29'!R22+'31'!R22+'30'!R22</f>
        <v>0</v>
      </c>
      <c r="S22" s="27">
        <f>+'1'!S22+'3'!S22+'2'!S22+'6'!S22+'5'!S22+'4'!S22+'8'!S22+'7'!S22+'10'!S22+'9'!S22+'11'!S22+'12'!S22+'13'!S22+'15'!S22+'14'!S22+'16'!S22+'17'!S22+'19'!S22+'20'!S22+'22'!S22+'18'!S22+'21'!S22+'25'!S22+'23'!S22+'26'!S22+'24'!S22+'28'!S22+'27'!S22+'29'!S22+'31'!S22+'30'!S22</f>
        <v>0</v>
      </c>
      <c r="T22" s="43">
        <f>+'1'!T22+'3'!T22+'2'!T22+'6'!T22+'5'!T22+'4'!T22+'8'!T22+'7'!T22+'10'!T22+'9'!T22+'11'!T22+'12'!T22+'13'!T22+'15'!T22+'14'!T22+'16'!T22+'17'!T22+'19'!T22+'20'!T22+'22'!T22+'18'!T22+'21'!T22+'25'!T22+'23'!T22+'26'!T22+'24'!T22+'28'!T22+'27'!T22+'29'!T22+'31'!T22+'30'!T22</f>
        <v>0</v>
      </c>
      <c r="U22" s="52">
        <f>+'1'!U22+'3'!U22+'2'!U22+'6'!U22+'5'!U22+'4'!U22+'8'!U22+'7'!U22+'10'!U22+'9'!U22+'11'!U22+'12'!U22+'13'!U22+'15'!U22+'14'!U22+'16'!U22+'17'!U22+'19'!U22+'20'!U22+'22'!U22+'18'!U22+'21'!U22+'25'!U22+'23'!U22+'26'!U22+'24'!U22+'28'!U22+'27'!U22+'29'!U22+'31'!U22+'30'!U22</f>
        <v>0</v>
      </c>
      <c r="V22" s="52">
        <f>+'1'!V22+'3'!V22+'2'!V22+'6'!V22+'5'!V22+'4'!V22+'8'!V22+'7'!V22+'10'!V22+'9'!V22+'11'!V22+'12'!V22+'13'!V22+'15'!V22+'14'!V22+'16'!V22+'17'!V22+'19'!V22+'20'!V22+'22'!V22+'18'!V22+'21'!V22+'25'!V22+'23'!V22+'26'!V22+'24'!V22+'28'!V22+'27'!V22+'29'!V22+'31'!V22+'30'!V22</f>
        <v>0</v>
      </c>
      <c r="W22" s="52">
        <f>+'1'!W22+'3'!W22+'2'!W22+'6'!W22+'5'!W22+'4'!W22+'8'!W22+'7'!W22+'10'!W22+'9'!W22+'11'!W22+'12'!W22+'13'!W22+'15'!W22+'14'!W22+'16'!W22+'17'!W22+'19'!W22+'20'!W22+'22'!W22+'18'!W22+'21'!W22+'25'!W22+'23'!W22+'26'!W22+'24'!W22+'28'!W22+'27'!W22+'29'!W22+'31'!W22+'30'!W22</f>
        <v>0</v>
      </c>
      <c r="X22" s="52">
        <f>+'1'!X22+'3'!X22+'2'!X22+'6'!X22+'5'!X22+'4'!X22+'8'!X22+'7'!X22+'10'!X22+'9'!X22+'11'!X22+'12'!X22+'13'!X22+'15'!X22+'14'!X22+'16'!X22+'17'!X22+'19'!X22+'20'!X22+'22'!X22+'18'!X22+'21'!X22+'25'!X22+'23'!X22+'26'!X22+'24'!X22+'28'!X22+'27'!X22+'29'!X22+'31'!X22+'30'!X22</f>
        <v>0</v>
      </c>
      <c r="Y22" s="52">
        <f>+'1'!Y22+'3'!Y22+'2'!Y22+'6'!Y22+'5'!Y22+'4'!Y22+'8'!Y22+'7'!Y22+'10'!Y22+'9'!Y22+'11'!Y22+'12'!Y22+'13'!Y22+'15'!Y22+'14'!Y22+'16'!Y22+'17'!Y22+'19'!Y22+'20'!Y22+'22'!Y22+'18'!Y22+'21'!Y22+'25'!Y22+'23'!Y22+'26'!Y22+'24'!Y22+'28'!Y22+'27'!Y22+'29'!Y22+'31'!Y22+'30'!Y22</f>
        <v>0</v>
      </c>
      <c r="Z22" s="52">
        <f>+'1'!Z22+'3'!Z22+'2'!Z22+'6'!Z22+'5'!Z22+'4'!Z22+'8'!Z22+'7'!Z22+'10'!Z22+'9'!Z22+'11'!Z22+'12'!Z22+'13'!Z22+'15'!Z22+'14'!Z22+'16'!Z22+'17'!Z22+'19'!Z22+'20'!Z22+'22'!Z22+'18'!Z22+'21'!Z22+'25'!Z22+'23'!Z22+'26'!Z22+'24'!Z22+'28'!Z22+'27'!Z22+'29'!Z22+'31'!Z22+'30'!Z22</f>
        <v>0</v>
      </c>
      <c r="AA22" s="52">
        <f>+'1'!AA22+'3'!AA22+'2'!AA22+'6'!AA22+'5'!AA22+'4'!AA22+'8'!AA22+'7'!AA22+'10'!AA22+'9'!AA22+'11'!AA22+'12'!AA22+'13'!AA22+'15'!AA22+'14'!AA22+'16'!AA22+'17'!AA22+'19'!AA22+'20'!AA22+'22'!AA22+'18'!AA22+'21'!AA22+'25'!AA22+'23'!AA22+'26'!AA22+'24'!AA22+'28'!AA22+'27'!AA22+'29'!AA22+'31'!AA22+'30'!AA22</f>
        <v>0</v>
      </c>
      <c r="AB22" s="52">
        <f>+'1'!AB22+'3'!AB22+'2'!AB22+'6'!AB22+'5'!AB22+'4'!AB22+'8'!AB22+'7'!AB22+'10'!AB22+'9'!AB22+'11'!AB22+'12'!AB22+'13'!AB22+'15'!AB22+'14'!AB22+'16'!AB22+'17'!AB22+'19'!AB22+'20'!AB22+'22'!AB22+'18'!AB22+'21'!AB22+'25'!AB22+'23'!AB22+'26'!AB22+'24'!AB22+'28'!AB22+'27'!AB22+'29'!AB22+'31'!AB22+'30'!AB22</f>
        <v>0</v>
      </c>
      <c r="AC22" s="52">
        <f>+'1'!AC22+'3'!AC22+'2'!AC22+'6'!AC22+'5'!AC22+'4'!AC22+'8'!AC22+'7'!AC22+'10'!AC22+'9'!AC22+'11'!AC22+'12'!AC22+'13'!AC22+'15'!AC22+'14'!AC22+'16'!AC22+'17'!AC22+'19'!AC22+'20'!AC22+'22'!AC22+'18'!AC22+'21'!AC22+'25'!AC22+'23'!AC22+'26'!AC22+'24'!AC22+'28'!AC22+'27'!AC22+'29'!AC22+'31'!AC22+'30'!AC22</f>
        <v>3</v>
      </c>
      <c r="AD22" s="52">
        <f>+'1'!AD22+'3'!AD22+'2'!AD22+'6'!AD22+'5'!AD22+'4'!AD22+'8'!AD22+'7'!AD22+'10'!AD22+'9'!AD22+'11'!AD22+'12'!AD22+'13'!AD22+'15'!AD22+'14'!AD22+'16'!AD22+'17'!AD22+'19'!AD22+'20'!AD22+'22'!AD22+'18'!AD22+'21'!AD22+'25'!AD22+'23'!AD22+'26'!AD22+'24'!AD22+'28'!AD22+'27'!AD22+'29'!AD22+'31'!AD22+'30'!AD22</f>
        <v>0</v>
      </c>
      <c r="AE22" s="52">
        <f>+'1'!AE22+'3'!AE22+'2'!AE22+'6'!AE22+'5'!AE22+'4'!AE22+'8'!AE22+'7'!AE22+'10'!AE22+'9'!AE22+'11'!AE22+'12'!AE22+'13'!AE22+'15'!AE22+'14'!AE22+'16'!AE22+'17'!AE22+'19'!AE22+'20'!AE22+'22'!AE22+'18'!AE22+'21'!AE22+'25'!AE22+'23'!AE22+'26'!AE22+'24'!AE22+'28'!AE22+'27'!AE22+'29'!AE22+'31'!AE22+'30'!AE22</f>
        <v>0</v>
      </c>
      <c r="AF22" s="52">
        <f>+'1'!AF22+'3'!AF22+'2'!AF22+'6'!AF22+'5'!AF22+'4'!AF22+'8'!AF22+'7'!AF22+'10'!AF22+'9'!AF22+'11'!AF22+'12'!AF22+'13'!AF22+'15'!AF22+'14'!AF22+'16'!AF22+'17'!AF22+'19'!AF22+'20'!AF22+'22'!AF22+'18'!AF22+'21'!AF22+'25'!AF22+'23'!AF22+'26'!AF22+'24'!AF22+'28'!AF22+'27'!AF22+'29'!AF22+'31'!AF22+'30'!AF22</f>
        <v>0</v>
      </c>
      <c r="AG22" s="52">
        <f>+'1'!AG22+'3'!AG22+'2'!AG22+'6'!AG22+'5'!AG22+'4'!AG22+'8'!AG22+'7'!AG22+'10'!AG22+'9'!AG22+'11'!AG22+'12'!AG22+'13'!AG22+'15'!AG22+'14'!AG22+'16'!AG22+'17'!AG22+'19'!AG22+'20'!AG22+'22'!AG22+'18'!AG22+'21'!AG22+'25'!AG22+'23'!AG22+'26'!AG22+'24'!AG22+'28'!AG22+'27'!AG22+'29'!AG22+'31'!AG22+'30'!AG22</f>
        <v>0</v>
      </c>
      <c r="AH22" s="52">
        <f>+'1'!AH22+'3'!AH22+'2'!AH22+'6'!AH22+'5'!AH22+'4'!AH22+'8'!AH22+'7'!AH22+'10'!AH22+'9'!AH22+'11'!AH22+'12'!AH22+'13'!AH22+'15'!AH22+'14'!AH22+'16'!AH22+'17'!AH22+'19'!AH22+'20'!AH22+'22'!AH22+'18'!AH22+'21'!AH22+'25'!AH22+'23'!AH22+'26'!AH22+'24'!AH22+'28'!AH22+'27'!AH22+'29'!AH22+'31'!AH22+'30'!AH22</f>
        <v>0</v>
      </c>
      <c r="AI22" s="55">
        <f>+'1'!AI22+'3'!AI22+'2'!AI22+'6'!AI22+'5'!AI22+'4'!AI22+'8'!AI22+'7'!AI22+'10'!AI22+'9'!AI22+'11'!AI22+'12'!AI22+'13'!AI22+'15'!AI22+'14'!AI22+'16'!AI22+'17'!AI22+'19'!AI22+'20'!AI22+'22'!AI22+'18'!AI22+'21'!AI22+'25'!AI22+'23'!AI22+'26'!AI22+'24'!AI22+'28'!AI22+'27'!AI22+'29'!AI22+'31'!AI22+'30'!AI22</f>
        <v>0</v>
      </c>
      <c r="AJ22" s="58">
        <f>+'1'!AJ22+'3'!AJ22+'2'!AJ22+'6'!AJ22+'5'!AJ22+'4'!AJ22+'8'!AJ22+'7'!AJ22+'10'!AJ22+'9'!AJ22+'11'!AJ22+'12'!AJ22+'13'!AJ22+'15'!AJ22+'14'!AJ22+'16'!AJ22+'17'!AJ22+'19'!AJ22+'20'!AJ22+'22'!AJ22+'18'!AJ22+'21'!AJ22+'25'!AJ22+'23'!AJ22+'26'!AJ22+'24'!AJ22+'28'!AJ22+'27'!AJ22+'29'!AJ22+'31'!AJ22+'30'!AJ22</f>
        <v>0</v>
      </c>
      <c r="AK22" s="55">
        <f>+'1'!AK22+'3'!AK22+'2'!AK22+'6'!AK22+'5'!AK22+'4'!AK22+'8'!AK22+'7'!AK22+'10'!AK22+'9'!AK22+'11'!AK22+'12'!AK22+'13'!AK22+'15'!AK22+'14'!AK22+'16'!AK22+'17'!AK22+'19'!AK22+'20'!AK22+'22'!AK22+'18'!AK22+'21'!AK22+'25'!AK22+'23'!AK22+'26'!AK22+'24'!AK22+'28'!AK22+'27'!AK22+'29'!AK22+'31'!AK22+'30'!AK22</f>
        <v>0</v>
      </c>
      <c r="AL22" s="66">
        <f t="shared" si="2"/>
        <v>3</v>
      </c>
      <c r="AM22" s="28" t="str">
        <f t="shared" si="3"/>
        <v>OK</v>
      </c>
    </row>
    <row r="23" spans="1:39" customFormat="1" hidden="1">
      <c r="A23" s="17" t="s">
        <v>114</v>
      </c>
      <c r="B23" s="79">
        <v>18827</v>
      </c>
      <c r="C23" s="17" t="s">
        <v>117</v>
      </c>
      <c r="D23" s="69"/>
      <c r="E23" s="18"/>
      <c r="F23" s="18"/>
      <c r="G23" s="19"/>
      <c r="H23" s="20">
        <f>+'1'!H23+'3'!H23+'2'!H23+'6'!H23+'5'!H23+'4'!H23+'8'!H23+'7'!H23+'10'!H23+'9'!H23+'11'!H23+'12'!H23+'13'!H23+'15'!H23+'14'!H23+'16'!H23+'17'!H23+'19'!H23+'20'!H23+'22'!H23+'18'!H23+'21'!H23+'25'!H23+'23'!H23+'26'!H23+'24'!H23+'28'!H23+'27'!H23+'29'!H23+'31'!H23+'30'!H23</f>
        <v>0</v>
      </c>
      <c r="I23" s="21">
        <f>+'1'!I23+'3'!I23+'2'!I23+'6'!I23+'5'!I23+'4'!I23+'8'!I23+'7'!I23+'10'!I23+'9'!I23+'11'!I23+'12'!I23+'13'!I23+'15'!I23+'14'!I23+'16'!I23+'17'!I23+'19'!I23+'20'!I23+'22'!I23+'18'!I23+'21'!I23+'25'!I23+'23'!I23+'26'!I23+'24'!I23+'28'!I23+'27'!I23+'29'!I23+'31'!I23+'30'!I23</f>
        <v>0</v>
      </c>
      <c r="J23" s="21"/>
      <c r="K23" s="16"/>
      <c r="L23" s="21">
        <f>+'1'!L23+'3'!L23+'2'!L23+'6'!L23+'5'!L23+'4'!L23+'8'!L23+'7'!L23+'10'!L23+'9'!L23+'11'!L23+'12'!L23+'13'!L23+'15'!L23+'14'!L23+'16'!L23+'17'!L23+'19'!L23+'20'!L23+'22'!L23+'18'!L23+'21'!L23+'25'!L23+'23'!L23+'26'!L23+'24'!L23+'28'!L23+'27'!L23+'29'!L23+'31'!L23+'30'!L23</f>
        <v>0</v>
      </c>
      <c r="M23" s="21">
        <f>+'1'!M23+'3'!M23+'2'!M23+'6'!M23+'5'!M23+'4'!M23+'8'!M23+'7'!M23+'10'!M23+'9'!M23+'11'!M23+'12'!M23+'13'!M23+'15'!M23+'14'!M23+'16'!M23+'17'!M23+'19'!M23+'20'!M23+'22'!M23+'18'!M23+'21'!M23+'25'!M23+'23'!M23+'26'!M23+'24'!M23+'28'!M23+'27'!M23+'29'!M23+'31'!M23+'30'!M23</f>
        <v>0</v>
      </c>
      <c r="N23" s="21">
        <f>+'1'!N23+'3'!N23+'2'!N23+'6'!N23+'5'!N23+'4'!N23+'8'!N23+'7'!N23+'10'!N23+'9'!N23+'11'!N23+'12'!N23+'13'!N23+'15'!N23+'14'!N23+'16'!N23+'17'!N23+'19'!N23+'20'!N23+'22'!N23+'18'!N23+'21'!N23+'25'!N23+'23'!N23+'26'!N23+'24'!N23+'28'!N23+'27'!N23+'29'!N23+'31'!N23+'30'!N23</f>
        <v>0</v>
      </c>
      <c r="O23" s="21">
        <f>+'1'!O23+'3'!O23+'2'!O23+'6'!O23+'5'!O23+'4'!O23+'8'!O23+'7'!O23+'10'!O23+'9'!O23+'11'!O23+'12'!O23+'13'!O23+'15'!O23+'14'!O23+'16'!O23+'17'!O23+'19'!O23+'20'!O23+'22'!O23+'18'!O23+'21'!O23+'25'!O23+'23'!O23+'26'!O23+'24'!O23+'28'!O23+'27'!O23+'29'!O23+'31'!O23+'30'!O23</f>
        <v>0</v>
      </c>
      <c r="P23" s="21">
        <f>+'1'!P23+'3'!P23+'2'!P23+'6'!P23+'5'!P23+'4'!P23+'8'!P23+'7'!P23+'10'!P23+'9'!P23+'11'!P23+'12'!P23+'13'!P23+'15'!P23+'14'!P23+'16'!P23+'17'!P23+'19'!P23+'20'!P23+'22'!P23+'18'!P23+'21'!P23+'25'!P23+'23'!P23+'26'!P23+'24'!P23+'28'!P23+'27'!P23+'29'!P23+'31'!P23+'30'!P23</f>
        <v>0</v>
      </c>
      <c r="Q23" s="21">
        <f>+'1'!Q23+'3'!Q23+'2'!Q23+'6'!Q23+'5'!Q23+'4'!Q23+'8'!Q23+'7'!Q23+'10'!Q23+'9'!Q23+'11'!Q23+'12'!Q23+'13'!Q23+'15'!Q23+'14'!Q23+'16'!Q23+'17'!Q23+'19'!Q23+'20'!Q23+'22'!Q23+'18'!Q23+'21'!Q23+'25'!Q23+'23'!Q23+'26'!Q23+'24'!Q23+'28'!Q23+'27'!Q23+'29'!Q23+'31'!Q23+'30'!Q23</f>
        <v>0</v>
      </c>
      <c r="R23" s="21">
        <f>+'1'!R23+'3'!R23+'2'!R23+'6'!R23+'5'!R23+'4'!R23+'8'!R23+'7'!R23+'10'!R23+'9'!R23+'11'!R23+'12'!R23+'13'!R23+'15'!R23+'14'!R23+'16'!R23+'17'!R23+'19'!R23+'20'!R23+'22'!R23+'18'!R23+'21'!R23+'25'!R23+'23'!R23+'26'!R23+'24'!R23+'28'!R23+'27'!R23+'29'!R23+'31'!R23+'30'!R23</f>
        <v>0</v>
      </c>
      <c r="S23" s="21">
        <f>+'1'!S23+'3'!S23+'2'!S23+'6'!S23+'5'!S23+'4'!S23+'8'!S23+'7'!S23+'10'!S23+'9'!S23+'11'!S23+'12'!S23+'13'!S23+'15'!S23+'14'!S23+'16'!S23+'17'!S23+'19'!S23+'20'!S23+'22'!S23+'18'!S23+'21'!S23+'25'!S23+'23'!S23+'26'!S23+'24'!S23+'28'!S23+'27'!S23+'29'!S23+'31'!S23+'30'!S23</f>
        <v>0</v>
      </c>
      <c r="T23" s="42">
        <f>+'1'!T23+'3'!T23+'2'!T23+'6'!T23+'5'!T23+'4'!T23+'8'!T23+'7'!T23+'10'!T23+'9'!T23+'11'!T23+'12'!T23+'13'!T23+'15'!T23+'14'!T23+'16'!T23+'17'!T23+'19'!T23+'20'!T23+'22'!T23+'18'!T23+'21'!T23+'25'!T23+'23'!T23+'26'!T23+'24'!T23+'28'!T23+'27'!T23+'29'!T23+'31'!T23+'30'!T23</f>
        <v>0</v>
      </c>
      <c r="U23" s="51">
        <f>+'1'!U23+'3'!U23+'2'!U23+'6'!U23+'5'!U23+'4'!U23+'8'!U23+'7'!U23+'10'!U23+'9'!U23+'11'!U23+'12'!U23+'13'!U23+'15'!U23+'14'!U23+'16'!U23+'17'!U23+'19'!U23+'20'!U23+'22'!U23+'18'!U23+'21'!U23+'25'!U23+'23'!U23+'26'!U23+'24'!U23+'28'!U23+'27'!U23+'29'!U23+'31'!U23+'30'!U23</f>
        <v>0</v>
      </c>
      <c r="V23" s="51">
        <f>+'1'!V23+'3'!V23+'2'!V23+'6'!V23+'5'!V23+'4'!V23+'8'!V23+'7'!V23+'10'!V23+'9'!V23+'11'!V23+'12'!V23+'13'!V23+'15'!V23+'14'!V23+'16'!V23+'17'!V23+'19'!V23+'20'!V23+'22'!V23+'18'!V23+'21'!V23+'25'!V23+'23'!V23+'26'!V23+'24'!V23+'28'!V23+'27'!V23+'29'!V23+'31'!V23+'30'!V23</f>
        <v>0</v>
      </c>
      <c r="W23" s="51">
        <f>+'1'!W23+'3'!W23+'2'!W23+'6'!W23+'5'!W23+'4'!W23+'8'!W23+'7'!W23+'10'!W23+'9'!W23+'11'!W23+'12'!W23+'13'!W23+'15'!W23+'14'!W23+'16'!W23+'17'!W23+'19'!W23+'20'!W23+'22'!W23+'18'!W23+'21'!W23+'25'!W23+'23'!W23+'26'!W23+'24'!W23+'28'!W23+'27'!W23+'29'!W23+'31'!W23+'30'!W23</f>
        <v>0</v>
      </c>
      <c r="X23" s="51">
        <f>+'1'!X23+'3'!X23+'2'!X23+'6'!X23+'5'!X23+'4'!X23+'8'!X23+'7'!X23+'10'!X23+'9'!X23+'11'!X23+'12'!X23+'13'!X23+'15'!X23+'14'!X23+'16'!X23+'17'!X23+'19'!X23+'20'!X23+'22'!X23+'18'!X23+'21'!X23+'25'!X23+'23'!X23+'26'!X23+'24'!X23+'28'!X23+'27'!X23+'29'!X23+'31'!X23+'30'!X23</f>
        <v>0</v>
      </c>
      <c r="Y23" s="51">
        <f>+'1'!Y23+'3'!Y23+'2'!Y23+'6'!Y23+'5'!Y23+'4'!Y23+'8'!Y23+'7'!Y23+'10'!Y23+'9'!Y23+'11'!Y23+'12'!Y23+'13'!Y23+'15'!Y23+'14'!Y23+'16'!Y23+'17'!Y23+'19'!Y23+'20'!Y23+'22'!Y23+'18'!Y23+'21'!Y23+'25'!Y23+'23'!Y23+'26'!Y23+'24'!Y23+'28'!Y23+'27'!Y23+'29'!Y23+'31'!Y23+'30'!Y23</f>
        <v>0</v>
      </c>
      <c r="Z23" s="51">
        <f>+'1'!Z23+'3'!Z23+'2'!Z23+'6'!Z23+'5'!Z23+'4'!Z23+'8'!Z23+'7'!Z23+'10'!Z23+'9'!Z23+'11'!Z23+'12'!Z23+'13'!Z23+'15'!Z23+'14'!Z23+'16'!Z23+'17'!Z23+'19'!Z23+'20'!Z23+'22'!Z23+'18'!Z23+'21'!Z23+'25'!Z23+'23'!Z23+'26'!Z23+'24'!Z23+'28'!Z23+'27'!Z23+'29'!Z23+'31'!Z23+'30'!Z23</f>
        <v>0</v>
      </c>
      <c r="AA23" s="51">
        <f>+'1'!AA23+'3'!AA23+'2'!AA23+'6'!AA23+'5'!AA23+'4'!AA23+'8'!AA23+'7'!AA23+'10'!AA23+'9'!AA23+'11'!AA23+'12'!AA23+'13'!AA23+'15'!AA23+'14'!AA23+'16'!AA23+'17'!AA23+'19'!AA23+'20'!AA23+'22'!AA23+'18'!AA23+'21'!AA23+'25'!AA23+'23'!AA23+'26'!AA23+'24'!AA23+'28'!AA23+'27'!AA23+'29'!AA23+'31'!AA23+'30'!AA23</f>
        <v>0</v>
      </c>
      <c r="AB23" s="51">
        <f>+'1'!AB23+'3'!AB23+'2'!AB23+'6'!AB23+'5'!AB23+'4'!AB23+'8'!AB23+'7'!AB23+'10'!AB23+'9'!AB23+'11'!AB23+'12'!AB23+'13'!AB23+'15'!AB23+'14'!AB23+'16'!AB23+'17'!AB23+'19'!AB23+'20'!AB23+'22'!AB23+'18'!AB23+'21'!AB23+'25'!AB23+'23'!AB23+'26'!AB23+'24'!AB23+'28'!AB23+'27'!AB23+'29'!AB23+'31'!AB23+'30'!AB23</f>
        <v>0</v>
      </c>
      <c r="AC23" s="51">
        <f>+'1'!AC23+'3'!AC23+'2'!AC23+'6'!AC23+'5'!AC23+'4'!AC23+'8'!AC23+'7'!AC23+'10'!AC23+'9'!AC23+'11'!AC23+'12'!AC23+'13'!AC23+'15'!AC23+'14'!AC23+'16'!AC23+'17'!AC23+'19'!AC23+'20'!AC23+'22'!AC23+'18'!AC23+'21'!AC23+'25'!AC23+'23'!AC23+'26'!AC23+'24'!AC23+'28'!AC23+'27'!AC23+'29'!AC23+'31'!AC23+'30'!AC23</f>
        <v>0</v>
      </c>
      <c r="AD23" s="51">
        <f>+'1'!AD23+'3'!AD23+'2'!AD23+'6'!AD23+'5'!AD23+'4'!AD23+'8'!AD23+'7'!AD23+'10'!AD23+'9'!AD23+'11'!AD23+'12'!AD23+'13'!AD23+'15'!AD23+'14'!AD23+'16'!AD23+'17'!AD23+'19'!AD23+'20'!AD23+'22'!AD23+'18'!AD23+'21'!AD23+'25'!AD23+'23'!AD23+'26'!AD23+'24'!AD23+'28'!AD23+'27'!AD23+'29'!AD23+'31'!AD23+'30'!AD23</f>
        <v>0</v>
      </c>
      <c r="AE23" s="51">
        <f>+'1'!AE23+'3'!AE23+'2'!AE23+'6'!AE23+'5'!AE23+'4'!AE23+'8'!AE23+'7'!AE23+'10'!AE23+'9'!AE23+'11'!AE23+'12'!AE23+'13'!AE23+'15'!AE23+'14'!AE23+'16'!AE23+'17'!AE23+'19'!AE23+'20'!AE23+'22'!AE23+'18'!AE23+'21'!AE23+'25'!AE23+'23'!AE23+'26'!AE23+'24'!AE23+'28'!AE23+'27'!AE23+'29'!AE23+'31'!AE23+'30'!AE23</f>
        <v>0</v>
      </c>
      <c r="AF23" s="51">
        <f>+'1'!AF23+'3'!AF23+'2'!AF23+'6'!AF23+'5'!AF23+'4'!AF23+'8'!AF23+'7'!AF23+'10'!AF23+'9'!AF23+'11'!AF23+'12'!AF23+'13'!AF23+'15'!AF23+'14'!AF23+'16'!AF23+'17'!AF23+'19'!AF23+'20'!AF23+'22'!AF23+'18'!AF23+'21'!AF23+'25'!AF23+'23'!AF23+'26'!AF23+'24'!AF23+'28'!AF23+'27'!AF23+'29'!AF23+'31'!AF23+'30'!AF23</f>
        <v>0</v>
      </c>
      <c r="AG23" s="51">
        <f>+'1'!AG23+'3'!AG23+'2'!AG23+'6'!AG23+'5'!AG23+'4'!AG23+'8'!AG23+'7'!AG23+'10'!AG23+'9'!AG23+'11'!AG23+'12'!AG23+'13'!AG23+'15'!AG23+'14'!AG23+'16'!AG23+'17'!AG23+'19'!AG23+'20'!AG23+'22'!AG23+'18'!AG23+'21'!AG23+'25'!AG23+'23'!AG23+'26'!AG23+'24'!AG23+'28'!AG23+'27'!AG23+'29'!AG23+'31'!AG23+'30'!AG23</f>
        <v>0</v>
      </c>
      <c r="AH23" s="51">
        <f>+'1'!AH23+'3'!AH23+'2'!AH23+'6'!AH23+'5'!AH23+'4'!AH23+'8'!AH23+'7'!AH23+'10'!AH23+'9'!AH23+'11'!AH23+'12'!AH23+'13'!AH23+'15'!AH23+'14'!AH23+'16'!AH23+'17'!AH23+'19'!AH23+'20'!AH23+'22'!AH23+'18'!AH23+'21'!AH23+'25'!AH23+'23'!AH23+'26'!AH23+'24'!AH23+'28'!AH23+'27'!AH23+'29'!AH23+'31'!AH23+'30'!AH23</f>
        <v>0</v>
      </c>
      <c r="AI23" s="54">
        <f>+'1'!AI23+'3'!AI23+'2'!AI23+'6'!AI23+'5'!AI23+'4'!AI23+'8'!AI23+'7'!AI23+'10'!AI23+'9'!AI23+'11'!AI23+'12'!AI23+'13'!AI23+'15'!AI23+'14'!AI23+'16'!AI23+'17'!AI23+'19'!AI23+'20'!AI23+'22'!AI23+'18'!AI23+'21'!AI23+'25'!AI23+'23'!AI23+'26'!AI23+'24'!AI23+'28'!AI23+'27'!AI23+'29'!AI23+'31'!AI23+'30'!AI23</f>
        <v>0</v>
      </c>
      <c r="AJ23" s="57">
        <f>+'1'!AJ23+'3'!AJ23+'2'!AJ23+'6'!AJ23+'5'!AJ23+'4'!AJ23+'8'!AJ23+'7'!AJ23+'10'!AJ23+'9'!AJ23+'11'!AJ23+'12'!AJ23+'13'!AJ23+'15'!AJ23+'14'!AJ23+'16'!AJ23+'17'!AJ23+'19'!AJ23+'20'!AJ23+'22'!AJ23+'18'!AJ23+'21'!AJ23+'25'!AJ23+'23'!AJ23+'26'!AJ23+'24'!AJ23+'28'!AJ23+'27'!AJ23+'29'!AJ23+'31'!AJ23+'30'!AJ23</f>
        <v>0</v>
      </c>
      <c r="AK23" s="54">
        <f>+'1'!AK23+'3'!AK23+'2'!AK23+'6'!AK23+'5'!AK23+'4'!AK23+'8'!AK23+'7'!AK23+'10'!AK23+'9'!AK23+'11'!AK23+'12'!AK23+'13'!AK23+'15'!AK23+'14'!AK23+'16'!AK23+'17'!AK23+'19'!AK23+'20'!AK23+'22'!AK23+'18'!AK23+'21'!AK23+'25'!AK23+'23'!AK23+'26'!AK23+'24'!AK23+'28'!AK23+'27'!AK23+'29'!AK23+'31'!AK23+'30'!AK23</f>
        <v>0</v>
      </c>
      <c r="AL23" s="65">
        <f t="shared" si="2"/>
        <v>0</v>
      </c>
      <c r="AM23" s="22" t="str">
        <f t="shared" si="3"/>
        <v>OK</v>
      </c>
    </row>
    <row r="24" spans="1:39" customFormat="1">
      <c r="A24" s="68" t="s">
        <v>44</v>
      </c>
      <c r="B24" s="78">
        <v>10163</v>
      </c>
      <c r="C24" s="23" t="s">
        <v>45</v>
      </c>
      <c r="D24" s="24"/>
      <c r="E24" s="24"/>
      <c r="F24" s="24"/>
      <c r="G24" s="25"/>
      <c r="H24" s="14">
        <f>+'1'!H24+'3'!H24+'2'!H24+'6'!H24+'5'!H24+'4'!H24+'8'!H24+'7'!H24+'10'!H24+'9'!H24+'11'!H24+'12'!H24+'13'!H24+'15'!H24+'14'!H24+'16'!H24+'17'!H24+'19'!H24+'20'!H24+'22'!H24+'18'!H24+'21'!H24+'25'!H24+'23'!H24+'26'!H24+'24'!H24+'28'!H24+'27'!H24+'29'!H24+'31'!H24+'30'!H24</f>
        <v>24351</v>
      </c>
      <c r="I24" s="15">
        <f>+'1'!I24+'3'!I24+'2'!I24+'6'!I24+'5'!I24+'4'!I24+'8'!I24+'7'!I24+'10'!I24+'9'!I24+'11'!I24+'12'!I24+'13'!I24+'15'!I24+'14'!I24+'16'!I24+'17'!I24+'19'!I24+'20'!I24+'22'!I24+'18'!I24+'21'!I24+'25'!I24+'23'!I24+'26'!I24+'24'!I24+'28'!I24+'27'!I24+'29'!I24+'31'!I24+'30'!I24</f>
        <v>15</v>
      </c>
      <c r="J24" s="15"/>
      <c r="K24" s="16"/>
      <c r="L24" s="27">
        <f>+'1'!L24+'3'!L24+'2'!L24+'6'!L24+'5'!L24+'4'!L24+'8'!L24+'7'!L24+'10'!L24+'9'!L24+'11'!L24+'12'!L24+'13'!L24+'15'!L24+'14'!L24+'16'!L24+'17'!L24+'19'!L24+'20'!L24+'22'!L24+'18'!L24+'21'!L24+'25'!L24+'23'!L24+'26'!L24+'24'!L24+'28'!L24+'27'!L24+'29'!L24+'31'!L24+'30'!L24</f>
        <v>9</v>
      </c>
      <c r="M24" s="27">
        <f>+'1'!M24+'3'!M24+'2'!M24+'6'!M24+'5'!M24+'4'!M24+'8'!M24+'7'!M24+'10'!M24+'9'!M24+'11'!M24+'12'!M24+'13'!M24+'15'!M24+'14'!M24+'16'!M24+'17'!M24+'19'!M24+'20'!M24+'22'!M24+'18'!M24+'21'!M24+'25'!M24+'23'!M24+'26'!M24+'24'!M24+'28'!M24+'27'!M24+'29'!M24+'31'!M24+'30'!M24</f>
        <v>0</v>
      </c>
      <c r="N24" s="27">
        <f>+'1'!N24+'3'!N24+'2'!N24+'6'!N24+'5'!N24+'4'!N24+'8'!N24+'7'!N24+'10'!N24+'9'!N24+'11'!N24+'12'!N24+'13'!N24+'15'!N24+'14'!N24+'16'!N24+'17'!N24+'19'!N24+'20'!N24+'22'!N24+'18'!N24+'21'!N24+'25'!N24+'23'!N24+'26'!N24+'24'!N24+'28'!N24+'27'!N24+'29'!N24+'31'!N24+'30'!N24</f>
        <v>1</v>
      </c>
      <c r="O24" s="27">
        <f>+'1'!O24+'3'!O24+'2'!O24+'6'!O24+'5'!O24+'4'!O24+'8'!O24+'7'!O24+'10'!O24+'9'!O24+'11'!O24+'12'!O24+'13'!O24+'15'!O24+'14'!O24+'16'!O24+'17'!O24+'19'!O24+'20'!O24+'22'!O24+'18'!O24+'21'!O24+'25'!O24+'23'!O24+'26'!O24+'24'!O24+'28'!O24+'27'!O24+'29'!O24+'31'!O24+'30'!O24</f>
        <v>0</v>
      </c>
      <c r="P24" s="27">
        <f>+'1'!P24+'3'!P24+'2'!P24+'6'!P24+'5'!P24+'4'!P24+'8'!P24+'7'!P24+'10'!P24+'9'!P24+'11'!P24+'12'!P24+'13'!P24+'15'!P24+'14'!P24+'16'!P24+'17'!P24+'19'!P24+'20'!P24+'22'!P24+'18'!P24+'21'!P24+'25'!P24+'23'!P24+'26'!P24+'24'!P24+'28'!P24+'27'!P24+'29'!P24+'31'!P24+'30'!P24</f>
        <v>0</v>
      </c>
      <c r="Q24" s="27">
        <f>+'1'!Q24+'3'!Q24+'2'!Q24+'6'!Q24+'5'!Q24+'4'!Q24+'8'!Q24+'7'!Q24+'10'!Q24+'9'!Q24+'11'!Q24+'12'!Q24+'13'!Q24+'15'!Q24+'14'!Q24+'16'!Q24+'17'!Q24+'19'!Q24+'20'!Q24+'22'!Q24+'18'!Q24+'21'!Q24+'25'!Q24+'23'!Q24+'26'!Q24+'24'!Q24+'28'!Q24+'27'!Q24+'29'!Q24+'31'!Q24+'30'!Q24</f>
        <v>0</v>
      </c>
      <c r="R24" s="27">
        <f>+'1'!R24+'3'!R24+'2'!R24+'6'!R24+'5'!R24+'4'!R24+'8'!R24+'7'!R24+'10'!R24+'9'!R24+'11'!R24+'12'!R24+'13'!R24+'15'!R24+'14'!R24+'16'!R24+'17'!R24+'19'!R24+'20'!R24+'22'!R24+'18'!R24+'21'!R24+'25'!R24+'23'!R24+'26'!R24+'24'!R24+'28'!R24+'27'!R24+'29'!R24+'31'!R24+'30'!R24</f>
        <v>0</v>
      </c>
      <c r="S24" s="27">
        <f>+'1'!S24+'3'!S24+'2'!S24+'6'!S24+'5'!S24+'4'!S24+'8'!S24+'7'!S24+'10'!S24+'9'!S24+'11'!S24+'12'!S24+'13'!S24+'15'!S24+'14'!S24+'16'!S24+'17'!S24+'19'!S24+'20'!S24+'22'!S24+'18'!S24+'21'!S24+'25'!S24+'23'!S24+'26'!S24+'24'!S24+'28'!S24+'27'!S24+'29'!S24+'31'!S24+'30'!S24</f>
        <v>0</v>
      </c>
      <c r="T24" s="43">
        <f>+'1'!T24+'3'!T24+'2'!T24+'6'!T24+'5'!T24+'4'!T24+'8'!T24+'7'!T24+'10'!T24+'9'!T24+'11'!T24+'12'!T24+'13'!T24+'15'!T24+'14'!T24+'16'!T24+'17'!T24+'19'!T24+'20'!T24+'22'!T24+'18'!T24+'21'!T24+'25'!T24+'23'!T24+'26'!T24+'24'!T24+'28'!T24+'27'!T24+'29'!T24+'31'!T24+'30'!T24</f>
        <v>0</v>
      </c>
      <c r="U24" s="52">
        <f>+'1'!U24+'3'!U24+'2'!U24+'6'!U24+'5'!U24+'4'!U24+'8'!U24+'7'!U24+'10'!U24+'9'!U24+'11'!U24+'12'!U24+'13'!U24+'15'!U24+'14'!U24+'16'!U24+'17'!U24+'19'!U24+'20'!U24+'22'!U24+'18'!U24+'21'!U24+'25'!U24+'23'!U24+'26'!U24+'24'!U24+'28'!U24+'27'!U24+'29'!U24+'31'!U24+'30'!U24</f>
        <v>0</v>
      </c>
      <c r="V24" s="52">
        <f>+'1'!V24+'3'!V24+'2'!V24+'6'!V24+'5'!V24+'4'!V24+'8'!V24+'7'!V24+'10'!V24+'9'!V24+'11'!V24+'12'!V24+'13'!V24+'15'!V24+'14'!V24+'16'!V24+'17'!V24+'19'!V24+'20'!V24+'22'!V24+'18'!V24+'21'!V24+'25'!V24+'23'!V24+'26'!V24+'24'!V24+'28'!V24+'27'!V24+'29'!V24+'31'!V24+'30'!V24</f>
        <v>0</v>
      </c>
      <c r="W24" s="52">
        <f>+'1'!W24+'3'!W24+'2'!W24+'6'!W24+'5'!W24+'4'!W24+'8'!W24+'7'!W24+'10'!W24+'9'!W24+'11'!W24+'12'!W24+'13'!W24+'15'!W24+'14'!W24+'16'!W24+'17'!W24+'19'!W24+'20'!W24+'22'!W24+'18'!W24+'21'!W24+'25'!W24+'23'!W24+'26'!W24+'24'!W24+'28'!W24+'27'!W24+'29'!W24+'31'!W24+'30'!W24</f>
        <v>0</v>
      </c>
      <c r="X24" s="52">
        <f>+'1'!X24+'3'!X24+'2'!X24+'6'!X24+'5'!X24+'4'!X24+'8'!X24+'7'!X24+'10'!X24+'9'!X24+'11'!X24+'12'!X24+'13'!X24+'15'!X24+'14'!X24+'16'!X24+'17'!X24+'19'!X24+'20'!X24+'22'!X24+'18'!X24+'21'!X24+'25'!X24+'23'!X24+'26'!X24+'24'!X24+'28'!X24+'27'!X24+'29'!X24+'31'!X24+'30'!X24</f>
        <v>0</v>
      </c>
      <c r="Y24" s="52">
        <f>+'1'!Y24+'3'!Y24+'2'!Y24+'6'!Y24+'5'!Y24+'4'!Y24+'8'!Y24+'7'!Y24+'10'!Y24+'9'!Y24+'11'!Y24+'12'!Y24+'13'!Y24+'15'!Y24+'14'!Y24+'16'!Y24+'17'!Y24+'19'!Y24+'20'!Y24+'22'!Y24+'18'!Y24+'21'!Y24+'25'!Y24+'23'!Y24+'26'!Y24+'24'!Y24+'28'!Y24+'27'!Y24+'29'!Y24+'31'!Y24+'30'!Y24</f>
        <v>0</v>
      </c>
      <c r="Z24" s="52">
        <f>+'1'!Z24+'3'!Z24+'2'!Z24+'6'!Z24+'5'!Z24+'4'!Z24+'8'!Z24+'7'!Z24+'10'!Z24+'9'!Z24+'11'!Z24+'12'!Z24+'13'!Z24+'15'!Z24+'14'!Z24+'16'!Z24+'17'!Z24+'19'!Z24+'20'!Z24+'22'!Z24+'18'!Z24+'21'!Z24+'25'!Z24+'23'!Z24+'26'!Z24+'24'!Z24+'28'!Z24+'27'!Z24+'29'!Z24+'31'!Z24+'30'!Z24</f>
        <v>0</v>
      </c>
      <c r="AA24" s="52">
        <f>+'1'!AA24+'3'!AA24+'2'!AA24+'6'!AA24+'5'!AA24+'4'!AA24+'8'!AA24+'7'!AA24+'10'!AA24+'9'!AA24+'11'!AA24+'12'!AA24+'13'!AA24+'15'!AA24+'14'!AA24+'16'!AA24+'17'!AA24+'19'!AA24+'20'!AA24+'22'!AA24+'18'!AA24+'21'!AA24+'25'!AA24+'23'!AA24+'26'!AA24+'24'!AA24+'28'!AA24+'27'!AA24+'29'!AA24+'31'!AA24+'30'!AA24</f>
        <v>0</v>
      </c>
      <c r="AB24" s="52">
        <f>+'1'!AB24+'3'!AB24+'2'!AB24+'6'!AB24+'5'!AB24+'4'!AB24+'8'!AB24+'7'!AB24+'10'!AB24+'9'!AB24+'11'!AB24+'12'!AB24+'13'!AB24+'15'!AB24+'14'!AB24+'16'!AB24+'17'!AB24+'19'!AB24+'20'!AB24+'22'!AB24+'18'!AB24+'21'!AB24+'25'!AB24+'23'!AB24+'26'!AB24+'24'!AB24+'28'!AB24+'27'!AB24+'29'!AB24+'31'!AB24+'30'!AB24</f>
        <v>0</v>
      </c>
      <c r="AC24" s="52">
        <f>+'1'!AC24+'3'!AC24+'2'!AC24+'6'!AC24+'5'!AC24+'4'!AC24+'8'!AC24+'7'!AC24+'10'!AC24+'9'!AC24+'11'!AC24+'12'!AC24+'13'!AC24+'15'!AC24+'14'!AC24+'16'!AC24+'17'!AC24+'19'!AC24+'20'!AC24+'22'!AC24+'18'!AC24+'21'!AC24+'25'!AC24+'23'!AC24+'26'!AC24+'24'!AC24+'28'!AC24+'27'!AC24+'29'!AC24+'31'!AC24+'30'!AC24</f>
        <v>2</v>
      </c>
      <c r="AD24" s="52">
        <f>+'1'!AD24+'3'!AD24+'2'!AD24+'6'!AD24+'5'!AD24+'4'!AD24+'8'!AD24+'7'!AD24+'10'!AD24+'9'!AD24+'11'!AD24+'12'!AD24+'13'!AD24+'15'!AD24+'14'!AD24+'16'!AD24+'17'!AD24+'19'!AD24+'20'!AD24+'22'!AD24+'18'!AD24+'21'!AD24+'25'!AD24+'23'!AD24+'26'!AD24+'24'!AD24+'28'!AD24+'27'!AD24+'29'!AD24+'31'!AD24+'30'!AD24</f>
        <v>0</v>
      </c>
      <c r="AE24" s="52">
        <f>+'1'!AE24+'3'!AE24+'2'!AE24+'6'!AE24+'5'!AE24+'4'!AE24+'8'!AE24+'7'!AE24+'10'!AE24+'9'!AE24+'11'!AE24+'12'!AE24+'13'!AE24+'15'!AE24+'14'!AE24+'16'!AE24+'17'!AE24+'19'!AE24+'20'!AE24+'22'!AE24+'18'!AE24+'21'!AE24+'25'!AE24+'23'!AE24+'26'!AE24+'24'!AE24+'28'!AE24+'27'!AE24+'29'!AE24+'31'!AE24+'30'!AE24</f>
        <v>0</v>
      </c>
      <c r="AF24" s="52">
        <f>+'1'!AF24+'3'!AF24+'2'!AF24+'6'!AF24+'5'!AF24+'4'!AF24+'8'!AF24+'7'!AF24+'10'!AF24+'9'!AF24+'11'!AF24+'12'!AF24+'13'!AF24+'15'!AF24+'14'!AF24+'16'!AF24+'17'!AF24+'19'!AF24+'20'!AF24+'22'!AF24+'18'!AF24+'21'!AF24+'25'!AF24+'23'!AF24+'26'!AF24+'24'!AF24+'28'!AF24+'27'!AF24+'29'!AF24+'31'!AF24+'30'!AF24</f>
        <v>1</v>
      </c>
      <c r="AG24" s="52">
        <f>+'1'!AG24+'3'!AG24+'2'!AG24+'6'!AG24+'5'!AG24+'4'!AG24+'8'!AG24+'7'!AG24+'10'!AG24+'9'!AG24+'11'!AG24+'12'!AG24+'13'!AG24+'15'!AG24+'14'!AG24+'16'!AG24+'17'!AG24+'19'!AG24+'20'!AG24+'22'!AG24+'18'!AG24+'21'!AG24+'25'!AG24+'23'!AG24+'26'!AG24+'24'!AG24+'28'!AG24+'27'!AG24+'29'!AG24+'31'!AG24+'30'!AG24</f>
        <v>1</v>
      </c>
      <c r="AH24" s="52">
        <f>+'1'!AH24+'3'!AH24+'2'!AH24+'6'!AH24+'5'!AH24+'4'!AH24+'8'!AH24+'7'!AH24+'10'!AH24+'9'!AH24+'11'!AH24+'12'!AH24+'13'!AH24+'15'!AH24+'14'!AH24+'16'!AH24+'17'!AH24+'19'!AH24+'20'!AH24+'22'!AH24+'18'!AH24+'21'!AH24+'25'!AH24+'23'!AH24+'26'!AH24+'24'!AH24+'28'!AH24+'27'!AH24+'29'!AH24+'31'!AH24+'30'!AH24</f>
        <v>0</v>
      </c>
      <c r="AI24" s="55">
        <f>+'1'!AI24+'3'!AI24+'2'!AI24+'6'!AI24+'5'!AI24+'4'!AI24+'8'!AI24+'7'!AI24+'10'!AI24+'9'!AI24+'11'!AI24+'12'!AI24+'13'!AI24+'15'!AI24+'14'!AI24+'16'!AI24+'17'!AI24+'19'!AI24+'20'!AI24+'22'!AI24+'18'!AI24+'21'!AI24+'25'!AI24+'23'!AI24+'26'!AI24+'24'!AI24+'28'!AI24+'27'!AI24+'29'!AI24+'31'!AI24+'30'!AI24</f>
        <v>1</v>
      </c>
      <c r="AJ24" s="58">
        <f>+'1'!AJ24+'3'!AJ24+'2'!AJ24+'6'!AJ24+'5'!AJ24+'4'!AJ24+'8'!AJ24+'7'!AJ24+'10'!AJ24+'9'!AJ24+'11'!AJ24+'12'!AJ24+'13'!AJ24+'15'!AJ24+'14'!AJ24+'16'!AJ24+'17'!AJ24+'19'!AJ24+'20'!AJ24+'22'!AJ24+'18'!AJ24+'21'!AJ24+'25'!AJ24+'23'!AJ24+'26'!AJ24+'24'!AJ24+'28'!AJ24+'27'!AJ24+'29'!AJ24+'31'!AJ24+'30'!AJ24</f>
        <v>0</v>
      </c>
      <c r="AK24" s="55">
        <f>+'1'!AK24+'3'!AK24+'2'!AK24+'6'!AK24+'5'!AK24+'4'!AK24+'8'!AK24+'7'!AK24+'10'!AK24+'9'!AK24+'11'!AK24+'12'!AK24+'13'!AK24+'15'!AK24+'14'!AK24+'16'!AK24+'17'!AK24+'19'!AK24+'20'!AK24+'22'!AK24+'18'!AK24+'21'!AK24+'25'!AK24+'23'!AK24+'26'!AK24+'24'!AK24+'28'!AK24+'27'!AK24+'29'!AK24+'31'!AK24+'30'!AK24</f>
        <v>0</v>
      </c>
      <c r="AL24" s="66">
        <f t="shared" si="2"/>
        <v>15</v>
      </c>
      <c r="AM24" s="28" t="str">
        <f t="shared" si="3"/>
        <v>OK</v>
      </c>
    </row>
    <row r="25" spans="1:39" customFormat="1" hidden="1">
      <c r="A25" s="17" t="s">
        <v>46</v>
      </c>
      <c r="B25" s="77">
        <v>10160</v>
      </c>
      <c r="C25" s="17" t="s">
        <v>47</v>
      </c>
      <c r="D25" s="69"/>
      <c r="E25" s="18"/>
      <c r="F25" s="18"/>
      <c r="G25" s="19"/>
      <c r="H25" s="20">
        <f>+'1'!H25+'3'!H25+'2'!H25+'6'!H25+'5'!H25+'4'!H25+'8'!H25+'7'!H25+'10'!H25+'9'!H25+'11'!H25+'12'!H25+'13'!H25+'15'!H25+'14'!H25+'16'!H25+'17'!H25+'19'!H25+'20'!H25+'22'!H25+'18'!H25+'21'!H25+'25'!H25+'23'!H25+'26'!H25+'24'!H25+'28'!H25+'27'!H25+'29'!H25+'31'!H25+'30'!H25</f>
        <v>0</v>
      </c>
      <c r="I25" s="21">
        <f>+'1'!I25+'3'!I25+'2'!I25+'6'!I25+'5'!I25+'4'!I25+'8'!I25+'7'!I25+'10'!I25+'9'!I25+'11'!I25+'12'!I25+'13'!I25+'15'!I25+'14'!I25+'16'!I25+'17'!I25+'19'!I25+'20'!I25+'22'!I25+'18'!I25+'21'!I25+'25'!I25+'23'!I25+'26'!I25+'24'!I25+'28'!I25+'27'!I25+'29'!I25+'31'!I25+'30'!I25</f>
        <v>0</v>
      </c>
      <c r="J25" s="21"/>
      <c r="K25" s="16"/>
      <c r="L25" s="21">
        <f>+'1'!L25+'3'!L25+'2'!L25+'6'!L25+'5'!L25+'4'!L25+'8'!L25+'7'!L25+'10'!L25+'9'!L25+'11'!L25+'12'!L25+'13'!L25+'15'!L25+'14'!L25+'16'!L25+'17'!L25+'19'!L25+'20'!L25+'22'!L25+'18'!L25+'21'!L25+'25'!L25+'23'!L25+'26'!L25+'24'!L25+'28'!L25+'27'!L25+'29'!L25+'31'!L25+'30'!L25</f>
        <v>0</v>
      </c>
      <c r="M25" s="21">
        <f>+'1'!M25+'3'!M25+'2'!M25+'6'!M25+'5'!M25+'4'!M25+'8'!M25+'7'!M25+'10'!M25+'9'!M25+'11'!M25+'12'!M25+'13'!M25+'15'!M25+'14'!M25+'16'!M25+'17'!M25+'19'!M25+'20'!M25+'22'!M25+'18'!M25+'21'!M25+'25'!M25+'23'!M25+'26'!M25+'24'!M25+'28'!M25+'27'!M25+'29'!M25+'31'!M25+'30'!M25</f>
        <v>0</v>
      </c>
      <c r="N25" s="21">
        <f>+'1'!N25+'3'!N25+'2'!N25+'6'!N25+'5'!N25+'4'!N25+'8'!N25+'7'!N25+'10'!N25+'9'!N25+'11'!N25+'12'!N25+'13'!N25+'15'!N25+'14'!N25+'16'!N25+'17'!N25+'19'!N25+'20'!N25+'22'!N25+'18'!N25+'21'!N25+'25'!N25+'23'!N25+'26'!N25+'24'!N25+'28'!N25+'27'!N25+'29'!N25+'31'!N25+'30'!N25</f>
        <v>0</v>
      </c>
      <c r="O25" s="21">
        <f>+'1'!O25+'3'!O25+'2'!O25+'6'!O25+'5'!O25+'4'!O25+'8'!O25+'7'!O25+'10'!O25+'9'!O25+'11'!O25+'12'!O25+'13'!O25+'15'!O25+'14'!O25+'16'!O25+'17'!O25+'19'!O25+'20'!O25+'22'!O25+'18'!O25+'21'!O25+'25'!O25+'23'!O25+'26'!O25+'24'!O25+'28'!O25+'27'!O25+'29'!O25+'31'!O25+'30'!O25</f>
        <v>0</v>
      </c>
      <c r="P25" s="21">
        <f>+'1'!P25+'3'!P25+'2'!P25+'6'!P25+'5'!P25+'4'!P25+'8'!P25+'7'!P25+'10'!P25+'9'!P25+'11'!P25+'12'!P25+'13'!P25+'15'!P25+'14'!P25+'16'!P25+'17'!P25+'19'!P25+'20'!P25+'22'!P25+'18'!P25+'21'!P25+'25'!P25+'23'!P25+'26'!P25+'24'!P25+'28'!P25+'27'!P25+'29'!P25+'31'!P25+'30'!P25</f>
        <v>0</v>
      </c>
      <c r="Q25" s="21">
        <f>+'1'!Q25+'3'!Q25+'2'!Q25+'6'!Q25+'5'!Q25+'4'!Q25+'8'!Q25+'7'!Q25+'10'!Q25+'9'!Q25+'11'!Q25+'12'!Q25+'13'!Q25+'15'!Q25+'14'!Q25+'16'!Q25+'17'!Q25+'19'!Q25+'20'!Q25+'22'!Q25+'18'!Q25+'21'!Q25+'25'!Q25+'23'!Q25+'26'!Q25+'24'!Q25+'28'!Q25+'27'!Q25+'29'!Q25+'31'!Q25+'30'!Q25</f>
        <v>0</v>
      </c>
      <c r="R25" s="21">
        <f>+'1'!R25+'3'!R25+'2'!R25+'6'!R25+'5'!R25+'4'!R25+'8'!R25+'7'!R25+'10'!R25+'9'!R25+'11'!R25+'12'!R25+'13'!R25+'15'!R25+'14'!R25+'16'!R25+'17'!R25+'19'!R25+'20'!R25+'22'!R25+'18'!R25+'21'!R25+'25'!R25+'23'!R25+'26'!R25+'24'!R25+'28'!R25+'27'!R25+'29'!R25+'31'!R25+'30'!R25</f>
        <v>0</v>
      </c>
      <c r="S25" s="21">
        <f>+'1'!S25+'3'!S25+'2'!S25+'6'!S25+'5'!S25+'4'!S25+'8'!S25+'7'!S25+'10'!S25+'9'!S25+'11'!S25+'12'!S25+'13'!S25+'15'!S25+'14'!S25+'16'!S25+'17'!S25+'19'!S25+'20'!S25+'22'!S25+'18'!S25+'21'!S25+'25'!S25+'23'!S25+'26'!S25+'24'!S25+'28'!S25+'27'!S25+'29'!S25+'31'!S25+'30'!S25</f>
        <v>0</v>
      </c>
      <c r="T25" s="42">
        <f>+'1'!T25+'3'!T25+'2'!T25+'6'!T25+'5'!T25+'4'!T25+'8'!T25+'7'!T25+'10'!T25+'9'!T25+'11'!T25+'12'!T25+'13'!T25+'15'!T25+'14'!T25+'16'!T25+'17'!T25+'19'!T25+'20'!T25+'22'!T25+'18'!T25+'21'!T25+'25'!T25+'23'!T25+'26'!T25+'24'!T25+'28'!T25+'27'!T25+'29'!T25+'31'!T25+'30'!T25</f>
        <v>0</v>
      </c>
      <c r="U25" s="51">
        <f>+'1'!U25+'3'!U25+'2'!U25+'6'!U25+'5'!U25+'4'!U25+'8'!U25+'7'!U25+'10'!U25+'9'!U25+'11'!U25+'12'!U25+'13'!U25+'15'!U25+'14'!U25+'16'!U25+'17'!U25+'19'!U25+'20'!U25+'22'!U25+'18'!U25+'21'!U25+'25'!U25+'23'!U25+'26'!U25+'24'!U25+'28'!U25+'27'!U25+'29'!U25+'31'!U25+'30'!U25</f>
        <v>0</v>
      </c>
      <c r="V25" s="51">
        <f>+'1'!V25+'3'!V25+'2'!V25+'6'!V25+'5'!V25+'4'!V25+'8'!V25+'7'!V25+'10'!V25+'9'!V25+'11'!V25+'12'!V25+'13'!V25+'15'!V25+'14'!V25+'16'!V25+'17'!V25+'19'!V25+'20'!V25+'22'!V25+'18'!V25+'21'!V25+'25'!V25+'23'!V25+'26'!V25+'24'!V25+'28'!V25+'27'!V25+'29'!V25+'31'!V25+'30'!V25</f>
        <v>0</v>
      </c>
      <c r="W25" s="51">
        <f>+'1'!W25+'3'!W25+'2'!W25+'6'!W25+'5'!W25+'4'!W25+'8'!W25+'7'!W25+'10'!W25+'9'!W25+'11'!W25+'12'!W25+'13'!W25+'15'!W25+'14'!W25+'16'!W25+'17'!W25+'19'!W25+'20'!W25+'22'!W25+'18'!W25+'21'!W25+'25'!W25+'23'!W25+'26'!W25+'24'!W25+'28'!W25+'27'!W25+'29'!W25+'31'!W25+'30'!W25</f>
        <v>0</v>
      </c>
      <c r="X25" s="51">
        <f>+'1'!X25+'3'!X25+'2'!X25+'6'!X25+'5'!X25+'4'!X25+'8'!X25+'7'!X25+'10'!X25+'9'!X25+'11'!X25+'12'!X25+'13'!X25+'15'!X25+'14'!X25+'16'!X25+'17'!X25+'19'!X25+'20'!X25+'22'!X25+'18'!X25+'21'!X25+'25'!X25+'23'!X25+'26'!X25+'24'!X25+'28'!X25+'27'!X25+'29'!X25+'31'!X25+'30'!X25</f>
        <v>0</v>
      </c>
      <c r="Y25" s="51">
        <f>+'1'!Y25+'3'!Y25+'2'!Y25+'6'!Y25+'5'!Y25+'4'!Y25+'8'!Y25+'7'!Y25+'10'!Y25+'9'!Y25+'11'!Y25+'12'!Y25+'13'!Y25+'15'!Y25+'14'!Y25+'16'!Y25+'17'!Y25+'19'!Y25+'20'!Y25+'22'!Y25+'18'!Y25+'21'!Y25+'25'!Y25+'23'!Y25+'26'!Y25+'24'!Y25+'28'!Y25+'27'!Y25+'29'!Y25+'31'!Y25+'30'!Y25</f>
        <v>0</v>
      </c>
      <c r="Z25" s="51">
        <f>+'1'!Z25+'3'!Z25+'2'!Z25+'6'!Z25+'5'!Z25+'4'!Z25+'8'!Z25+'7'!Z25+'10'!Z25+'9'!Z25+'11'!Z25+'12'!Z25+'13'!Z25+'15'!Z25+'14'!Z25+'16'!Z25+'17'!Z25+'19'!Z25+'20'!Z25+'22'!Z25+'18'!Z25+'21'!Z25+'25'!Z25+'23'!Z25+'26'!Z25+'24'!Z25+'28'!Z25+'27'!Z25+'29'!Z25+'31'!Z25+'30'!Z25</f>
        <v>0</v>
      </c>
      <c r="AA25" s="51">
        <f>+'1'!AA25+'3'!AA25+'2'!AA25+'6'!AA25+'5'!AA25+'4'!AA25+'8'!AA25+'7'!AA25+'10'!AA25+'9'!AA25+'11'!AA25+'12'!AA25+'13'!AA25+'15'!AA25+'14'!AA25+'16'!AA25+'17'!AA25+'19'!AA25+'20'!AA25+'22'!AA25+'18'!AA25+'21'!AA25+'25'!AA25+'23'!AA25+'26'!AA25+'24'!AA25+'28'!AA25+'27'!AA25+'29'!AA25+'31'!AA25+'30'!AA25</f>
        <v>0</v>
      </c>
      <c r="AB25" s="51">
        <f>+'1'!AB25+'3'!AB25+'2'!AB25+'6'!AB25+'5'!AB25+'4'!AB25+'8'!AB25+'7'!AB25+'10'!AB25+'9'!AB25+'11'!AB25+'12'!AB25+'13'!AB25+'15'!AB25+'14'!AB25+'16'!AB25+'17'!AB25+'19'!AB25+'20'!AB25+'22'!AB25+'18'!AB25+'21'!AB25+'25'!AB25+'23'!AB25+'26'!AB25+'24'!AB25+'28'!AB25+'27'!AB25+'29'!AB25+'31'!AB25+'30'!AB25</f>
        <v>0</v>
      </c>
      <c r="AC25" s="51">
        <f>+'1'!AC25+'3'!AC25+'2'!AC25+'6'!AC25+'5'!AC25+'4'!AC25+'8'!AC25+'7'!AC25+'10'!AC25+'9'!AC25+'11'!AC25+'12'!AC25+'13'!AC25+'15'!AC25+'14'!AC25+'16'!AC25+'17'!AC25+'19'!AC25+'20'!AC25+'22'!AC25+'18'!AC25+'21'!AC25+'25'!AC25+'23'!AC25+'26'!AC25+'24'!AC25+'28'!AC25+'27'!AC25+'29'!AC25+'31'!AC25+'30'!AC25</f>
        <v>0</v>
      </c>
      <c r="AD25" s="51">
        <f>+'1'!AD25+'3'!AD25+'2'!AD25+'6'!AD25+'5'!AD25+'4'!AD25+'8'!AD25+'7'!AD25+'10'!AD25+'9'!AD25+'11'!AD25+'12'!AD25+'13'!AD25+'15'!AD25+'14'!AD25+'16'!AD25+'17'!AD25+'19'!AD25+'20'!AD25+'22'!AD25+'18'!AD25+'21'!AD25+'25'!AD25+'23'!AD25+'26'!AD25+'24'!AD25+'28'!AD25+'27'!AD25+'29'!AD25+'31'!AD25+'30'!AD25</f>
        <v>0</v>
      </c>
      <c r="AE25" s="51">
        <f>+'1'!AE25+'3'!AE25+'2'!AE25+'6'!AE25+'5'!AE25+'4'!AE25+'8'!AE25+'7'!AE25+'10'!AE25+'9'!AE25+'11'!AE25+'12'!AE25+'13'!AE25+'15'!AE25+'14'!AE25+'16'!AE25+'17'!AE25+'19'!AE25+'20'!AE25+'22'!AE25+'18'!AE25+'21'!AE25+'25'!AE25+'23'!AE25+'26'!AE25+'24'!AE25+'28'!AE25+'27'!AE25+'29'!AE25+'31'!AE25+'30'!AE25</f>
        <v>0</v>
      </c>
      <c r="AF25" s="51">
        <f>+'1'!AF25+'3'!AF25+'2'!AF25+'6'!AF25+'5'!AF25+'4'!AF25+'8'!AF25+'7'!AF25+'10'!AF25+'9'!AF25+'11'!AF25+'12'!AF25+'13'!AF25+'15'!AF25+'14'!AF25+'16'!AF25+'17'!AF25+'19'!AF25+'20'!AF25+'22'!AF25+'18'!AF25+'21'!AF25+'25'!AF25+'23'!AF25+'26'!AF25+'24'!AF25+'28'!AF25+'27'!AF25+'29'!AF25+'31'!AF25+'30'!AF25</f>
        <v>0</v>
      </c>
      <c r="AG25" s="51">
        <f>+'1'!AG25+'3'!AG25+'2'!AG25+'6'!AG25+'5'!AG25+'4'!AG25+'8'!AG25+'7'!AG25+'10'!AG25+'9'!AG25+'11'!AG25+'12'!AG25+'13'!AG25+'15'!AG25+'14'!AG25+'16'!AG25+'17'!AG25+'19'!AG25+'20'!AG25+'22'!AG25+'18'!AG25+'21'!AG25+'25'!AG25+'23'!AG25+'26'!AG25+'24'!AG25+'28'!AG25+'27'!AG25+'29'!AG25+'31'!AG25+'30'!AG25</f>
        <v>0</v>
      </c>
      <c r="AH25" s="51">
        <f>+'1'!AH25+'3'!AH25+'2'!AH25+'6'!AH25+'5'!AH25+'4'!AH25+'8'!AH25+'7'!AH25+'10'!AH25+'9'!AH25+'11'!AH25+'12'!AH25+'13'!AH25+'15'!AH25+'14'!AH25+'16'!AH25+'17'!AH25+'19'!AH25+'20'!AH25+'22'!AH25+'18'!AH25+'21'!AH25+'25'!AH25+'23'!AH25+'26'!AH25+'24'!AH25+'28'!AH25+'27'!AH25+'29'!AH25+'31'!AH25+'30'!AH25</f>
        <v>0</v>
      </c>
      <c r="AI25" s="54">
        <f>+'1'!AI25+'3'!AI25+'2'!AI25+'6'!AI25+'5'!AI25+'4'!AI25+'8'!AI25+'7'!AI25+'10'!AI25+'9'!AI25+'11'!AI25+'12'!AI25+'13'!AI25+'15'!AI25+'14'!AI25+'16'!AI25+'17'!AI25+'19'!AI25+'20'!AI25+'22'!AI25+'18'!AI25+'21'!AI25+'25'!AI25+'23'!AI25+'26'!AI25+'24'!AI25+'28'!AI25+'27'!AI25+'29'!AI25+'31'!AI25+'30'!AI25</f>
        <v>0</v>
      </c>
      <c r="AJ25" s="57">
        <f>+'1'!AJ25+'3'!AJ25+'2'!AJ25+'6'!AJ25+'5'!AJ25+'4'!AJ25+'8'!AJ25+'7'!AJ25+'10'!AJ25+'9'!AJ25+'11'!AJ25+'12'!AJ25+'13'!AJ25+'15'!AJ25+'14'!AJ25+'16'!AJ25+'17'!AJ25+'19'!AJ25+'20'!AJ25+'22'!AJ25+'18'!AJ25+'21'!AJ25+'25'!AJ25+'23'!AJ25+'26'!AJ25+'24'!AJ25+'28'!AJ25+'27'!AJ25+'29'!AJ25+'31'!AJ25+'30'!AJ25</f>
        <v>0</v>
      </c>
      <c r="AK25" s="54">
        <f>+'1'!AK25+'3'!AK25+'2'!AK25+'6'!AK25+'5'!AK25+'4'!AK25+'8'!AK25+'7'!AK25+'10'!AK25+'9'!AK25+'11'!AK25+'12'!AK25+'13'!AK25+'15'!AK25+'14'!AK25+'16'!AK25+'17'!AK25+'19'!AK25+'20'!AK25+'22'!AK25+'18'!AK25+'21'!AK25+'25'!AK25+'23'!AK25+'26'!AK25+'24'!AK25+'28'!AK25+'27'!AK25+'29'!AK25+'31'!AK25+'30'!AK25</f>
        <v>0</v>
      </c>
      <c r="AL25" s="65">
        <f t="shared" si="2"/>
        <v>0</v>
      </c>
      <c r="AM25" s="22" t="str">
        <f t="shared" si="3"/>
        <v>OK</v>
      </c>
    </row>
    <row r="26" spans="1:39" customFormat="1" hidden="1">
      <c r="A26" s="68" t="s">
        <v>70</v>
      </c>
      <c r="B26" s="78">
        <v>10158</v>
      </c>
      <c r="C26" s="23" t="s">
        <v>48</v>
      </c>
      <c r="D26" s="24"/>
      <c r="E26" s="24"/>
      <c r="F26" s="24"/>
      <c r="G26" s="25"/>
      <c r="H26" s="14">
        <f>+'1'!H26+'3'!H26+'2'!H26+'6'!H26+'5'!H26+'4'!H26+'8'!H26+'7'!H26+'10'!H26+'9'!H26+'11'!H26+'12'!H26+'13'!H26+'15'!H26+'14'!H26+'16'!H26+'17'!H26+'19'!H26+'20'!H26+'22'!H26+'18'!H26+'21'!H26+'25'!H26+'23'!H26+'26'!H26+'24'!H26+'28'!H26+'27'!H26+'29'!H26+'31'!H26+'30'!H26</f>
        <v>0</v>
      </c>
      <c r="I26" s="15">
        <f>+'1'!I26+'3'!I26+'2'!I26+'6'!I26+'5'!I26+'4'!I26+'8'!I26+'7'!I26+'10'!I26+'9'!I26+'11'!I26+'12'!I26+'13'!I26+'15'!I26+'14'!I26+'16'!I26+'17'!I26+'19'!I26+'20'!I26+'22'!I26+'18'!I26+'21'!I26+'25'!I26+'23'!I26+'26'!I26+'24'!I26+'28'!I26+'27'!I26+'29'!I26+'31'!I26+'30'!I26</f>
        <v>0</v>
      </c>
      <c r="J26" s="15"/>
      <c r="K26" s="16"/>
      <c r="L26" s="27">
        <f>+'1'!L26+'3'!L26+'2'!L26+'6'!L26+'5'!L26+'4'!L26+'8'!L26+'7'!L26+'10'!L26+'9'!L26+'11'!L26+'12'!L26+'13'!L26+'15'!L26+'14'!L26+'16'!L26+'17'!L26+'19'!L26+'20'!L26+'22'!L26+'18'!L26+'21'!L26+'25'!L26+'23'!L26+'26'!L26+'24'!L26+'28'!L26+'27'!L26+'29'!L26+'31'!L26+'30'!L26</f>
        <v>0</v>
      </c>
      <c r="M26" s="27">
        <f>+'1'!M26+'3'!M26+'2'!M26+'6'!M26+'5'!M26+'4'!M26+'8'!M26+'7'!M26+'10'!M26+'9'!M26+'11'!M26+'12'!M26+'13'!M26+'15'!M26+'14'!M26+'16'!M26+'17'!M26+'19'!M26+'20'!M26+'22'!M26+'18'!M26+'21'!M26+'25'!M26+'23'!M26+'26'!M26+'24'!M26+'28'!M26+'27'!M26+'29'!M26+'31'!M26+'30'!M26</f>
        <v>0</v>
      </c>
      <c r="N26" s="27">
        <f>+'1'!N26+'3'!N26+'2'!N26+'6'!N26+'5'!N26+'4'!N26+'8'!N26+'7'!N26+'10'!N26+'9'!N26+'11'!N26+'12'!N26+'13'!N26+'15'!N26+'14'!N26+'16'!N26+'17'!N26+'19'!N26+'20'!N26+'22'!N26+'18'!N26+'21'!N26+'25'!N26+'23'!N26+'26'!N26+'24'!N26+'28'!N26+'27'!N26+'29'!N26+'31'!N26+'30'!N26</f>
        <v>0</v>
      </c>
      <c r="O26" s="27">
        <f>+'1'!O26+'3'!O26+'2'!O26+'6'!O26+'5'!O26+'4'!O26+'8'!O26+'7'!O26+'10'!O26+'9'!O26+'11'!O26+'12'!O26+'13'!O26+'15'!O26+'14'!O26+'16'!O26+'17'!O26+'19'!O26+'20'!O26+'22'!O26+'18'!O26+'21'!O26+'25'!O26+'23'!O26+'26'!O26+'24'!O26+'28'!O26+'27'!O26+'29'!O26+'31'!O26+'30'!O26</f>
        <v>0</v>
      </c>
      <c r="P26" s="27">
        <f>+'1'!P26+'3'!P26+'2'!P26+'6'!P26+'5'!P26+'4'!P26+'8'!P26+'7'!P26+'10'!P26+'9'!P26+'11'!P26+'12'!P26+'13'!P26+'15'!P26+'14'!P26+'16'!P26+'17'!P26+'19'!P26+'20'!P26+'22'!P26+'18'!P26+'21'!P26+'25'!P26+'23'!P26+'26'!P26+'24'!P26+'28'!P26+'27'!P26+'29'!P26+'31'!P26+'30'!P26</f>
        <v>0</v>
      </c>
      <c r="Q26" s="27">
        <f>+'1'!Q26+'3'!Q26+'2'!Q26+'6'!Q26+'5'!Q26+'4'!Q26+'8'!Q26+'7'!Q26+'10'!Q26+'9'!Q26+'11'!Q26+'12'!Q26+'13'!Q26+'15'!Q26+'14'!Q26+'16'!Q26+'17'!Q26+'19'!Q26+'20'!Q26+'22'!Q26+'18'!Q26+'21'!Q26+'25'!Q26+'23'!Q26+'26'!Q26+'24'!Q26+'28'!Q26+'27'!Q26+'29'!Q26+'31'!Q26+'30'!Q26</f>
        <v>0</v>
      </c>
      <c r="R26" s="27">
        <f>+'1'!R26+'3'!R26+'2'!R26+'6'!R26+'5'!R26+'4'!R26+'8'!R26+'7'!R26+'10'!R26+'9'!R26+'11'!R26+'12'!R26+'13'!R26+'15'!R26+'14'!R26+'16'!R26+'17'!R26+'19'!R26+'20'!R26+'22'!R26+'18'!R26+'21'!R26+'25'!R26+'23'!R26+'26'!R26+'24'!R26+'28'!R26+'27'!R26+'29'!R26+'31'!R26+'30'!R26</f>
        <v>0</v>
      </c>
      <c r="S26" s="27">
        <f>+'1'!S26+'3'!S26+'2'!S26+'6'!S26+'5'!S26+'4'!S26+'8'!S26+'7'!S26+'10'!S26+'9'!S26+'11'!S26+'12'!S26+'13'!S26+'15'!S26+'14'!S26+'16'!S26+'17'!S26+'19'!S26+'20'!S26+'22'!S26+'18'!S26+'21'!S26+'25'!S26+'23'!S26+'26'!S26+'24'!S26+'28'!S26+'27'!S26+'29'!S26+'31'!S26+'30'!S26</f>
        <v>0</v>
      </c>
      <c r="T26" s="43">
        <f>+'1'!T26+'3'!T26+'2'!T26+'6'!T26+'5'!T26+'4'!T26+'8'!T26+'7'!T26+'10'!T26+'9'!T26+'11'!T26+'12'!T26+'13'!T26+'15'!T26+'14'!T26+'16'!T26+'17'!T26+'19'!T26+'20'!T26+'22'!T26+'18'!T26+'21'!T26+'25'!T26+'23'!T26+'26'!T26+'24'!T26+'28'!T26+'27'!T26+'29'!T26+'31'!T26+'30'!T26</f>
        <v>0</v>
      </c>
      <c r="U26" s="52">
        <f>+'1'!U26+'3'!U26+'2'!U26+'6'!U26+'5'!U26+'4'!U26+'8'!U26+'7'!U26+'10'!U26+'9'!U26+'11'!U26+'12'!U26+'13'!U26+'15'!U26+'14'!U26+'16'!U26+'17'!U26+'19'!U26+'20'!U26+'22'!U26+'18'!U26+'21'!U26+'25'!U26+'23'!U26+'26'!U26+'24'!U26+'28'!U26+'27'!U26+'29'!U26+'31'!U26+'30'!U26</f>
        <v>0</v>
      </c>
      <c r="V26" s="52">
        <f>+'1'!V26+'3'!V26+'2'!V26+'6'!V26+'5'!V26+'4'!V26+'8'!V26+'7'!V26+'10'!V26+'9'!V26+'11'!V26+'12'!V26+'13'!V26+'15'!V26+'14'!V26+'16'!V26+'17'!V26+'19'!V26+'20'!V26+'22'!V26+'18'!V26+'21'!V26+'25'!V26+'23'!V26+'26'!V26+'24'!V26+'28'!V26+'27'!V26+'29'!V26+'31'!V26+'30'!V26</f>
        <v>0</v>
      </c>
      <c r="W26" s="52">
        <f>+'1'!W26+'3'!W26+'2'!W26+'6'!W26+'5'!W26+'4'!W26+'8'!W26+'7'!W26+'10'!W26+'9'!W26+'11'!W26+'12'!W26+'13'!W26+'15'!W26+'14'!W26+'16'!W26+'17'!W26+'19'!W26+'20'!W26+'22'!W26+'18'!W26+'21'!W26+'25'!W26+'23'!W26+'26'!W26+'24'!W26+'28'!W26+'27'!W26+'29'!W26+'31'!W26+'30'!W26</f>
        <v>0</v>
      </c>
      <c r="X26" s="52">
        <f>+'1'!X26+'3'!X26+'2'!X26+'6'!X26+'5'!X26+'4'!X26+'8'!X26+'7'!X26+'10'!X26+'9'!X26+'11'!X26+'12'!X26+'13'!X26+'15'!X26+'14'!X26+'16'!X26+'17'!X26+'19'!X26+'20'!X26+'22'!X26+'18'!X26+'21'!X26+'25'!X26+'23'!X26+'26'!X26+'24'!X26+'28'!X26+'27'!X26+'29'!X26+'31'!X26+'30'!X26</f>
        <v>0</v>
      </c>
      <c r="Y26" s="52">
        <f>+'1'!Y26+'3'!Y26+'2'!Y26+'6'!Y26+'5'!Y26+'4'!Y26+'8'!Y26+'7'!Y26+'10'!Y26+'9'!Y26+'11'!Y26+'12'!Y26+'13'!Y26+'15'!Y26+'14'!Y26+'16'!Y26+'17'!Y26+'19'!Y26+'20'!Y26+'22'!Y26+'18'!Y26+'21'!Y26+'25'!Y26+'23'!Y26+'26'!Y26+'24'!Y26+'28'!Y26+'27'!Y26+'29'!Y26+'31'!Y26+'30'!Y26</f>
        <v>0</v>
      </c>
      <c r="Z26" s="52">
        <f>+'1'!Z26+'3'!Z26+'2'!Z26+'6'!Z26+'5'!Z26+'4'!Z26+'8'!Z26+'7'!Z26+'10'!Z26+'9'!Z26+'11'!Z26+'12'!Z26+'13'!Z26+'15'!Z26+'14'!Z26+'16'!Z26+'17'!Z26+'19'!Z26+'20'!Z26+'22'!Z26+'18'!Z26+'21'!Z26+'25'!Z26+'23'!Z26+'26'!Z26+'24'!Z26+'28'!Z26+'27'!Z26+'29'!Z26+'31'!Z26+'30'!Z26</f>
        <v>0</v>
      </c>
      <c r="AA26" s="52">
        <f>+'1'!AA26+'3'!AA26+'2'!AA26+'6'!AA26+'5'!AA26+'4'!AA26+'8'!AA26+'7'!AA26+'10'!AA26+'9'!AA26+'11'!AA26+'12'!AA26+'13'!AA26+'15'!AA26+'14'!AA26+'16'!AA26+'17'!AA26+'19'!AA26+'20'!AA26+'22'!AA26+'18'!AA26+'21'!AA26+'25'!AA26+'23'!AA26+'26'!AA26+'24'!AA26+'28'!AA26+'27'!AA26+'29'!AA26+'31'!AA26+'30'!AA26</f>
        <v>0</v>
      </c>
      <c r="AB26" s="52">
        <f>+'1'!AB26+'3'!AB26+'2'!AB26+'6'!AB26+'5'!AB26+'4'!AB26+'8'!AB26+'7'!AB26+'10'!AB26+'9'!AB26+'11'!AB26+'12'!AB26+'13'!AB26+'15'!AB26+'14'!AB26+'16'!AB26+'17'!AB26+'19'!AB26+'20'!AB26+'22'!AB26+'18'!AB26+'21'!AB26+'25'!AB26+'23'!AB26+'26'!AB26+'24'!AB26+'28'!AB26+'27'!AB26+'29'!AB26+'31'!AB26+'30'!AB26</f>
        <v>0</v>
      </c>
      <c r="AC26" s="52">
        <f>+'1'!AC26+'3'!AC26+'2'!AC26+'6'!AC26+'5'!AC26+'4'!AC26+'8'!AC26+'7'!AC26+'10'!AC26+'9'!AC26+'11'!AC26+'12'!AC26+'13'!AC26+'15'!AC26+'14'!AC26+'16'!AC26+'17'!AC26+'19'!AC26+'20'!AC26+'22'!AC26+'18'!AC26+'21'!AC26+'25'!AC26+'23'!AC26+'26'!AC26+'24'!AC26+'28'!AC26+'27'!AC26+'29'!AC26+'31'!AC26+'30'!AC26</f>
        <v>0</v>
      </c>
      <c r="AD26" s="52">
        <f>+'1'!AD26+'3'!AD26+'2'!AD26+'6'!AD26+'5'!AD26+'4'!AD26+'8'!AD26+'7'!AD26+'10'!AD26+'9'!AD26+'11'!AD26+'12'!AD26+'13'!AD26+'15'!AD26+'14'!AD26+'16'!AD26+'17'!AD26+'19'!AD26+'20'!AD26+'22'!AD26+'18'!AD26+'21'!AD26+'25'!AD26+'23'!AD26+'26'!AD26+'24'!AD26+'28'!AD26+'27'!AD26+'29'!AD26+'31'!AD26+'30'!AD26</f>
        <v>0</v>
      </c>
      <c r="AE26" s="52">
        <f>+'1'!AE26+'3'!AE26+'2'!AE26+'6'!AE26+'5'!AE26+'4'!AE26+'8'!AE26+'7'!AE26+'10'!AE26+'9'!AE26+'11'!AE26+'12'!AE26+'13'!AE26+'15'!AE26+'14'!AE26+'16'!AE26+'17'!AE26+'19'!AE26+'20'!AE26+'22'!AE26+'18'!AE26+'21'!AE26+'25'!AE26+'23'!AE26+'26'!AE26+'24'!AE26+'28'!AE26+'27'!AE26+'29'!AE26+'31'!AE26+'30'!AE26</f>
        <v>0</v>
      </c>
      <c r="AF26" s="52">
        <f>+'1'!AF26+'3'!AF26+'2'!AF26+'6'!AF26+'5'!AF26+'4'!AF26+'8'!AF26+'7'!AF26+'10'!AF26+'9'!AF26+'11'!AF26+'12'!AF26+'13'!AF26+'15'!AF26+'14'!AF26+'16'!AF26+'17'!AF26+'19'!AF26+'20'!AF26+'22'!AF26+'18'!AF26+'21'!AF26+'25'!AF26+'23'!AF26+'26'!AF26+'24'!AF26+'28'!AF26+'27'!AF26+'29'!AF26+'31'!AF26+'30'!AF26</f>
        <v>0</v>
      </c>
      <c r="AG26" s="52">
        <f>+'1'!AG26+'3'!AG26+'2'!AG26+'6'!AG26+'5'!AG26+'4'!AG26+'8'!AG26+'7'!AG26+'10'!AG26+'9'!AG26+'11'!AG26+'12'!AG26+'13'!AG26+'15'!AG26+'14'!AG26+'16'!AG26+'17'!AG26+'19'!AG26+'20'!AG26+'22'!AG26+'18'!AG26+'21'!AG26+'25'!AG26+'23'!AG26+'26'!AG26+'24'!AG26+'28'!AG26+'27'!AG26+'29'!AG26+'31'!AG26+'30'!AG26</f>
        <v>0</v>
      </c>
      <c r="AH26" s="52">
        <f>+'1'!AH26+'3'!AH26+'2'!AH26+'6'!AH26+'5'!AH26+'4'!AH26+'8'!AH26+'7'!AH26+'10'!AH26+'9'!AH26+'11'!AH26+'12'!AH26+'13'!AH26+'15'!AH26+'14'!AH26+'16'!AH26+'17'!AH26+'19'!AH26+'20'!AH26+'22'!AH26+'18'!AH26+'21'!AH26+'25'!AH26+'23'!AH26+'26'!AH26+'24'!AH26+'28'!AH26+'27'!AH26+'29'!AH26+'31'!AH26+'30'!AH26</f>
        <v>0</v>
      </c>
      <c r="AI26" s="55">
        <f>+'1'!AI26+'3'!AI26+'2'!AI26+'6'!AI26+'5'!AI26+'4'!AI26+'8'!AI26+'7'!AI26+'10'!AI26+'9'!AI26+'11'!AI26+'12'!AI26+'13'!AI26+'15'!AI26+'14'!AI26+'16'!AI26+'17'!AI26+'19'!AI26+'20'!AI26+'22'!AI26+'18'!AI26+'21'!AI26+'25'!AI26+'23'!AI26+'26'!AI26+'24'!AI26+'28'!AI26+'27'!AI26+'29'!AI26+'31'!AI26+'30'!AI26</f>
        <v>0</v>
      </c>
      <c r="AJ26" s="58">
        <f>+'1'!AJ26+'3'!AJ26+'2'!AJ26+'6'!AJ26+'5'!AJ26+'4'!AJ26+'8'!AJ26+'7'!AJ26+'10'!AJ26+'9'!AJ26+'11'!AJ26+'12'!AJ26+'13'!AJ26+'15'!AJ26+'14'!AJ26+'16'!AJ26+'17'!AJ26+'19'!AJ26+'20'!AJ26+'22'!AJ26+'18'!AJ26+'21'!AJ26+'25'!AJ26+'23'!AJ26+'26'!AJ26+'24'!AJ26+'28'!AJ26+'27'!AJ26+'29'!AJ26+'31'!AJ26+'30'!AJ26</f>
        <v>0</v>
      </c>
      <c r="AK26" s="55">
        <f>+'1'!AK26+'3'!AK26+'2'!AK26+'6'!AK26+'5'!AK26+'4'!AK26+'8'!AK26+'7'!AK26+'10'!AK26+'9'!AK26+'11'!AK26+'12'!AK26+'13'!AK26+'15'!AK26+'14'!AK26+'16'!AK26+'17'!AK26+'19'!AK26+'20'!AK26+'22'!AK26+'18'!AK26+'21'!AK26+'25'!AK26+'23'!AK26+'26'!AK26+'24'!AK26+'28'!AK26+'27'!AK26+'29'!AK26+'31'!AK26+'30'!AK26</f>
        <v>0</v>
      </c>
      <c r="AL26" s="66">
        <f t="shared" si="2"/>
        <v>0</v>
      </c>
      <c r="AM26" s="28" t="str">
        <f t="shared" si="3"/>
        <v>OK</v>
      </c>
    </row>
    <row r="27" spans="1:39" customFormat="1" hidden="1">
      <c r="A27" s="17" t="s">
        <v>96</v>
      </c>
      <c r="B27" s="77">
        <v>10155</v>
      </c>
      <c r="C27" s="17" t="s">
        <v>48</v>
      </c>
      <c r="D27" s="69"/>
      <c r="E27" s="18"/>
      <c r="F27" s="18"/>
      <c r="G27" s="19"/>
      <c r="H27" s="20">
        <f>+'1'!H27+'3'!H27+'2'!H27+'6'!H27+'5'!H27+'4'!H27+'8'!H27+'7'!H27+'10'!H27+'9'!H27+'11'!H27+'12'!H27+'13'!H27+'15'!H27+'14'!H27+'16'!H27+'17'!H27+'19'!H27+'20'!H27+'22'!H27+'18'!H27+'21'!H27+'25'!H27+'23'!H27+'26'!H27+'24'!H27+'28'!H27+'27'!H27+'29'!H27+'31'!H27+'30'!H27</f>
        <v>0</v>
      </c>
      <c r="I27" s="21">
        <f>+'1'!I27+'3'!I27+'2'!I27+'6'!I27+'5'!I27+'4'!I27+'8'!I27+'7'!I27+'10'!I27+'9'!I27+'11'!I27+'12'!I27+'13'!I27+'15'!I27+'14'!I27+'16'!I27+'17'!I27+'19'!I27+'20'!I27+'22'!I27+'18'!I27+'21'!I27+'25'!I27+'23'!I27+'26'!I27+'24'!I27+'28'!I27+'27'!I27+'29'!I27+'31'!I27+'30'!I27</f>
        <v>0</v>
      </c>
      <c r="J27" s="21"/>
      <c r="K27" s="16"/>
      <c r="L27" s="21">
        <f>+'1'!L27+'3'!L27+'2'!L27+'6'!L27+'5'!L27+'4'!L27+'8'!L27+'7'!L27+'10'!L27+'9'!L27+'11'!L27+'12'!L27+'13'!L27+'15'!L27+'14'!L27+'16'!L27+'17'!L27+'19'!L27+'20'!L27+'22'!L27+'18'!L27+'21'!L27+'25'!L27+'23'!L27+'26'!L27+'24'!L27+'28'!L27+'27'!L27+'29'!L27+'31'!L27+'30'!L27</f>
        <v>0</v>
      </c>
      <c r="M27" s="21">
        <f>+'1'!M27+'3'!M27+'2'!M27+'6'!M27+'5'!M27+'4'!M27+'8'!M27+'7'!M27+'10'!M27+'9'!M27+'11'!M27+'12'!M27+'13'!M27+'15'!M27+'14'!M27+'16'!M27+'17'!M27+'19'!M27+'20'!M27+'22'!M27+'18'!M27+'21'!M27+'25'!M27+'23'!M27+'26'!M27+'24'!M27+'28'!M27+'27'!M27+'29'!M27+'31'!M27+'30'!M27</f>
        <v>0</v>
      </c>
      <c r="N27" s="21">
        <f>+'1'!N27+'3'!N27+'2'!N27+'6'!N27+'5'!N27+'4'!N27+'8'!N27+'7'!N27+'10'!N27+'9'!N27+'11'!N27+'12'!N27+'13'!N27+'15'!N27+'14'!N27+'16'!N27+'17'!N27+'19'!N27+'20'!N27+'22'!N27+'18'!N27+'21'!N27+'25'!N27+'23'!N27+'26'!N27+'24'!N27+'28'!N27+'27'!N27+'29'!N27+'31'!N27+'30'!N27</f>
        <v>0</v>
      </c>
      <c r="O27" s="21">
        <f>+'1'!O27+'3'!O27+'2'!O27+'6'!O27+'5'!O27+'4'!O27+'8'!O27+'7'!O27+'10'!O27+'9'!O27+'11'!O27+'12'!O27+'13'!O27+'15'!O27+'14'!O27+'16'!O27+'17'!O27+'19'!O27+'20'!O27+'22'!O27+'18'!O27+'21'!O27+'25'!O27+'23'!O27+'26'!O27+'24'!O27+'28'!O27+'27'!O27+'29'!O27+'31'!O27+'30'!O27</f>
        <v>0</v>
      </c>
      <c r="P27" s="21">
        <f>+'1'!P27+'3'!P27+'2'!P27+'6'!P27+'5'!P27+'4'!P27+'8'!P27+'7'!P27+'10'!P27+'9'!P27+'11'!P27+'12'!P27+'13'!P27+'15'!P27+'14'!P27+'16'!P27+'17'!P27+'19'!P27+'20'!P27+'22'!P27+'18'!P27+'21'!P27+'25'!P27+'23'!P27+'26'!P27+'24'!P27+'28'!P27+'27'!P27+'29'!P27+'31'!P27+'30'!P27</f>
        <v>0</v>
      </c>
      <c r="Q27" s="21">
        <f>+'1'!Q27+'3'!Q27+'2'!Q27+'6'!Q27+'5'!Q27+'4'!Q27+'8'!Q27+'7'!Q27+'10'!Q27+'9'!Q27+'11'!Q27+'12'!Q27+'13'!Q27+'15'!Q27+'14'!Q27+'16'!Q27+'17'!Q27+'19'!Q27+'20'!Q27+'22'!Q27+'18'!Q27+'21'!Q27+'25'!Q27+'23'!Q27+'26'!Q27+'24'!Q27+'28'!Q27+'27'!Q27+'29'!Q27+'31'!Q27+'30'!Q27</f>
        <v>0</v>
      </c>
      <c r="R27" s="21">
        <f>+'1'!R27+'3'!R27+'2'!R27+'6'!R27+'5'!R27+'4'!R27+'8'!R27+'7'!R27+'10'!R27+'9'!R27+'11'!R27+'12'!R27+'13'!R27+'15'!R27+'14'!R27+'16'!R27+'17'!R27+'19'!R27+'20'!R27+'22'!R27+'18'!R27+'21'!R27+'25'!R27+'23'!R27+'26'!R27+'24'!R27+'28'!R27+'27'!R27+'29'!R27+'31'!R27+'30'!R27</f>
        <v>0</v>
      </c>
      <c r="S27" s="21">
        <f>+'1'!S27+'3'!S27+'2'!S27+'6'!S27+'5'!S27+'4'!S27+'8'!S27+'7'!S27+'10'!S27+'9'!S27+'11'!S27+'12'!S27+'13'!S27+'15'!S27+'14'!S27+'16'!S27+'17'!S27+'19'!S27+'20'!S27+'22'!S27+'18'!S27+'21'!S27+'25'!S27+'23'!S27+'26'!S27+'24'!S27+'28'!S27+'27'!S27+'29'!S27+'31'!S27+'30'!S27</f>
        <v>0</v>
      </c>
      <c r="T27" s="42">
        <f>+'1'!T27+'3'!T27+'2'!T27+'6'!T27+'5'!T27+'4'!T27+'8'!T27+'7'!T27+'10'!T27+'9'!T27+'11'!T27+'12'!T27+'13'!T27+'15'!T27+'14'!T27+'16'!T27+'17'!T27+'19'!T27+'20'!T27+'22'!T27+'18'!T27+'21'!T27+'25'!T27+'23'!T27+'26'!T27+'24'!T27+'28'!T27+'27'!T27+'29'!T27+'31'!T27+'30'!T27</f>
        <v>0</v>
      </c>
      <c r="U27" s="51">
        <f>+'1'!U27+'3'!U27+'2'!U27+'6'!U27+'5'!U27+'4'!U27+'8'!U27+'7'!U27+'10'!U27+'9'!U27+'11'!U27+'12'!U27+'13'!U27+'15'!U27+'14'!U27+'16'!U27+'17'!U27+'19'!U27+'20'!U27+'22'!U27+'18'!U27+'21'!U27+'25'!U27+'23'!U27+'26'!U27+'24'!U27+'28'!U27+'27'!U27+'29'!U27+'31'!U27+'30'!U27</f>
        <v>0</v>
      </c>
      <c r="V27" s="51">
        <f>+'1'!V27+'3'!V27+'2'!V27+'6'!V27+'5'!V27+'4'!V27+'8'!V27+'7'!V27+'10'!V27+'9'!V27+'11'!V27+'12'!V27+'13'!V27+'15'!V27+'14'!V27+'16'!V27+'17'!V27+'19'!V27+'20'!V27+'22'!V27+'18'!V27+'21'!V27+'25'!V27+'23'!V27+'26'!V27+'24'!V27+'28'!V27+'27'!V27+'29'!V27+'31'!V27+'30'!V27</f>
        <v>0</v>
      </c>
      <c r="W27" s="51">
        <f>+'1'!W27+'3'!W27+'2'!W27+'6'!W27+'5'!W27+'4'!W27+'8'!W27+'7'!W27+'10'!W27+'9'!W27+'11'!W27+'12'!W27+'13'!W27+'15'!W27+'14'!W27+'16'!W27+'17'!W27+'19'!W27+'20'!W27+'22'!W27+'18'!W27+'21'!W27+'25'!W27+'23'!W27+'26'!W27+'24'!W27+'28'!W27+'27'!W27+'29'!W27+'31'!W27+'30'!W27</f>
        <v>0</v>
      </c>
      <c r="X27" s="51">
        <f>+'1'!X27+'3'!X27+'2'!X27+'6'!X27+'5'!X27+'4'!X27+'8'!X27+'7'!X27+'10'!X27+'9'!X27+'11'!X27+'12'!X27+'13'!X27+'15'!X27+'14'!X27+'16'!X27+'17'!X27+'19'!X27+'20'!X27+'22'!X27+'18'!X27+'21'!X27+'25'!X27+'23'!X27+'26'!X27+'24'!X27+'28'!X27+'27'!X27+'29'!X27+'31'!X27+'30'!X27</f>
        <v>0</v>
      </c>
      <c r="Y27" s="51">
        <f>+'1'!Y27+'3'!Y27+'2'!Y27+'6'!Y27+'5'!Y27+'4'!Y27+'8'!Y27+'7'!Y27+'10'!Y27+'9'!Y27+'11'!Y27+'12'!Y27+'13'!Y27+'15'!Y27+'14'!Y27+'16'!Y27+'17'!Y27+'19'!Y27+'20'!Y27+'22'!Y27+'18'!Y27+'21'!Y27+'25'!Y27+'23'!Y27+'26'!Y27+'24'!Y27+'28'!Y27+'27'!Y27+'29'!Y27+'31'!Y27+'30'!Y27</f>
        <v>0</v>
      </c>
      <c r="Z27" s="51">
        <f>+'1'!Z27+'3'!Z27+'2'!Z27+'6'!Z27+'5'!Z27+'4'!Z27+'8'!Z27+'7'!Z27+'10'!Z27+'9'!Z27+'11'!Z27+'12'!Z27+'13'!Z27+'15'!Z27+'14'!Z27+'16'!Z27+'17'!Z27+'19'!Z27+'20'!Z27+'22'!Z27+'18'!Z27+'21'!Z27+'25'!Z27+'23'!Z27+'26'!Z27+'24'!Z27+'28'!Z27+'27'!Z27+'29'!Z27+'31'!Z27+'30'!Z27</f>
        <v>0</v>
      </c>
      <c r="AA27" s="51">
        <f>+'1'!AA27+'3'!AA27+'2'!AA27+'6'!AA27+'5'!AA27+'4'!AA27+'8'!AA27+'7'!AA27+'10'!AA27+'9'!AA27+'11'!AA27+'12'!AA27+'13'!AA27+'15'!AA27+'14'!AA27+'16'!AA27+'17'!AA27+'19'!AA27+'20'!AA27+'22'!AA27+'18'!AA27+'21'!AA27+'25'!AA27+'23'!AA27+'26'!AA27+'24'!AA27+'28'!AA27+'27'!AA27+'29'!AA27+'31'!AA27+'30'!AA27</f>
        <v>0</v>
      </c>
      <c r="AB27" s="51">
        <f>+'1'!AB27+'3'!AB27+'2'!AB27+'6'!AB27+'5'!AB27+'4'!AB27+'8'!AB27+'7'!AB27+'10'!AB27+'9'!AB27+'11'!AB27+'12'!AB27+'13'!AB27+'15'!AB27+'14'!AB27+'16'!AB27+'17'!AB27+'19'!AB27+'20'!AB27+'22'!AB27+'18'!AB27+'21'!AB27+'25'!AB27+'23'!AB27+'26'!AB27+'24'!AB27+'28'!AB27+'27'!AB27+'29'!AB27+'31'!AB27+'30'!AB27</f>
        <v>0</v>
      </c>
      <c r="AC27" s="51">
        <f>+'1'!AC27+'3'!AC27+'2'!AC27+'6'!AC27+'5'!AC27+'4'!AC27+'8'!AC27+'7'!AC27+'10'!AC27+'9'!AC27+'11'!AC27+'12'!AC27+'13'!AC27+'15'!AC27+'14'!AC27+'16'!AC27+'17'!AC27+'19'!AC27+'20'!AC27+'22'!AC27+'18'!AC27+'21'!AC27+'25'!AC27+'23'!AC27+'26'!AC27+'24'!AC27+'28'!AC27+'27'!AC27+'29'!AC27+'31'!AC27+'30'!AC27</f>
        <v>0</v>
      </c>
      <c r="AD27" s="51">
        <f>+'1'!AD27+'3'!AD27+'2'!AD27+'6'!AD27+'5'!AD27+'4'!AD27+'8'!AD27+'7'!AD27+'10'!AD27+'9'!AD27+'11'!AD27+'12'!AD27+'13'!AD27+'15'!AD27+'14'!AD27+'16'!AD27+'17'!AD27+'19'!AD27+'20'!AD27+'22'!AD27+'18'!AD27+'21'!AD27+'25'!AD27+'23'!AD27+'26'!AD27+'24'!AD27+'28'!AD27+'27'!AD27+'29'!AD27+'31'!AD27+'30'!AD27</f>
        <v>0</v>
      </c>
      <c r="AE27" s="51">
        <f>+'1'!AE27+'3'!AE27+'2'!AE27+'6'!AE27+'5'!AE27+'4'!AE27+'8'!AE27+'7'!AE27+'10'!AE27+'9'!AE27+'11'!AE27+'12'!AE27+'13'!AE27+'15'!AE27+'14'!AE27+'16'!AE27+'17'!AE27+'19'!AE27+'20'!AE27+'22'!AE27+'18'!AE27+'21'!AE27+'25'!AE27+'23'!AE27+'26'!AE27+'24'!AE27+'28'!AE27+'27'!AE27+'29'!AE27+'31'!AE27+'30'!AE27</f>
        <v>0</v>
      </c>
      <c r="AF27" s="51">
        <f>+'1'!AF27+'3'!AF27+'2'!AF27+'6'!AF27+'5'!AF27+'4'!AF27+'8'!AF27+'7'!AF27+'10'!AF27+'9'!AF27+'11'!AF27+'12'!AF27+'13'!AF27+'15'!AF27+'14'!AF27+'16'!AF27+'17'!AF27+'19'!AF27+'20'!AF27+'22'!AF27+'18'!AF27+'21'!AF27+'25'!AF27+'23'!AF27+'26'!AF27+'24'!AF27+'28'!AF27+'27'!AF27+'29'!AF27+'31'!AF27+'30'!AF27</f>
        <v>0</v>
      </c>
      <c r="AG27" s="51">
        <f>+'1'!AG27+'3'!AG27+'2'!AG27+'6'!AG27+'5'!AG27+'4'!AG27+'8'!AG27+'7'!AG27+'10'!AG27+'9'!AG27+'11'!AG27+'12'!AG27+'13'!AG27+'15'!AG27+'14'!AG27+'16'!AG27+'17'!AG27+'19'!AG27+'20'!AG27+'22'!AG27+'18'!AG27+'21'!AG27+'25'!AG27+'23'!AG27+'26'!AG27+'24'!AG27+'28'!AG27+'27'!AG27+'29'!AG27+'31'!AG27+'30'!AG27</f>
        <v>0</v>
      </c>
      <c r="AH27" s="51">
        <f>+'1'!AH27+'3'!AH27+'2'!AH27+'6'!AH27+'5'!AH27+'4'!AH27+'8'!AH27+'7'!AH27+'10'!AH27+'9'!AH27+'11'!AH27+'12'!AH27+'13'!AH27+'15'!AH27+'14'!AH27+'16'!AH27+'17'!AH27+'19'!AH27+'20'!AH27+'22'!AH27+'18'!AH27+'21'!AH27+'25'!AH27+'23'!AH27+'26'!AH27+'24'!AH27+'28'!AH27+'27'!AH27+'29'!AH27+'31'!AH27+'30'!AH27</f>
        <v>0</v>
      </c>
      <c r="AI27" s="54">
        <f>+'1'!AI27+'3'!AI27+'2'!AI27+'6'!AI27+'5'!AI27+'4'!AI27+'8'!AI27+'7'!AI27+'10'!AI27+'9'!AI27+'11'!AI27+'12'!AI27+'13'!AI27+'15'!AI27+'14'!AI27+'16'!AI27+'17'!AI27+'19'!AI27+'20'!AI27+'22'!AI27+'18'!AI27+'21'!AI27+'25'!AI27+'23'!AI27+'26'!AI27+'24'!AI27+'28'!AI27+'27'!AI27+'29'!AI27+'31'!AI27+'30'!AI27</f>
        <v>0</v>
      </c>
      <c r="AJ27" s="57">
        <f>+'1'!AJ27+'3'!AJ27+'2'!AJ27+'6'!AJ27+'5'!AJ27+'4'!AJ27+'8'!AJ27+'7'!AJ27+'10'!AJ27+'9'!AJ27+'11'!AJ27+'12'!AJ27+'13'!AJ27+'15'!AJ27+'14'!AJ27+'16'!AJ27+'17'!AJ27+'19'!AJ27+'20'!AJ27+'22'!AJ27+'18'!AJ27+'21'!AJ27+'25'!AJ27+'23'!AJ27+'26'!AJ27+'24'!AJ27+'28'!AJ27+'27'!AJ27+'29'!AJ27+'31'!AJ27+'30'!AJ27</f>
        <v>0</v>
      </c>
      <c r="AK27" s="54">
        <f>+'1'!AK27+'3'!AK27+'2'!AK27+'6'!AK27+'5'!AK27+'4'!AK27+'8'!AK27+'7'!AK27+'10'!AK27+'9'!AK27+'11'!AK27+'12'!AK27+'13'!AK27+'15'!AK27+'14'!AK27+'16'!AK27+'17'!AK27+'19'!AK27+'20'!AK27+'22'!AK27+'18'!AK27+'21'!AK27+'25'!AK27+'23'!AK27+'26'!AK27+'24'!AK27+'28'!AK27+'27'!AK27+'29'!AK27+'31'!AK27+'30'!AK27</f>
        <v>0</v>
      </c>
      <c r="AL27" s="65">
        <f t="shared" si="2"/>
        <v>0</v>
      </c>
      <c r="AM27" s="22" t="str">
        <f t="shared" si="3"/>
        <v>OK</v>
      </c>
    </row>
    <row r="28" spans="1:39" customFormat="1">
      <c r="A28" s="68" t="s">
        <v>49</v>
      </c>
      <c r="B28" s="78">
        <v>10153</v>
      </c>
      <c r="C28" s="23" t="s">
        <v>50</v>
      </c>
      <c r="D28" s="24"/>
      <c r="E28" s="24"/>
      <c r="F28" s="24"/>
      <c r="G28" s="25"/>
      <c r="H28" s="26">
        <f>+'1'!H28+'3'!H28+'2'!H28+'6'!H28+'5'!H28+'4'!H28+'8'!H28+'7'!H28+'10'!H28+'9'!H28+'11'!H28+'12'!H28+'13'!H28+'15'!H28+'14'!H28+'16'!H28+'17'!H28+'19'!H28+'20'!H28+'22'!H28+'18'!H28+'21'!H28+'25'!H28+'23'!H28+'26'!H28+'24'!H28+'28'!H28+'27'!H28+'29'!H28+'31'!H28+'30'!H28</f>
        <v>24544</v>
      </c>
      <c r="I28" s="27">
        <f>+'1'!I28+'3'!I28+'2'!I28+'6'!I28+'5'!I28+'4'!I28+'8'!I28+'7'!I28+'10'!I28+'9'!I28+'11'!I28+'12'!I28+'13'!I28+'15'!I28+'14'!I28+'16'!I28+'17'!I28+'19'!I28+'20'!I28+'22'!I28+'18'!I28+'21'!I28+'25'!I28+'23'!I28+'26'!I28+'24'!I28+'28'!I28+'27'!I28+'29'!I28+'31'!I28+'30'!I28</f>
        <v>25</v>
      </c>
      <c r="J28" s="27"/>
      <c r="K28" s="16"/>
      <c r="L28" s="27">
        <f>+'1'!L28+'3'!L28+'2'!L28+'6'!L28+'5'!L28+'4'!L28+'8'!L28+'7'!L28+'10'!L28+'9'!L28+'11'!L28+'12'!L28+'13'!L28+'15'!L28+'14'!L28+'16'!L28+'17'!L28+'19'!L28+'20'!L28+'22'!L28+'18'!L28+'21'!L28+'25'!L28+'23'!L28+'26'!L28+'24'!L28+'28'!L28+'27'!L28+'29'!L28+'31'!L28+'30'!L28</f>
        <v>4</v>
      </c>
      <c r="M28" s="27">
        <f>+'1'!M28+'3'!M28+'2'!M28+'6'!M28+'5'!M28+'4'!M28+'8'!M28+'7'!M28+'10'!M28+'9'!M28+'11'!M28+'12'!M28+'13'!M28+'15'!M28+'14'!M28+'16'!M28+'17'!M28+'19'!M28+'20'!M28+'22'!M28+'18'!M28+'21'!M28+'25'!M28+'23'!M28+'26'!M28+'24'!M28+'28'!M28+'27'!M28+'29'!M28+'31'!M28+'30'!M28</f>
        <v>3</v>
      </c>
      <c r="N28" s="27">
        <f>+'1'!N28+'3'!N28+'2'!N28+'6'!N28+'5'!N28+'4'!N28+'8'!N28+'7'!N28+'10'!N28+'9'!N28+'11'!N28+'12'!N28+'13'!N28+'15'!N28+'14'!N28+'16'!N28+'17'!N28+'19'!N28+'20'!N28+'22'!N28+'18'!N28+'21'!N28+'25'!N28+'23'!N28+'26'!N28+'24'!N28+'28'!N28+'27'!N28+'29'!N28+'31'!N28+'30'!N28</f>
        <v>0</v>
      </c>
      <c r="O28" s="27">
        <f>+'1'!O28+'3'!O28+'2'!O28+'6'!O28+'5'!O28+'4'!O28+'8'!O28+'7'!O28+'10'!O28+'9'!O28+'11'!O28+'12'!O28+'13'!O28+'15'!O28+'14'!O28+'16'!O28+'17'!O28+'19'!O28+'20'!O28+'22'!O28+'18'!O28+'21'!O28+'25'!O28+'23'!O28+'26'!O28+'24'!O28+'28'!O28+'27'!O28+'29'!O28+'31'!O28+'30'!O28</f>
        <v>0</v>
      </c>
      <c r="P28" s="27">
        <f>+'1'!P28+'3'!P28+'2'!P28+'6'!P28+'5'!P28+'4'!P28+'8'!P28+'7'!P28+'10'!P28+'9'!P28+'11'!P28+'12'!P28+'13'!P28+'15'!P28+'14'!P28+'16'!P28+'17'!P28+'19'!P28+'20'!P28+'22'!P28+'18'!P28+'21'!P28+'25'!P28+'23'!P28+'26'!P28+'24'!P28+'28'!P28+'27'!P28+'29'!P28+'31'!P28+'30'!P28</f>
        <v>0</v>
      </c>
      <c r="Q28" s="27">
        <f>+'1'!Q28+'3'!Q28+'2'!Q28+'6'!Q28+'5'!Q28+'4'!Q28+'8'!Q28+'7'!Q28+'10'!Q28+'9'!Q28+'11'!Q28+'12'!Q28+'13'!Q28+'15'!Q28+'14'!Q28+'16'!Q28+'17'!Q28+'19'!Q28+'20'!Q28+'22'!Q28+'18'!Q28+'21'!Q28+'25'!Q28+'23'!Q28+'26'!Q28+'24'!Q28+'28'!Q28+'27'!Q28+'29'!Q28+'31'!Q28+'30'!Q28</f>
        <v>0</v>
      </c>
      <c r="R28" s="27">
        <f>+'1'!R28+'3'!R28+'2'!R28+'6'!R28+'5'!R28+'4'!R28+'8'!R28+'7'!R28+'10'!R28+'9'!R28+'11'!R28+'12'!R28+'13'!R28+'15'!R28+'14'!R28+'16'!R28+'17'!R28+'19'!R28+'20'!R28+'22'!R28+'18'!R28+'21'!R28+'25'!R28+'23'!R28+'26'!R28+'24'!R28+'28'!R28+'27'!R28+'29'!R28+'31'!R28+'30'!R28</f>
        <v>0</v>
      </c>
      <c r="S28" s="27">
        <f>+'1'!S28+'3'!S28+'2'!S28+'6'!S28+'5'!S28+'4'!S28+'8'!S28+'7'!S28+'10'!S28+'9'!S28+'11'!S28+'12'!S28+'13'!S28+'15'!S28+'14'!S28+'16'!S28+'17'!S28+'19'!S28+'20'!S28+'22'!S28+'18'!S28+'21'!S28+'25'!S28+'23'!S28+'26'!S28+'24'!S28+'28'!S28+'27'!S28+'29'!S28+'31'!S28+'30'!S28</f>
        <v>0</v>
      </c>
      <c r="T28" s="43">
        <f>+'1'!T28+'3'!T28+'2'!T28+'6'!T28+'5'!T28+'4'!T28+'8'!T28+'7'!T28+'10'!T28+'9'!T28+'11'!T28+'12'!T28+'13'!T28+'15'!T28+'14'!T28+'16'!T28+'17'!T28+'19'!T28+'20'!T28+'22'!T28+'18'!T28+'21'!T28+'25'!T28+'23'!T28+'26'!T28+'24'!T28+'28'!T28+'27'!T28+'29'!T28+'31'!T28+'30'!T28</f>
        <v>0</v>
      </c>
      <c r="U28" s="52">
        <f>+'1'!U28+'3'!U28+'2'!U28+'6'!U28+'5'!U28+'4'!U28+'8'!U28+'7'!U28+'10'!U28+'9'!U28+'11'!U28+'12'!U28+'13'!U28+'15'!U28+'14'!U28+'16'!U28+'17'!U28+'19'!U28+'20'!U28+'22'!U28+'18'!U28+'21'!U28+'25'!U28+'23'!U28+'26'!U28+'24'!U28+'28'!U28+'27'!U28+'29'!U28+'31'!U28+'30'!U28</f>
        <v>0</v>
      </c>
      <c r="V28" s="52">
        <f>+'1'!V28+'3'!V28+'2'!V28+'6'!V28+'5'!V28+'4'!V28+'8'!V28+'7'!V28+'10'!V28+'9'!V28+'11'!V28+'12'!V28+'13'!V28+'15'!V28+'14'!V28+'16'!V28+'17'!V28+'19'!V28+'20'!V28+'22'!V28+'18'!V28+'21'!V28+'25'!V28+'23'!V28+'26'!V28+'24'!V28+'28'!V28+'27'!V28+'29'!V28+'31'!V28+'30'!V28</f>
        <v>0</v>
      </c>
      <c r="W28" s="52">
        <f>+'1'!W28+'3'!W28+'2'!W28+'6'!W28+'5'!W28+'4'!W28+'8'!W28+'7'!W28+'10'!W28+'9'!W28+'11'!W28+'12'!W28+'13'!W28+'15'!W28+'14'!W28+'16'!W28+'17'!W28+'19'!W28+'20'!W28+'22'!W28+'18'!W28+'21'!W28+'25'!W28+'23'!W28+'26'!W28+'24'!W28+'28'!W28+'27'!W28+'29'!W28+'31'!W28+'30'!W28</f>
        <v>0</v>
      </c>
      <c r="X28" s="52">
        <f>+'1'!X28+'3'!X28+'2'!X28+'6'!X28+'5'!X28+'4'!X28+'8'!X28+'7'!X28+'10'!X28+'9'!X28+'11'!X28+'12'!X28+'13'!X28+'15'!X28+'14'!X28+'16'!X28+'17'!X28+'19'!X28+'20'!X28+'22'!X28+'18'!X28+'21'!X28+'25'!X28+'23'!X28+'26'!X28+'24'!X28+'28'!X28+'27'!X28+'29'!X28+'31'!X28+'30'!X28</f>
        <v>0</v>
      </c>
      <c r="Y28" s="52">
        <f>+'1'!Y28+'3'!Y28+'2'!Y28+'6'!Y28+'5'!Y28+'4'!Y28+'8'!Y28+'7'!Y28+'10'!Y28+'9'!Y28+'11'!Y28+'12'!Y28+'13'!Y28+'15'!Y28+'14'!Y28+'16'!Y28+'17'!Y28+'19'!Y28+'20'!Y28+'22'!Y28+'18'!Y28+'21'!Y28+'25'!Y28+'23'!Y28+'26'!Y28+'24'!Y28+'28'!Y28+'27'!Y28+'29'!Y28+'31'!Y28+'30'!Y28</f>
        <v>9</v>
      </c>
      <c r="Z28" s="52">
        <f>+'1'!Z28+'3'!Z28+'2'!Z28+'6'!Z28+'5'!Z28+'4'!Z28+'8'!Z28+'7'!Z28+'10'!Z28+'9'!Z28+'11'!Z28+'12'!Z28+'13'!Z28+'15'!Z28+'14'!Z28+'16'!Z28+'17'!Z28+'19'!Z28+'20'!Z28+'22'!Z28+'18'!Z28+'21'!Z28+'25'!Z28+'23'!Z28+'26'!Z28+'24'!Z28+'28'!Z28+'27'!Z28+'29'!Z28+'31'!Z28+'30'!Z28</f>
        <v>5</v>
      </c>
      <c r="AA28" s="52">
        <f>+'1'!AA28+'3'!AA28+'2'!AA28+'6'!AA28+'5'!AA28+'4'!AA28+'8'!AA28+'7'!AA28+'10'!AA28+'9'!AA28+'11'!AA28+'12'!AA28+'13'!AA28+'15'!AA28+'14'!AA28+'16'!AA28+'17'!AA28+'19'!AA28+'20'!AA28+'22'!AA28+'18'!AA28+'21'!AA28+'25'!AA28+'23'!AA28+'26'!AA28+'24'!AA28+'28'!AA28+'27'!AA28+'29'!AA28+'31'!AA28+'30'!AA28</f>
        <v>0</v>
      </c>
      <c r="AB28" s="52">
        <f>+'1'!AB28+'3'!AB28+'2'!AB28+'6'!AB28+'5'!AB28+'4'!AB28+'8'!AB28+'7'!AB28+'10'!AB28+'9'!AB28+'11'!AB28+'12'!AB28+'13'!AB28+'15'!AB28+'14'!AB28+'16'!AB28+'17'!AB28+'19'!AB28+'20'!AB28+'22'!AB28+'18'!AB28+'21'!AB28+'25'!AB28+'23'!AB28+'26'!AB28+'24'!AB28+'28'!AB28+'27'!AB28+'29'!AB28+'31'!AB28+'30'!AB28</f>
        <v>0</v>
      </c>
      <c r="AC28" s="52">
        <f>+'1'!AC28+'3'!AC28+'2'!AC28+'6'!AC28+'5'!AC28+'4'!AC28+'8'!AC28+'7'!AC28+'10'!AC28+'9'!AC28+'11'!AC28+'12'!AC28+'13'!AC28+'15'!AC28+'14'!AC28+'16'!AC28+'17'!AC28+'19'!AC28+'20'!AC28+'22'!AC28+'18'!AC28+'21'!AC28+'25'!AC28+'23'!AC28+'26'!AC28+'24'!AC28+'28'!AC28+'27'!AC28+'29'!AC28+'31'!AC28+'30'!AC28</f>
        <v>4</v>
      </c>
      <c r="AD28" s="52">
        <f>+'1'!AD28+'3'!AD28+'2'!AD28+'6'!AD28+'5'!AD28+'4'!AD28+'8'!AD28+'7'!AD28+'10'!AD28+'9'!AD28+'11'!AD28+'12'!AD28+'13'!AD28+'15'!AD28+'14'!AD28+'16'!AD28+'17'!AD28+'19'!AD28+'20'!AD28+'22'!AD28+'18'!AD28+'21'!AD28+'25'!AD28+'23'!AD28+'26'!AD28+'24'!AD28+'28'!AD28+'27'!AD28+'29'!AD28+'31'!AD28+'30'!AD28</f>
        <v>0</v>
      </c>
      <c r="AE28" s="52">
        <f>+'1'!AE28+'3'!AE28+'2'!AE28+'6'!AE28+'5'!AE28+'4'!AE28+'8'!AE28+'7'!AE28+'10'!AE28+'9'!AE28+'11'!AE28+'12'!AE28+'13'!AE28+'15'!AE28+'14'!AE28+'16'!AE28+'17'!AE28+'19'!AE28+'20'!AE28+'22'!AE28+'18'!AE28+'21'!AE28+'25'!AE28+'23'!AE28+'26'!AE28+'24'!AE28+'28'!AE28+'27'!AE28+'29'!AE28+'31'!AE28+'30'!AE28</f>
        <v>0</v>
      </c>
      <c r="AF28" s="52">
        <f>+'1'!AF28+'3'!AF28+'2'!AF28+'6'!AF28+'5'!AF28+'4'!AF28+'8'!AF28+'7'!AF28+'10'!AF28+'9'!AF28+'11'!AF28+'12'!AF28+'13'!AF28+'15'!AF28+'14'!AF28+'16'!AF28+'17'!AF28+'19'!AF28+'20'!AF28+'22'!AF28+'18'!AF28+'21'!AF28+'25'!AF28+'23'!AF28+'26'!AF28+'24'!AF28+'28'!AF28+'27'!AF28+'29'!AF28+'31'!AF28+'30'!AF28</f>
        <v>0</v>
      </c>
      <c r="AG28" s="52">
        <f>+'1'!AG28+'3'!AG28+'2'!AG28+'6'!AG28+'5'!AG28+'4'!AG28+'8'!AG28+'7'!AG28+'10'!AG28+'9'!AG28+'11'!AG28+'12'!AG28+'13'!AG28+'15'!AG28+'14'!AG28+'16'!AG28+'17'!AG28+'19'!AG28+'20'!AG28+'22'!AG28+'18'!AG28+'21'!AG28+'25'!AG28+'23'!AG28+'26'!AG28+'24'!AG28+'28'!AG28+'27'!AG28+'29'!AG28+'31'!AG28+'30'!AG28</f>
        <v>0</v>
      </c>
      <c r="AH28" s="52">
        <f>+'1'!AH28+'3'!AH28+'2'!AH28+'6'!AH28+'5'!AH28+'4'!AH28+'8'!AH28+'7'!AH28+'10'!AH28+'9'!AH28+'11'!AH28+'12'!AH28+'13'!AH28+'15'!AH28+'14'!AH28+'16'!AH28+'17'!AH28+'19'!AH28+'20'!AH28+'22'!AH28+'18'!AH28+'21'!AH28+'25'!AH28+'23'!AH28+'26'!AH28+'24'!AH28+'28'!AH28+'27'!AH28+'29'!AH28+'31'!AH28+'30'!AH28</f>
        <v>0</v>
      </c>
      <c r="AI28" s="55">
        <f>+'1'!AI28+'3'!AI28+'2'!AI28+'6'!AI28+'5'!AI28+'4'!AI28+'8'!AI28+'7'!AI28+'10'!AI28+'9'!AI28+'11'!AI28+'12'!AI28+'13'!AI28+'15'!AI28+'14'!AI28+'16'!AI28+'17'!AI28+'19'!AI28+'20'!AI28+'22'!AI28+'18'!AI28+'21'!AI28+'25'!AI28+'23'!AI28+'26'!AI28+'24'!AI28+'28'!AI28+'27'!AI28+'29'!AI28+'31'!AI28+'30'!AI28</f>
        <v>0</v>
      </c>
      <c r="AJ28" s="58">
        <f>+'1'!AJ28+'3'!AJ28+'2'!AJ28+'6'!AJ28+'5'!AJ28+'4'!AJ28+'8'!AJ28+'7'!AJ28+'10'!AJ28+'9'!AJ28+'11'!AJ28+'12'!AJ28+'13'!AJ28+'15'!AJ28+'14'!AJ28+'16'!AJ28+'17'!AJ28+'19'!AJ28+'20'!AJ28+'22'!AJ28+'18'!AJ28+'21'!AJ28+'25'!AJ28+'23'!AJ28+'26'!AJ28+'24'!AJ28+'28'!AJ28+'27'!AJ28+'29'!AJ28+'31'!AJ28+'30'!AJ28</f>
        <v>0</v>
      </c>
      <c r="AK28" s="55">
        <f>+'1'!AK28+'3'!AK28+'2'!AK28+'6'!AK28+'5'!AK28+'4'!AK28+'8'!AK28+'7'!AK28+'10'!AK28+'9'!AK28+'11'!AK28+'12'!AK28+'13'!AK28+'15'!AK28+'14'!AK28+'16'!AK28+'17'!AK28+'19'!AK28+'20'!AK28+'22'!AK28+'18'!AK28+'21'!AK28+'25'!AK28+'23'!AK28+'26'!AK28+'24'!AK28+'28'!AK28+'27'!AK28+'29'!AK28+'31'!AK28+'30'!AK28</f>
        <v>0</v>
      </c>
      <c r="AL28" s="66">
        <f t="shared" si="2"/>
        <v>25</v>
      </c>
      <c r="AM28" s="28" t="str">
        <f t="shared" si="3"/>
        <v>OK</v>
      </c>
    </row>
    <row r="29" spans="1:39" customFormat="1">
      <c r="A29" s="80" t="s">
        <v>71</v>
      </c>
      <c r="B29" s="77">
        <v>10151</v>
      </c>
      <c r="C29" s="17" t="s">
        <v>51</v>
      </c>
      <c r="D29" s="69"/>
      <c r="E29" s="18"/>
      <c r="F29" s="18"/>
      <c r="G29" s="19"/>
      <c r="H29" s="20">
        <f>+'1'!H29+'3'!H29+'2'!H29+'6'!H29+'5'!H29+'4'!H29+'8'!H29+'7'!H29+'10'!H29+'9'!H29+'11'!H29+'12'!H29+'13'!H29+'15'!H29+'14'!H29+'16'!H29+'17'!H29+'19'!H29+'20'!H29+'22'!H29+'18'!H29+'21'!H29+'25'!H29+'23'!H29+'26'!H29+'24'!H29+'28'!H29+'27'!H29+'29'!H29+'31'!H29+'30'!H29</f>
        <v>26414</v>
      </c>
      <c r="I29" s="21">
        <f>+'1'!I29+'3'!I29+'2'!I29+'6'!I29+'5'!I29+'4'!I29+'8'!I29+'7'!I29+'10'!I29+'9'!I29+'11'!I29+'12'!I29+'13'!I29+'15'!I29+'14'!I29+'16'!I29+'17'!I29+'19'!I29+'20'!I29+'22'!I29+'18'!I29+'21'!I29+'25'!I29+'23'!I29+'26'!I29+'24'!I29+'28'!I29+'27'!I29+'29'!I29+'31'!I29+'30'!I29</f>
        <v>12</v>
      </c>
      <c r="J29" s="21"/>
      <c r="K29" s="16"/>
      <c r="L29" s="21">
        <f>+'1'!L29+'3'!L29+'2'!L29+'6'!L29+'5'!L29+'4'!L29+'8'!L29+'7'!L29+'10'!L29+'9'!L29+'11'!L29+'12'!L29+'13'!L29+'15'!L29+'14'!L29+'16'!L29+'17'!L29+'19'!L29+'20'!L29+'22'!L29+'18'!L29+'21'!L29+'25'!L29+'23'!L29+'26'!L29+'24'!L29+'28'!L29+'27'!L29+'29'!L29+'31'!L29+'30'!L29</f>
        <v>3</v>
      </c>
      <c r="M29" s="21">
        <f>+'1'!M29+'3'!M29+'2'!M29+'6'!M29+'5'!M29+'4'!M29+'8'!M29+'7'!M29+'10'!M29+'9'!M29+'11'!M29+'12'!M29+'13'!M29+'15'!M29+'14'!M29+'16'!M29+'17'!M29+'19'!M29+'20'!M29+'22'!M29+'18'!M29+'21'!M29+'25'!M29+'23'!M29+'26'!M29+'24'!M29+'28'!M29+'27'!M29+'29'!M29+'31'!M29+'30'!M29</f>
        <v>0</v>
      </c>
      <c r="N29" s="21">
        <f>+'1'!N29+'3'!N29+'2'!N29+'6'!N29+'5'!N29+'4'!N29+'8'!N29+'7'!N29+'10'!N29+'9'!N29+'11'!N29+'12'!N29+'13'!N29+'15'!N29+'14'!N29+'16'!N29+'17'!N29+'19'!N29+'20'!N29+'22'!N29+'18'!N29+'21'!N29+'25'!N29+'23'!N29+'26'!N29+'24'!N29+'28'!N29+'27'!N29+'29'!N29+'31'!N29+'30'!N29</f>
        <v>0</v>
      </c>
      <c r="O29" s="21">
        <f>+'1'!O29+'3'!O29+'2'!O29+'6'!O29+'5'!O29+'4'!O29+'8'!O29+'7'!O29+'10'!O29+'9'!O29+'11'!O29+'12'!O29+'13'!O29+'15'!O29+'14'!O29+'16'!O29+'17'!O29+'19'!O29+'20'!O29+'22'!O29+'18'!O29+'21'!O29+'25'!O29+'23'!O29+'26'!O29+'24'!O29+'28'!O29+'27'!O29+'29'!O29+'31'!O29+'30'!O29</f>
        <v>0</v>
      </c>
      <c r="P29" s="21">
        <f>+'1'!P29+'3'!P29+'2'!P29+'6'!P29+'5'!P29+'4'!P29+'8'!P29+'7'!P29+'10'!P29+'9'!P29+'11'!P29+'12'!P29+'13'!P29+'15'!P29+'14'!P29+'16'!P29+'17'!P29+'19'!P29+'20'!P29+'22'!P29+'18'!P29+'21'!P29+'25'!P29+'23'!P29+'26'!P29+'24'!P29+'28'!P29+'27'!P29+'29'!P29+'31'!P29+'30'!P29</f>
        <v>0</v>
      </c>
      <c r="Q29" s="21">
        <f>+'1'!Q29+'3'!Q29+'2'!Q29+'6'!Q29+'5'!Q29+'4'!Q29+'8'!Q29+'7'!Q29+'10'!Q29+'9'!Q29+'11'!Q29+'12'!Q29+'13'!Q29+'15'!Q29+'14'!Q29+'16'!Q29+'17'!Q29+'19'!Q29+'20'!Q29+'22'!Q29+'18'!Q29+'21'!Q29+'25'!Q29+'23'!Q29+'26'!Q29+'24'!Q29+'28'!Q29+'27'!Q29+'29'!Q29+'31'!Q29+'30'!Q29</f>
        <v>0</v>
      </c>
      <c r="R29" s="21">
        <f>+'1'!R29+'3'!R29+'2'!R29+'6'!R29+'5'!R29+'4'!R29+'8'!R29+'7'!R29+'10'!R29+'9'!R29+'11'!R29+'12'!R29+'13'!R29+'15'!R29+'14'!R29+'16'!R29+'17'!R29+'19'!R29+'20'!R29+'22'!R29+'18'!R29+'21'!R29+'25'!R29+'23'!R29+'26'!R29+'24'!R29+'28'!R29+'27'!R29+'29'!R29+'31'!R29+'30'!R29</f>
        <v>0</v>
      </c>
      <c r="S29" s="21">
        <f>+'1'!S29+'3'!S29+'2'!S29+'6'!S29+'5'!S29+'4'!S29+'8'!S29+'7'!S29+'10'!S29+'9'!S29+'11'!S29+'12'!S29+'13'!S29+'15'!S29+'14'!S29+'16'!S29+'17'!S29+'19'!S29+'20'!S29+'22'!S29+'18'!S29+'21'!S29+'25'!S29+'23'!S29+'26'!S29+'24'!S29+'28'!S29+'27'!S29+'29'!S29+'31'!S29+'30'!S29</f>
        <v>0</v>
      </c>
      <c r="T29" s="42">
        <f>+'1'!T29+'3'!T29+'2'!T29+'6'!T29+'5'!T29+'4'!T29+'8'!T29+'7'!T29+'10'!T29+'9'!T29+'11'!T29+'12'!T29+'13'!T29+'15'!T29+'14'!T29+'16'!T29+'17'!T29+'19'!T29+'20'!T29+'22'!T29+'18'!T29+'21'!T29+'25'!T29+'23'!T29+'26'!T29+'24'!T29+'28'!T29+'27'!T29+'29'!T29+'31'!T29+'30'!T29</f>
        <v>0</v>
      </c>
      <c r="U29" s="51">
        <f>+'1'!U29+'3'!U29+'2'!U29+'6'!U29+'5'!U29+'4'!U29+'8'!U29+'7'!U29+'10'!U29+'9'!U29+'11'!U29+'12'!U29+'13'!U29+'15'!U29+'14'!U29+'16'!U29+'17'!U29+'19'!U29+'20'!U29+'22'!U29+'18'!U29+'21'!U29+'25'!U29+'23'!U29+'26'!U29+'24'!U29+'28'!U29+'27'!U29+'29'!U29+'31'!U29+'30'!U29</f>
        <v>0</v>
      </c>
      <c r="V29" s="51">
        <f>+'1'!V29+'3'!V29+'2'!V29+'6'!V29+'5'!V29+'4'!V29+'8'!V29+'7'!V29+'10'!V29+'9'!V29+'11'!V29+'12'!V29+'13'!V29+'15'!V29+'14'!V29+'16'!V29+'17'!V29+'19'!V29+'20'!V29+'22'!V29+'18'!V29+'21'!V29+'25'!V29+'23'!V29+'26'!V29+'24'!V29+'28'!V29+'27'!V29+'29'!V29+'31'!V29+'30'!V29</f>
        <v>0</v>
      </c>
      <c r="W29" s="51">
        <f>+'1'!W29+'3'!W29+'2'!W29+'6'!W29+'5'!W29+'4'!W29+'8'!W29+'7'!W29+'10'!W29+'9'!W29+'11'!W29+'12'!W29+'13'!W29+'15'!W29+'14'!W29+'16'!W29+'17'!W29+'19'!W29+'20'!W29+'22'!W29+'18'!W29+'21'!W29+'25'!W29+'23'!W29+'26'!W29+'24'!W29+'28'!W29+'27'!W29+'29'!W29+'31'!W29+'30'!W29</f>
        <v>0</v>
      </c>
      <c r="X29" s="51">
        <f>+'1'!X29+'3'!X29+'2'!X29+'6'!X29+'5'!X29+'4'!X29+'8'!X29+'7'!X29+'10'!X29+'9'!X29+'11'!X29+'12'!X29+'13'!X29+'15'!X29+'14'!X29+'16'!X29+'17'!X29+'19'!X29+'20'!X29+'22'!X29+'18'!X29+'21'!X29+'25'!X29+'23'!X29+'26'!X29+'24'!X29+'28'!X29+'27'!X29+'29'!X29+'31'!X29+'30'!X29</f>
        <v>0</v>
      </c>
      <c r="Y29" s="51">
        <f>+'1'!Y29+'3'!Y29+'2'!Y29+'6'!Y29+'5'!Y29+'4'!Y29+'8'!Y29+'7'!Y29+'10'!Y29+'9'!Y29+'11'!Y29+'12'!Y29+'13'!Y29+'15'!Y29+'14'!Y29+'16'!Y29+'17'!Y29+'19'!Y29+'20'!Y29+'22'!Y29+'18'!Y29+'21'!Y29+'25'!Y29+'23'!Y29+'26'!Y29+'24'!Y29+'28'!Y29+'27'!Y29+'29'!Y29+'31'!Y29+'30'!Y29</f>
        <v>1</v>
      </c>
      <c r="Z29" s="51">
        <f>+'1'!Z29+'3'!Z29+'2'!Z29+'6'!Z29+'5'!Z29+'4'!Z29+'8'!Z29+'7'!Z29+'10'!Z29+'9'!Z29+'11'!Z29+'12'!Z29+'13'!Z29+'15'!Z29+'14'!Z29+'16'!Z29+'17'!Z29+'19'!Z29+'20'!Z29+'22'!Z29+'18'!Z29+'21'!Z29+'25'!Z29+'23'!Z29+'26'!Z29+'24'!Z29+'28'!Z29+'27'!Z29+'29'!Z29+'31'!Z29+'30'!Z29</f>
        <v>0</v>
      </c>
      <c r="AA29" s="51">
        <f>+'1'!AA29+'3'!AA29+'2'!AA29+'6'!AA29+'5'!AA29+'4'!AA29+'8'!AA29+'7'!AA29+'10'!AA29+'9'!AA29+'11'!AA29+'12'!AA29+'13'!AA29+'15'!AA29+'14'!AA29+'16'!AA29+'17'!AA29+'19'!AA29+'20'!AA29+'22'!AA29+'18'!AA29+'21'!AA29+'25'!AA29+'23'!AA29+'26'!AA29+'24'!AA29+'28'!AA29+'27'!AA29+'29'!AA29+'31'!AA29+'30'!AA29</f>
        <v>0</v>
      </c>
      <c r="AB29" s="51">
        <f>+'1'!AB29+'3'!AB29+'2'!AB29+'6'!AB29+'5'!AB29+'4'!AB29+'8'!AB29+'7'!AB29+'10'!AB29+'9'!AB29+'11'!AB29+'12'!AB29+'13'!AB29+'15'!AB29+'14'!AB29+'16'!AB29+'17'!AB29+'19'!AB29+'20'!AB29+'22'!AB29+'18'!AB29+'21'!AB29+'25'!AB29+'23'!AB29+'26'!AB29+'24'!AB29+'28'!AB29+'27'!AB29+'29'!AB29+'31'!AB29+'30'!AB29</f>
        <v>0</v>
      </c>
      <c r="AC29" s="51">
        <f>+'1'!AC29+'3'!AC29+'2'!AC29+'6'!AC29+'5'!AC29+'4'!AC29+'8'!AC29+'7'!AC29+'10'!AC29+'9'!AC29+'11'!AC29+'12'!AC29+'13'!AC29+'15'!AC29+'14'!AC29+'16'!AC29+'17'!AC29+'19'!AC29+'20'!AC29+'22'!AC29+'18'!AC29+'21'!AC29+'25'!AC29+'23'!AC29+'26'!AC29+'24'!AC29+'28'!AC29+'27'!AC29+'29'!AC29+'31'!AC29+'30'!AC29</f>
        <v>8</v>
      </c>
      <c r="AD29" s="51">
        <f>+'1'!AD29+'3'!AD29+'2'!AD29+'6'!AD29+'5'!AD29+'4'!AD29+'8'!AD29+'7'!AD29+'10'!AD29+'9'!AD29+'11'!AD29+'12'!AD29+'13'!AD29+'15'!AD29+'14'!AD29+'16'!AD29+'17'!AD29+'19'!AD29+'20'!AD29+'22'!AD29+'18'!AD29+'21'!AD29+'25'!AD29+'23'!AD29+'26'!AD29+'24'!AD29+'28'!AD29+'27'!AD29+'29'!AD29+'31'!AD29+'30'!AD29</f>
        <v>0</v>
      </c>
      <c r="AE29" s="51">
        <f>+'1'!AE29+'3'!AE29+'2'!AE29+'6'!AE29+'5'!AE29+'4'!AE29+'8'!AE29+'7'!AE29+'10'!AE29+'9'!AE29+'11'!AE29+'12'!AE29+'13'!AE29+'15'!AE29+'14'!AE29+'16'!AE29+'17'!AE29+'19'!AE29+'20'!AE29+'22'!AE29+'18'!AE29+'21'!AE29+'25'!AE29+'23'!AE29+'26'!AE29+'24'!AE29+'28'!AE29+'27'!AE29+'29'!AE29+'31'!AE29+'30'!AE29</f>
        <v>0</v>
      </c>
      <c r="AF29" s="51">
        <f>+'1'!AF29+'3'!AF29+'2'!AF29+'6'!AF29+'5'!AF29+'4'!AF29+'8'!AF29+'7'!AF29+'10'!AF29+'9'!AF29+'11'!AF29+'12'!AF29+'13'!AF29+'15'!AF29+'14'!AF29+'16'!AF29+'17'!AF29+'19'!AF29+'20'!AF29+'22'!AF29+'18'!AF29+'21'!AF29+'25'!AF29+'23'!AF29+'26'!AF29+'24'!AF29+'28'!AF29+'27'!AF29+'29'!AF29+'31'!AF29+'30'!AF29</f>
        <v>0</v>
      </c>
      <c r="AG29" s="51">
        <f>+'1'!AG29+'3'!AG29+'2'!AG29+'6'!AG29+'5'!AG29+'4'!AG29+'8'!AG29+'7'!AG29+'10'!AG29+'9'!AG29+'11'!AG29+'12'!AG29+'13'!AG29+'15'!AG29+'14'!AG29+'16'!AG29+'17'!AG29+'19'!AG29+'20'!AG29+'22'!AG29+'18'!AG29+'21'!AG29+'25'!AG29+'23'!AG29+'26'!AG29+'24'!AG29+'28'!AG29+'27'!AG29+'29'!AG29+'31'!AG29+'30'!AG29</f>
        <v>0</v>
      </c>
      <c r="AH29" s="51">
        <f>+'1'!AH29+'3'!AH29+'2'!AH29+'6'!AH29+'5'!AH29+'4'!AH29+'8'!AH29+'7'!AH29+'10'!AH29+'9'!AH29+'11'!AH29+'12'!AH29+'13'!AH29+'15'!AH29+'14'!AH29+'16'!AH29+'17'!AH29+'19'!AH29+'20'!AH29+'22'!AH29+'18'!AH29+'21'!AH29+'25'!AH29+'23'!AH29+'26'!AH29+'24'!AH29+'28'!AH29+'27'!AH29+'29'!AH29+'31'!AH29+'30'!AH29</f>
        <v>0</v>
      </c>
      <c r="AI29" s="54">
        <f>+'1'!AI29+'3'!AI29+'2'!AI29+'6'!AI29+'5'!AI29+'4'!AI29+'8'!AI29+'7'!AI29+'10'!AI29+'9'!AI29+'11'!AI29+'12'!AI29+'13'!AI29+'15'!AI29+'14'!AI29+'16'!AI29+'17'!AI29+'19'!AI29+'20'!AI29+'22'!AI29+'18'!AI29+'21'!AI29+'25'!AI29+'23'!AI29+'26'!AI29+'24'!AI29+'28'!AI29+'27'!AI29+'29'!AI29+'31'!AI29+'30'!AI29</f>
        <v>0</v>
      </c>
      <c r="AJ29" s="57">
        <f>+'1'!AJ29+'3'!AJ29+'2'!AJ29+'6'!AJ29+'5'!AJ29+'4'!AJ29+'8'!AJ29+'7'!AJ29+'10'!AJ29+'9'!AJ29+'11'!AJ29+'12'!AJ29+'13'!AJ29+'15'!AJ29+'14'!AJ29+'16'!AJ29+'17'!AJ29+'19'!AJ29+'20'!AJ29+'22'!AJ29+'18'!AJ29+'21'!AJ29+'25'!AJ29+'23'!AJ29+'26'!AJ29+'24'!AJ29+'28'!AJ29+'27'!AJ29+'29'!AJ29+'31'!AJ29+'30'!AJ29</f>
        <v>0</v>
      </c>
      <c r="AK29" s="54">
        <f>+'1'!AK29+'3'!AK29+'2'!AK29+'6'!AK29+'5'!AK29+'4'!AK29+'8'!AK29+'7'!AK29+'10'!AK29+'9'!AK29+'11'!AK29+'12'!AK29+'13'!AK29+'15'!AK29+'14'!AK29+'16'!AK29+'17'!AK29+'19'!AK29+'20'!AK29+'22'!AK29+'18'!AK29+'21'!AK29+'25'!AK29+'23'!AK29+'26'!AK29+'24'!AK29+'28'!AK29+'27'!AK29+'29'!AK29+'31'!AK29+'30'!AK29</f>
        <v>0</v>
      </c>
      <c r="AL29" s="65">
        <f t="shared" ref="AL29:AL36" si="4">SUM(L29:AK29)</f>
        <v>12</v>
      </c>
      <c r="AM29" s="22" t="str">
        <f t="shared" ref="AM29:AM36" si="5">IF(AL29=I29,"OK","NG")</f>
        <v>OK</v>
      </c>
    </row>
    <row r="30" spans="1:39" customFormat="1">
      <c r="A30" s="68" t="s">
        <v>52</v>
      </c>
      <c r="B30" s="78">
        <v>10149</v>
      </c>
      <c r="C30" s="23" t="s">
        <v>45</v>
      </c>
      <c r="D30" s="24"/>
      <c r="E30" s="24"/>
      <c r="F30" s="24"/>
      <c r="G30" s="25"/>
      <c r="H30" s="26">
        <f>+'1'!H30+'3'!H30+'2'!H30+'6'!H30+'5'!H30+'4'!H30+'8'!H30+'7'!H30+'10'!H30+'9'!H30+'11'!H30+'12'!H30+'13'!H30+'15'!H30+'14'!H30+'16'!H30+'17'!H30+'19'!H30+'20'!H30+'22'!H30+'18'!H30+'21'!H30+'25'!H30+'23'!H30+'26'!H30+'24'!H30+'28'!H30+'27'!H30+'29'!H30+'31'!H30+'30'!H30</f>
        <v>33215</v>
      </c>
      <c r="I30" s="27">
        <f>+'1'!I30+'3'!I30+'2'!I30+'6'!I30+'5'!I30+'4'!I30+'8'!I30+'7'!I30+'10'!I30+'9'!I30+'11'!I30+'12'!I30+'13'!I30+'15'!I30+'14'!I30+'16'!I30+'17'!I30+'19'!I30+'20'!I30+'22'!I30+'18'!I30+'21'!I30+'25'!I30+'23'!I30+'26'!I30+'24'!I30+'28'!I30+'27'!I30+'29'!I30+'31'!I30+'30'!I30</f>
        <v>19</v>
      </c>
      <c r="J30" s="27"/>
      <c r="K30" s="16"/>
      <c r="L30" s="27">
        <f>+'1'!L30+'3'!L30+'2'!L30+'6'!L30+'5'!L30+'4'!L30+'8'!L30+'7'!L30+'10'!L30+'9'!L30+'11'!L30+'12'!L30+'13'!L30+'15'!L30+'14'!L30+'16'!L30+'17'!L30+'19'!L30+'20'!L30+'22'!L30+'18'!L30+'21'!L30+'25'!L30+'23'!L30+'26'!L30+'24'!L30+'28'!L30+'27'!L30+'29'!L30+'31'!L30+'30'!L30</f>
        <v>5</v>
      </c>
      <c r="M30" s="27">
        <f>+'1'!M30+'3'!M30+'2'!M30+'6'!M30+'5'!M30+'4'!M30+'8'!M30+'7'!M30+'10'!M30+'9'!M30+'11'!M30+'12'!M30+'13'!M30+'15'!M30+'14'!M30+'16'!M30+'17'!M30+'19'!M30+'20'!M30+'22'!M30+'18'!M30+'21'!M30+'25'!M30+'23'!M30+'26'!M30+'24'!M30+'28'!M30+'27'!M30+'29'!M30+'31'!M30+'30'!M30</f>
        <v>0</v>
      </c>
      <c r="N30" s="27">
        <f>+'1'!N30+'3'!N30+'2'!N30+'6'!N30+'5'!N30+'4'!N30+'8'!N30+'7'!N30+'10'!N30+'9'!N30+'11'!N30+'12'!N30+'13'!N30+'15'!N30+'14'!N30+'16'!N30+'17'!N30+'19'!N30+'20'!N30+'22'!N30+'18'!N30+'21'!N30+'25'!N30+'23'!N30+'26'!N30+'24'!N30+'28'!N30+'27'!N30+'29'!N30+'31'!N30+'30'!N30</f>
        <v>0</v>
      </c>
      <c r="O30" s="27">
        <f>+'1'!O30+'3'!O30+'2'!O30+'6'!O30+'5'!O30+'4'!O30+'8'!O30+'7'!O30+'10'!O30+'9'!O30+'11'!O30+'12'!O30+'13'!O30+'15'!O30+'14'!O30+'16'!O30+'17'!O30+'19'!O30+'20'!O30+'22'!O30+'18'!O30+'21'!O30+'25'!O30+'23'!O30+'26'!O30+'24'!O30+'28'!O30+'27'!O30+'29'!O30+'31'!O30+'30'!O30</f>
        <v>0</v>
      </c>
      <c r="P30" s="27">
        <f>+'1'!P30+'3'!P30+'2'!P30+'6'!P30+'5'!P30+'4'!P30+'8'!P30+'7'!P30+'10'!P30+'9'!P30+'11'!P30+'12'!P30+'13'!P30+'15'!P30+'14'!P30+'16'!P30+'17'!P30+'19'!P30+'20'!P30+'22'!P30+'18'!P30+'21'!P30+'25'!P30+'23'!P30+'26'!P30+'24'!P30+'28'!P30+'27'!P30+'29'!P30+'31'!P30+'30'!P30</f>
        <v>0</v>
      </c>
      <c r="Q30" s="27">
        <f>+'1'!Q30+'3'!Q30+'2'!Q30+'6'!Q30+'5'!Q30+'4'!Q30+'8'!Q30+'7'!Q30+'10'!Q30+'9'!Q30+'11'!Q30+'12'!Q30+'13'!Q30+'15'!Q30+'14'!Q30+'16'!Q30+'17'!Q30+'19'!Q30+'20'!Q30+'22'!Q30+'18'!Q30+'21'!Q30+'25'!Q30+'23'!Q30+'26'!Q30+'24'!Q30+'28'!Q30+'27'!Q30+'29'!Q30+'31'!Q30+'30'!Q30</f>
        <v>0</v>
      </c>
      <c r="R30" s="27">
        <f>+'1'!R30+'3'!R30+'2'!R30+'6'!R30+'5'!R30+'4'!R30+'8'!R30+'7'!R30+'10'!R30+'9'!R30+'11'!R30+'12'!R30+'13'!R30+'15'!R30+'14'!R30+'16'!R30+'17'!R30+'19'!R30+'20'!R30+'22'!R30+'18'!R30+'21'!R30+'25'!R30+'23'!R30+'26'!R30+'24'!R30+'28'!R30+'27'!R30+'29'!R30+'31'!R30+'30'!R30</f>
        <v>0</v>
      </c>
      <c r="S30" s="27">
        <f>+'1'!S30+'3'!S30+'2'!S30+'6'!S30+'5'!S30+'4'!S30+'8'!S30+'7'!S30+'10'!S30+'9'!S30+'11'!S30+'12'!S30+'13'!S30+'15'!S30+'14'!S30+'16'!S30+'17'!S30+'19'!S30+'20'!S30+'22'!S30+'18'!S30+'21'!S30+'25'!S30+'23'!S30+'26'!S30+'24'!S30+'28'!S30+'27'!S30+'29'!S30+'31'!S30+'30'!S30</f>
        <v>0</v>
      </c>
      <c r="T30" s="43">
        <f>+'1'!T30+'3'!T30+'2'!T30+'6'!T30+'5'!T30+'4'!T30+'8'!T30+'7'!T30+'10'!T30+'9'!T30+'11'!T30+'12'!T30+'13'!T30+'15'!T30+'14'!T30+'16'!T30+'17'!T30+'19'!T30+'20'!T30+'22'!T30+'18'!T30+'21'!T30+'25'!T30+'23'!T30+'26'!T30+'24'!T30+'28'!T30+'27'!T30+'29'!T30+'31'!T30+'30'!T30</f>
        <v>0</v>
      </c>
      <c r="U30" s="52">
        <f>+'1'!U30+'3'!U30+'2'!U30+'6'!U30+'5'!U30+'4'!U30+'8'!U30+'7'!U30+'10'!U30+'9'!U30+'11'!U30+'12'!U30+'13'!U30+'15'!U30+'14'!U30+'16'!U30+'17'!U30+'19'!U30+'20'!U30+'22'!U30+'18'!U30+'21'!U30+'25'!U30+'23'!U30+'26'!U30+'24'!U30+'28'!U30+'27'!U30+'29'!U30+'31'!U30+'30'!U30</f>
        <v>0</v>
      </c>
      <c r="V30" s="52">
        <f>+'1'!V30+'3'!V30+'2'!V30+'6'!V30+'5'!V30+'4'!V30+'8'!V30+'7'!V30+'10'!V30+'9'!V30+'11'!V30+'12'!V30+'13'!V30+'15'!V30+'14'!V30+'16'!V30+'17'!V30+'19'!V30+'20'!V30+'22'!V30+'18'!V30+'21'!V30+'25'!V30+'23'!V30+'26'!V30+'24'!V30+'28'!V30+'27'!V30+'29'!V30+'31'!V30+'30'!V30</f>
        <v>0</v>
      </c>
      <c r="W30" s="52">
        <f>+'1'!W30+'3'!W30+'2'!W30+'6'!W30+'5'!W30+'4'!W30+'8'!W30+'7'!W30+'10'!W30+'9'!W30+'11'!W30+'12'!W30+'13'!W30+'15'!W30+'14'!W30+'16'!W30+'17'!W30+'19'!W30+'20'!W30+'22'!W30+'18'!W30+'21'!W30+'25'!W30+'23'!W30+'26'!W30+'24'!W30+'28'!W30+'27'!W30+'29'!W30+'31'!W30+'30'!W30</f>
        <v>0</v>
      </c>
      <c r="X30" s="52">
        <f>+'1'!X30+'3'!X30+'2'!X30+'6'!X30+'5'!X30+'4'!X30+'8'!X30+'7'!X30+'10'!X30+'9'!X30+'11'!X30+'12'!X30+'13'!X30+'15'!X30+'14'!X30+'16'!X30+'17'!X30+'19'!X30+'20'!X30+'22'!X30+'18'!X30+'21'!X30+'25'!X30+'23'!X30+'26'!X30+'24'!X30+'28'!X30+'27'!X30+'29'!X30+'31'!X30+'30'!X30</f>
        <v>0</v>
      </c>
      <c r="Y30" s="52">
        <f>+'1'!Y30+'3'!Y30+'2'!Y30+'6'!Y30+'5'!Y30+'4'!Y30+'8'!Y30+'7'!Y30+'10'!Y30+'9'!Y30+'11'!Y30+'12'!Y30+'13'!Y30+'15'!Y30+'14'!Y30+'16'!Y30+'17'!Y30+'19'!Y30+'20'!Y30+'22'!Y30+'18'!Y30+'21'!Y30+'25'!Y30+'23'!Y30+'26'!Y30+'24'!Y30+'28'!Y30+'27'!Y30+'29'!Y30+'31'!Y30+'30'!Y30</f>
        <v>1</v>
      </c>
      <c r="Z30" s="52">
        <f>+'1'!Z30+'3'!Z30+'2'!Z30+'6'!Z30+'5'!Z30+'4'!Z30+'8'!Z30+'7'!Z30+'10'!Z30+'9'!Z30+'11'!Z30+'12'!Z30+'13'!Z30+'15'!Z30+'14'!Z30+'16'!Z30+'17'!Z30+'19'!Z30+'20'!Z30+'22'!Z30+'18'!Z30+'21'!Z30+'25'!Z30+'23'!Z30+'26'!Z30+'24'!Z30+'28'!Z30+'27'!Z30+'29'!Z30+'31'!Z30+'30'!Z30</f>
        <v>0</v>
      </c>
      <c r="AA30" s="52">
        <f>+'1'!AA30+'3'!AA30+'2'!AA30+'6'!AA30+'5'!AA30+'4'!AA30+'8'!AA30+'7'!AA30+'10'!AA30+'9'!AA30+'11'!AA30+'12'!AA30+'13'!AA30+'15'!AA30+'14'!AA30+'16'!AA30+'17'!AA30+'19'!AA30+'20'!AA30+'22'!AA30+'18'!AA30+'21'!AA30+'25'!AA30+'23'!AA30+'26'!AA30+'24'!AA30+'28'!AA30+'27'!AA30+'29'!AA30+'31'!AA30+'30'!AA30</f>
        <v>0</v>
      </c>
      <c r="AB30" s="52">
        <f>+'1'!AB30+'3'!AB30+'2'!AB30+'6'!AB30+'5'!AB30+'4'!AB30+'8'!AB30+'7'!AB30+'10'!AB30+'9'!AB30+'11'!AB30+'12'!AB30+'13'!AB30+'15'!AB30+'14'!AB30+'16'!AB30+'17'!AB30+'19'!AB30+'20'!AB30+'22'!AB30+'18'!AB30+'21'!AB30+'25'!AB30+'23'!AB30+'26'!AB30+'24'!AB30+'28'!AB30+'27'!AB30+'29'!AB30+'31'!AB30+'30'!AB30</f>
        <v>0</v>
      </c>
      <c r="AC30" s="52">
        <f>+'1'!AC30+'3'!AC30+'2'!AC30+'6'!AC30+'5'!AC30+'4'!AC30+'8'!AC30+'7'!AC30+'10'!AC30+'9'!AC30+'11'!AC30+'12'!AC30+'13'!AC30+'15'!AC30+'14'!AC30+'16'!AC30+'17'!AC30+'19'!AC30+'20'!AC30+'22'!AC30+'18'!AC30+'21'!AC30+'25'!AC30+'23'!AC30+'26'!AC30+'24'!AC30+'28'!AC30+'27'!AC30+'29'!AC30+'31'!AC30+'30'!AC30</f>
        <v>7</v>
      </c>
      <c r="AD30" s="52">
        <f>+'1'!AD30+'3'!AD30+'2'!AD30+'6'!AD30+'5'!AD30+'4'!AD30+'8'!AD30+'7'!AD30+'10'!AD30+'9'!AD30+'11'!AD30+'12'!AD30+'13'!AD30+'15'!AD30+'14'!AD30+'16'!AD30+'17'!AD30+'19'!AD30+'20'!AD30+'22'!AD30+'18'!AD30+'21'!AD30+'25'!AD30+'23'!AD30+'26'!AD30+'24'!AD30+'28'!AD30+'27'!AD30+'29'!AD30+'31'!AD30+'30'!AD30</f>
        <v>0</v>
      </c>
      <c r="AE30" s="52">
        <f>+'1'!AE30+'3'!AE30+'2'!AE30+'6'!AE30+'5'!AE30+'4'!AE30+'8'!AE30+'7'!AE30+'10'!AE30+'9'!AE30+'11'!AE30+'12'!AE30+'13'!AE30+'15'!AE30+'14'!AE30+'16'!AE30+'17'!AE30+'19'!AE30+'20'!AE30+'22'!AE30+'18'!AE30+'21'!AE30+'25'!AE30+'23'!AE30+'26'!AE30+'24'!AE30+'28'!AE30+'27'!AE30+'29'!AE30+'31'!AE30+'30'!AE30</f>
        <v>0</v>
      </c>
      <c r="AF30" s="52">
        <f>+'1'!AF30+'3'!AF30+'2'!AF30+'6'!AF30+'5'!AF30+'4'!AF30+'8'!AF30+'7'!AF30+'10'!AF30+'9'!AF30+'11'!AF30+'12'!AF30+'13'!AF30+'15'!AF30+'14'!AF30+'16'!AF30+'17'!AF30+'19'!AF30+'20'!AF30+'22'!AF30+'18'!AF30+'21'!AF30+'25'!AF30+'23'!AF30+'26'!AF30+'24'!AF30+'28'!AF30+'27'!AF30+'29'!AF30+'31'!AF30+'30'!AF30</f>
        <v>0</v>
      </c>
      <c r="AG30" s="52">
        <f>+'1'!AG30+'3'!AG30+'2'!AG30+'6'!AG30+'5'!AG30+'4'!AG30+'8'!AG30+'7'!AG30+'10'!AG30+'9'!AG30+'11'!AG30+'12'!AG30+'13'!AG30+'15'!AG30+'14'!AG30+'16'!AG30+'17'!AG30+'19'!AG30+'20'!AG30+'22'!AG30+'18'!AG30+'21'!AG30+'25'!AG30+'23'!AG30+'26'!AG30+'24'!AG30+'28'!AG30+'27'!AG30+'29'!AG30+'31'!AG30+'30'!AG30</f>
        <v>0</v>
      </c>
      <c r="AH30" s="52">
        <f>+'1'!AH30+'3'!AH30+'2'!AH30+'6'!AH30+'5'!AH30+'4'!AH30+'8'!AH30+'7'!AH30+'10'!AH30+'9'!AH30+'11'!AH30+'12'!AH30+'13'!AH30+'15'!AH30+'14'!AH30+'16'!AH30+'17'!AH30+'19'!AH30+'20'!AH30+'22'!AH30+'18'!AH30+'21'!AH30+'25'!AH30+'23'!AH30+'26'!AH30+'24'!AH30+'28'!AH30+'27'!AH30+'29'!AH30+'31'!AH30+'30'!AH30</f>
        <v>0</v>
      </c>
      <c r="AI30" s="55">
        <f>+'1'!AI30+'3'!AI30+'2'!AI30+'6'!AI30+'5'!AI30+'4'!AI30+'8'!AI30+'7'!AI30+'10'!AI30+'9'!AI30+'11'!AI30+'12'!AI30+'13'!AI30+'15'!AI30+'14'!AI30+'16'!AI30+'17'!AI30+'19'!AI30+'20'!AI30+'22'!AI30+'18'!AI30+'21'!AI30+'25'!AI30+'23'!AI30+'26'!AI30+'24'!AI30+'28'!AI30+'27'!AI30+'29'!AI30+'31'!AI30+'30'!AI30</f>
        <v>6</v>
      </c>
      <c r="AJ30" s="58">
        <f>+'1'!AJ30+'3'!AJ30+'2'!AJ30+'6'!AJ30+'5'!AJ30+'4'!AJ30+'8'!AJ30+'7'!AJ30+'10'!AJ30+'9'!AJ30+'11'!AJ30+'12'!AJ30+'13'!AJ30+'15'!AJ30+'14'!AJ30+'16'!AJ30+'17'!AJ30+'19'!AJ30+'20'!AJ30+'22'!AJ30+'18'!AJ30+'21'!AJ30+'25'!AJ30+'23'!AJ30+'26'!AJ30+'24'!AJ30+'28'!AJ30+'27'!AJ30+'29'!AJ30+'31'!AJ30+'30'!AJ30</f>
        <v>0</v>
      </c>
      <c r="AK30" s="55">
        <f>+'1'!AK30+'3'!AK30+'2'!AK30+'6'!AK30+'5'!AK30+'4'!AK30+'8'!AK30+'7'!AK30+'10'!AK30+'9'!AK30+'11'!AK30+'12'!AK30+'13'!AK30+'15'!AK30+'14'!AK30+'16'!AK30+'17'!AK30+'19'!AK30+'20'!AK30+'22'!AK30+'18'!AK30+'21'!AK30+'25'!AK30+'23'!AK30+'26'!AK30+'24'!AK30+'28'!AK30+'27'!AK30+'29'!AK30+'31'!AK30+'30'!AK30</f>
        <v>0</v>
      </c>
      <c r="AL30" s="66">
        <f t="shared" si="4"/>
        <v>19</v>
      </c>
      <c r="AM30" s="28" t="str">
        <f t="shared" si="5"/>
        <v>OK</v>
      </c>
    </row>
    <row r="31" spans="1:39" customFormat="1" hidden="1">
      <c r="A31" s="80" t="s">
        <v>72</v>
      </c>
      <c r="B31" s="77">
        <v>10146</v>
      </c>
      <c r="C31" s="17" t="s">
        <v>47</v>
      </c>
      <c r="D31" s="69"/>
      <c r="E31" s="18"/>
      <c r="F31" s="18"/>
      <c r="G31" s="19"/>
      <c r="H31" s="20">
        <f>+'1'!H31+'3'!H31+'2'!H31+'6'!H31+'5'!H31+'4'!H31+'8'!H31+'7'!H31+'10'!H31+'9'!H31+'11'!H31+'12'!H31+'13'!H31+'15'!H31+'14'!H31+'16'!H31+'17'!H31+'19'!H31+'20'!H31+'22'!H31+'18'!H31+'21'!H31+'25'!H31+'23'!H31+'26'!H31+'24'!H31+'28'!H31+'27'!H31+'29'!H31+'31'!H31+'30'!H31</f>
        <v>0</v>
      </c>
      <c r="I31" s="21">
        <f>+'1'!I31+'3'!I31+'2'!I31+'6'!I31+'5'!I31+'4'!I31+'8'!I31+'7'!I31+'10'!I31+'9'!I31+'11'!I31+'12'!I31+'13'!I31+'15'!I31+'14'!I31+'16'!I31+'17'!I31+'19'!I31+'20'!I31+'22'!I31+'18'!I31+'21'!I31+'25'!I31+'23'!I31+'26'!I31+'24'!I31+'28'!I31+'27'!I31+'29'!I31+'31'!I31+'30'!I31</f>
        <v>0</v>
      </c>
      <c r="J31" s="21"/>
      <c r="K31" s="16"/>
      <c r="L31" s="21">
        <f>+'1'!L31+'3'!L31+'2'!L31+'6'!L31+'5'!L31+'4'!L31+'8'!L31+'7'!L31+'10'!L31+'9'!L31+'11'!L31+'12'!L31+'13'!L31+'15'!L31+'14'!L31+'16'!L31+'17'!L31+'19'!L31+'20'!L31+'22'!L31+'18'!L31+'21'!L31+'25'!L31+'23'!L31+'26'!L31+'24'!L31+'28'!L31+'27'!L31+'29'!L31+'31'!L31+'30'!L31</f>
        <v>0</v>
      </c>
      <c r="M31" s="21">
        <f>+'1'!M31+'3'!M31+'2'!M31+'6'!M31+'5'!M31+'4'!M31+'8'!M31+'7'!M31+'10'!M31+'9'!M31+'11'!M31+'12'!M31+'13'!M31+'15'!M31+'14'!M31+'16'!M31+'17'!M31+'19'!M31+'20'!M31+'22'!M31+'18'!M31+'21'!M31+'25'!M31+'23'!M31+'26'!M31+'24'!M31+'28'!M31+'27'!M31+'29'!M31+'31'!M31+'30'!M31</f>
        <v>0</v>
      </c>
      <c r="N31" s="21">
        <f>+'1'!N31+'3'!N31+'2'!N31+'6'!N31+'5'!N31+'4'!N31+'8'!N31+'7'!N31+'10'!N31+'9'!N31+'11'!N31+'12'!N31+'13'!N31+'15'!N31+'14'!N31+'16'!N31+'17'!N31+'19'!N31+'20'!N31+'22'!N31+'18'!N31+'21'!N31+'25'!N31+'23'!N31+'26'!N31+'24'!N31+'28'!N31+'27'!N31+'29'!N31+'31'!N31+'30'!N31</f>
        <v>0</v>
      </c>
      <c r="O31" s="21">
        <f>+'1'!O31+'3'!O31+'2'!O31+'6'!O31+'5'!O31+'4'!O31+'8'!O31+'7'!O31+'10'!O31+'9'!O31+'11'!O31+'12'!O31+'13'!O31+'15'!O31+'14'!O31+'16'!O31+'17'!O31+'19'!O31+'20'!O31+'22'!O31+'18'!O31+'21'!O31+'25'!O31+'23'!O31+'26'!O31+'24'!O31+'28'!O31+'27'!O31+'29'!O31+'31'!O31+'30'!O31</f>
        <v>0</v>
      </c>
      <c r="P31" s="21">
        <f>+'1'!P31+'3'!P31+'2'!P31+'6'!P31+'5'!P31+'4'!P31+'8'!P31+'7'!P31+'10'!P31+'9'!P31+'11'!P31+'12'!P31+'13'!P31+'15'!P31+'14'!P31+'16'!P31+'17'!P31+'19'!P31+'20'!P31+'22'!P31+'18'!P31+'21'!P31+'25'!P31+'23'!P31+'26'!P31+'24'!P31+'28'!P31+'27'!P31+'29'!P31+'31'!P31+'30'!P31</f>
        <v>0</v>
      </c>
      <c r="Q31" s="21">
        <f>+'1'!Q31+'3'!Q31+'2'!Q31+'6'!Q31+'5'!Q31+'4'!Q31+'8'!Q31+'7'!Q31+'10'!Q31+'9'!Q31+'11'!Q31+'12'!Q31+'13'!Q31+'15'!Q31+'14'!Q31+'16'!Q31+'17'!Q31+'19'!Q31+'20'!Q31+'22'!Q31+'18'!Q31+'21'!Q31+'25'!Q31+'23'!Q31+'26'!Q31+'24'!Q31+'28'!Q31+'27'!Q31+'29'!Q31+'31'!Q31+'30'!Q31</f>
        <v>0</v>
      </c>
      <c r="R31" s="21">
        <f>+'1'!R31+'3'!R31+'2'!R31+'6'!R31+'5'!R31+'4'!R31+'8'!R31+'7'!R31+'10'!R31+'9'!R31+'11'!R31+'12'!R31+'13'!R31+'15'!R31+'14'!R31+'16'!R31+'17'!R31+'19'!R31+'20'!R31+'22'!R31+'18'!R31+'21'!R31+'25'!R31+'23'!R31+'26'!R31+'24'!R31+'28'!R31+'27'!R31+'29'!R31+'31'!R31+'30'!R31</f>
        <v>0</v>
      </c>
      <c r="S31" s="21">
        <f>+'1'!S31+'3'!S31+'2'!S31+'6'!S31+'5'!S31+'4'!S31+'8'!S31+'7'!S31+'10'!S31+'9'!S31+'11'!S31+'12'!S31+'13'!S31+'15'!S31+'14'!S31+'16'!S31+'17'!S31+'19'!S31+'20'!S31+'22'!S31+'18'!S31+'21'!S31+'25'!S31+'23'!S31+'26'!S31+'24'!S31+'28'!S31+'27'!S31+'29'!S31+'31'!S31+'30'!S31</f>
        <v>0</v>
      </c>
      <c r="T31" s="42">
        <f>+'1'!T31+'3'!T31+'2'!T31+'6'!T31+'5'!T31+'4'!T31+'8'!T31+'7'!T31+'10'!T31+'9'!T31+'11'!T31+'12'!T31+'13'!T31+'15'!T31+'14'!T31+'16'!T31+'17'!T31+'19'!T31+'20'!T31+'22'!T31+'18'!T31+'21'!T31+'25'!T31+'23'!T31+'26'!T31+'24'!T31+'28'!T31+'27'!T31+'29'!T31+'31'!T31+'30'!T31</f>
        <v>0</v>
      </c>
      <c r="U31" s="51">
        <f>+'1'!U31+'3'!U31+'2'!U31+'6'!U31+'5'!U31+'4'!U31+'8'!U31+'7'!U31+'10'!U31+'9'!U31+'11'!U31+'12'!U31+'13'!U31+'15'!U31+'14'!U31+'16'!U31+'17'!U31+'19'!U31+'20'!U31+'22'!U31+'18'!U31+'21'!U31+'25'!U31+'23'!U31+'26'!U31+'24'!U31+'28'!U31+'27'!U31+'29'!U31+'31'!U31+'30'!U31</f>
        <v>0</v>
      </c>
      <c r="V31" s="51">
        <f>+'1'!V31+'3'!V31+'2'!V31+'6'!V31+'5'!V31+'4'!V31+'8'!V31+'7'!V31+'10'!V31+'9'!V31+'11'!V31+'12'!V31+'13'!V31+'15'!V31+'14'!V31+'16'!V31+'17'!V31+'19'!V31+'20'!V31+'22'!V31+'18'!V31+'21'!V31+'25'!V31+'23'!V31+'26'!V31+'24'!V31+'28'!V31+'27'!V31+'29'!V31+'31'!V31+'30'!V31</f>
        <v>0</v>
      </c>
      <c r="W31" s="51">
        <f>+'1'!W31+'3'!W31+'2'!W31+'6'!W31+'5'!W31+'4'!W31+'8'!W31+'7'!W31+'10'!W31+'9'!W31+'11'!W31+'12'!W31+'13'!W31+'15'!W31+'14'!W31+'16'!W31+'17'!W31+'19'!W31+'20'!W31+'22'!W31+'18'!W31+'21'!W31+'25'!W31+'23'!W31+'26'!W31+'24'!W31+'28'!W31+'27'!W31+'29'!W31+'31'!W31+'30'!W31</f>
        <v>0</v>
      </c>
      <c r="X31" s="51">
        <f>+'1'!X31+'3'!X31+'2'!X31+'6'!X31+'5'!X31+'4'!X31+'8'!X31+'7'!X31+'10'!X31+'9'!X31+'11'!X31+'12'!X31+'13'!X31+'15'!X31+'14'!X31+'16'!X31+'17'!X31+'19'!X31+'20'!X31+'22'!X31+'18'!X31+'21'!X31+'25'!X31+'23'!X31+'26'!X31+'24'!X31+'28'!X31+'27'!X31+'29'!X31+'31'!X31+'30'!X31</f>
        <v>0</v>
      </c>
      <c r="Y31" s="51">
        <f>+'1'!Y31+'3'!Y31+'2'!Y31+'6'!Y31+'5'!Y31+'4'!Y31+'8'!Y31+'7'!Y31+'10'!Y31+'9'!Y31+'11'!Y31+'12'!Y31+'13'!Y31+'15'!Y31+'14'!Y31+'16'!Y31+'17'!Y31+'19'!Y31+'20'!Y31+'22'!Y31+'18'!Y31+'21'!Y31+'25'!Y31+'23'!Y31+'26'!Y31+'24'!Y31+'28'!Y31+'27'!Y31+'29'!Y31+'31'!Y31+'30'!Y31</f>
        <v>0</v>
      </c>
      <c r="Z31" s="51">
        <f>+'1'!Z31+'3'!Z31+'2'!Z31+'6'!Z31+'5'!Z31+'4'!Z31+'8'!Z31+'7'!Z31+'10'!Z31+'9'!Z31+'11'!Z31+'12'!Z31+'13'!Z31+'15'!Z31+'14'!Z31+'16'!Z31+'17'!Z31+'19'!Z31+'20'!Z31+'22'!Z31+'18'!Z31+'21'!Z31+'25'!Z31+'23'!Z31+'26'!Z31+'24'!Z31+'28'!Z31+'27'!Z31+'29'!Z31+'31'!Z31+'30'!Z31</f>
        <v>0</v>
      </c>
      <c r="AA31" s="51">
        <f>+'1'!AA31+'3'!AA31+'2'!AA31+'6'!AA31+'5'!AA31+'4'!AA31+'8'!AA31+'7'!AA31+'10'!AA31+'9'!AA31+'11'!AA31+'12'!AA31+'13'!AA31+'15'!AA31+'14'!AA31+'16'!AA31+'17'!AA31+'19'!AA31+'20'!AA31+'22'!AA31+'18'!AA31+'21'!AA31+'25'!AA31+'23'!AA31+'26'!AA31+'24'!AA31+'28'!AA31+'27'!AA31+'29'!AA31+'31'!AA31+'30'!AA31</f>
        <v>0</v>
      </c>
      <c r="AB31" s="51">
        <f>+'1'!AB31+'3'!AB31+'2'!AB31+'6'!AB31+'5'!AB31+'4'!AB31+'8'!AB31+'7'!AB31+'10'!AB31+'9'!AB31+'11'!AB31+'12'!AB31+'13'!AB31+'15'!AB31+'14'!AB31+'16'!AB31+'17'!AB31+'19'!AB31+'20'!AB31+'22'!AB31+'18'!AB31+'21'!AB31+'25'!AB31+'23'!AB31+'26'!AB31+'24'!AB31+'28'!AB31+'27'!AB31+'29'!AB31+'31'!AB31+'30'!AB31</f>
        <v>0</v>
      </c>
      <c r="AC31" s="51">
        <f>+'1'!AC31+'3'!AC31+'2'!AC31+'6'!AC31+'5'!AC31+'4'!AC31+'8'!AC31+'7'!AC31+'10'!AC31+'9'!AC31+'11'!AC31+'12'!AC31+'13'!AC31+'15'!AC31+'14'!AC31+'16'!AC31+'17'!AC31+'19'!AC31+'20'!AC31+'22'!AC31+'18'!AC31+'21'!AC31+'25'!AC31+'23'!AC31+'26'!AC31+'24'!AC31+'28'!AC31+'27'!AC31+'29'!AC31+'31'!AC31+'30'!AC31</f>
        <v>0</v>
      </c>
      <c r="AD31" s="51">
        <f>+'1'!AD31+'3'!AD31+'2'!AD31+'6'!AD31+'5'!AD31+'4'!AD31+'8'!AD31+'7'!AD31+'10'!AD31+'9'!AD31+'11'!AD31+'12'!AD31+'13'!AD31+'15'!AD31+'14'!AD31+'16'!AD31+'17'!AD31+'19'!AD31+'20'!AD31+'22'!AD31+'18'!AD31+'21'!AD31+'25'!AD31+'23'!AD31+'26'!AD31+'24'!AD31+'28'!AD31+'27'!AD31+'29'!AD31+'31'!AD31+'30'!AD31</f>
        <v>0</v>
      </c>
      <c r="AE31" s="51">
        <f>+'1'!AE31+'3'!AE31+'2'!AE31+'6'!AE31+'5'!AE31+'4'!AE31+'8'!AE31+'7'!AE31+'10'!AE31+'9'!AE31+'11'!AE31+'12'!AE31+'13'!AE31+'15'!AE31+'14'!AE31+'16'!AE31+'17'!AE31+'19'!AE31+'20'!AE31+'22'!AE31+'18'!AE31+'21'!AE31+'25'!AE31+'23'!AE31+'26'!AE31+'24'!AE31+'28'!AE31+'27'!AE31+'29'!AE31+'31'!AE31+'30'!AE31</f>
        <v>0</v>
      </c>
      <c r="AF31" s="51">
        <f>+'1'!AF31+'3'!AF31+'2'!AF31+'6'!AF31+'5'!AF31+'4'!AF31+'8'!AF31+'7'!AF31+'10'!AF31+'9'!AF31+'11'!AF31+'12'!AF31+'13'!AF31+'15'!AF31+'14'!AF31+'16'!AF31+'17'!AF31+'19'!AF31+'20'!AF31+'22'!AF31+'18'!AF31+'21'!AF31+'25'!AF31+'23'!AF31+'26'!AF31+'24'!AF31+'28'!AF31+'27'!AF31+'29'!AF31+'31'!AF31+'30'!AF31</f>
        <v>0</v>
      </c>
      <c r="AG31" s="51">
        <f>+'1'!AG31+'3'!AG31+'2'!AG31+'6'!AG31+'5'!AG31+'4'!AG31+'8'!AG31+'7'!AG31+'10'!AG31+'9'!AG31+'11'!AG31+'12'!AG31+'13'!AG31+'15'!AG31+'14'!AG31+'16'!AG31+'17'!AG31+'19'!AG31+'20'!AG31+'22'!AG31+'18'!AG31+'21'!AG31+'25'!AG31+'23'!AG31+'26'!AG31+'24'!AG31+'28'!AG31+'27'!AG31+'29'!AG31+'31'!AG31+'30'!AG31</f>
        <v>0</v>
      </c>
      <c r="AH31" s="51">
        <f>+'1'!AH31+'3'!AH31+'2'!AH31+'6'!AH31+'5'!AH31+'4'!AH31+'8'!AH31+'7'!AH31+'10'!AH31+'9'!AH31+'11'!AH31+'12'!AH31+'13'!AH31+'15'!AH31+'14'!AH31+'16'!AH31+'17'!AH31+'19'!AH31+'20'!AH31+'22'!AH31+'18'!AH31+'21'!AH31+'25'!AH31+'23'!AH31+'26'!AH31+'24'!AH31+'28'!AH31+'27'!AH31+'29'!AH31+'31'!AH31+'30'!AH31</f>
        <v>0</v>
      </c>
      <c r="AI31" s="54">
        <f>+'1'!AI31+'3'!AI31+'2'!AI31+'6'!AI31+'5'!AI31+'4'!AI31+'8'!AI31+'7'!AI31+'10'!AI31+'9'!AI31+'11'!AI31+'12'!AI31+'13'!AI31+'15'!AI31+'14'!AI31+'16'!AI31+'17'!AI31+'19'!AI31+'20'!AI31+'22'!AI31+'18'!AI31+'21'!AI31+'25'!AI31+'23'!AI31+'26'!AI31+'24'!AI31+'28'!AI31+'27'!AI31+'29'!AI31+'31'!AI31+'30'!AI31</f>
        <v>0</v>
      </c>
      <c r="AJ31" s="57">
        <f>+'1'!AJ31+'3'!AJ31+'2'!AJ31+'6'!AJ31+'5'!AJ31+'4'!AJ31+'8'!AJ31+'7'!AJ31+'10'!AJ31+'9'!AJ31+'11'!AJ31+'12'!AJ31+'13'!AJ31+'15'!AJ31+'14'!AJ31+'16'!AJ31+'17'!AJ31+'19'!AJ31+'20'!AJ31+'22'!AJ31+'18'!AJ31+'21'!AJ31+'25'!AJ31+'23'!AJ31+'26'!AJ31+'24'!AJ31+'28'!AJ31+'27'!AJ31+'29'!AJ31+'31'!AJ31+'30'!AJ31</f>
        <v>0</v>
      </c>
      <c r="AK31" s="54">
        <f>+'1'!AK31+'3'!AK31+'2'!AK31+'6'!AK31+'5'!AK31+'4'!AK31+'8'!AK31+'7'!AK31+'10'!AK31+'9'!AK31+'11'!AK31+'12'!AK31+'13'!AK31+'15'!AK31+'14'!AK31+'16'!AK31+'17'!AK31+'19'!AK31+'20'!AK31+'22'!AK31+'18'!AK31+'21'!AK31+'25'!AK31+'23'!AK31+'26'!AK31+'24'!AK31+'28'!AK31+'27'!AK31+'29'!AK31+'31'!AK31+'30'!AK31</f>
        <v>0</v>
      </c>
      <c r="AL31" s="65">
        <f t="shared" si="4"/>
        <v>0</v>
      </c>
      <c r="AM31" s="22" t="str">
        <f t="shared" si="5"/>
        <v>OK</v>
      </c>
    </row>
    <row r="32" spans="1:39" customFormat="1" hidden="1">
      <c r="A32" s="68" t="s">
        <v>73</v>
      </c>
      <c r="B32" s="78">
        <v>10143</v>
      </c>
      <c r="C32" s="23" t="s">
        <v>48</v>
      </c>
      <c r="D32" s="24"/>
      <c r="E32" s="24"/>
      <c r="F32" s="24"/>
      <c r="G32" s="25"/>
      <c r="H32" s="26">
        <f>+'1'!H32+'3'!H32+'2'!H32+'6'!H32+'5'!H32+'4'!H32+'8'!H32+'7'!H32+'10'!H32+'9'!H32+'11'!H32+'12'!H32+'13'!H32+'15'!H32+'14'!H32+'16'!H32+'17'!H32+'19'!H32+'20'!H32+'22'!H32+'18'!H32+'21'!H32+'25'!H32+'23'!H32+'26'!H32+'24'!H32+'28'!H32+'27'!H32+'29'!H32+'31'!H32+'30'!H32</f>
        <v>0</v>
      </c>
      <c r="I32" s="27">
        <f>+'1'!I32+'3'!I32+'2'!I32+'6'!I32+'5'!I32+'4'!I32+'8'!I32+'7'!I32+'10'!I32+'9'!I32+'11'!I32+'12'!I32+'13'!I32+'15'!I32+'14'!I32+'16'!I32+'17'!I32+'19'!I32+'20'!I32+'22'!I32+'18'!I32+'21'!I32+'25'!I32+'23'!I32+'26'!I32+'24'!I32+'28'!I32+'27'!I32+'29'!I32+'31'!I32+'30'!I32</f>
        <v>0</v>
      </c>
      <c r="J32" s="27"/>
      <c r="K32" s="16"/>
      <c r="L32" s="27">
        <f>+'1'!L32+'3'!L32+'2'!L32+'6'!L32+'5'!L32+'4'!L32+'8'!L32+'7'!L32+'10'!L32+'9'!L32+'11'!L32+'12'!L32+'13'!L32+'15'!L32+'14'!L32+'16'!L32+'17'!L32+'19'!L32+'20'!L32+'22'!L32+'18'!L32+'21'!L32+'25'!L32+'23'!L32+'26'!L32+'24'!L32+'28'!L32+'27'!L32+'29'!L32+'31'!L32+'30'!L32</f>
        <v>0</v>
      </c>
      <c r="M32" s="27">
        <f>+'1'!M32+'3'!M32+'2'!M32+'6'!M32+'5'!M32+'4'!M32+'8'!M32+'7'!M32+'10'!M32+'9'!M32+'11'!M32+'12'!M32+'13'!M32+'15'!M32+'14'!M32+'16'!M32+'17'!M32+'19'!M32+'20'!M32+'22'!M32+'18'!M32+'21'!M32+'25'!M32+'23'!M32+'26'!M32+'24'!M32+'28'!M32+'27'!M32+'29'!M32+'31'!M32+'30'!M32</f>
        <v>0</v>
      </c>
      <c r="N32" s="27">
        <f>+'1'!N32+'3'!N32+'2'!N32+'6'!N32+'5'!N32+'4'!N32+'8'!N32+'7'!N32+'10'!N32+'9'!N32+'11'!N32+'12'!N32+'13'!N32+'15'!N32+'14'!N32+'16'!N32+'17'!N32+'19'!N32+'20'!N32+'22'!N32+'18'!N32+'21'!N32+'25'!N32+'23'!N32+'26'!N32+'24'!N32+'28'!N32+'27'!N32+'29'!N32+'31'!N32+'30'!N32</f>
        <v>0</v>
      </c>
      <c r="O32" s="27">
        <f>+'1'!O32+'3'!O32+'2'!O32+'6'!O32+'5'!O32+'4'!O32+'8'!O32+'7'!O32+'10'!O32+'9'!O32+'11'!O32+'12'!O32+'13'!O32+'15'!O32+'14'!O32+'16'!O32+'17'!O32+'19'!O32+'20'!O32+'22'!O32+'18'!O32+'21'!O32+'25'!O32+'23'!O32+'26'!O32+'24'!O32+'28'!O32+'27'!O32+'29'!O32+'31'!O32+'30'!O32</f>
        <v>0</v>
      </c>
      <c r="P32" s="27">
        <f>+'1'!P32+'3'!P32+'2'!P32+'6'!P32+'5'!P32+'4'!P32+'8'!P32+'7'!P32+'10'!P32+'9'!P32+'11'!P32+'12'!P32+'13'!P32+'15'!P32+'14'!P32+'16'!P32+'17'!P32+'19'!P32+'20'!P32+'22'!P32+'18'!P32+'21'!P32+'25'!P32+'23'!P32+'26'!P32+'24'!P32+'28'!P32+'27'!P32+'29'!P32+'31'!P32+'30'!P32</f>
        <v>0</v>
      </c>
      <c r="Q32" s="27">
        <f>+'1'!Q32+'3'!Q32+'2'!Q32+'6'!Q32+'5'!Q32+'4'!Q32+'8'!Q32+'7'!Q32+'10'!Q32+'9'!Q32+'11'!Q32+'12'!Q32+'13'!Q32+'15'!Q32+'14'!Q32+'16'!Q32+'17'!Q32+'19'!Q32+'20'!Q32+'22'!Q32+'18'!Q32+'21'!Q32+'25'!Q32+'23'!Q32+'26'!Q32+'24'!Q32+'28'!Q32+'27'!Q32+'29'!Q32+'31'!Q32+'30'!Q32</f>
        <v>0</v>
      </c>
      <c r="R32" s="27">
        <f>+'1'!R32+'3'!R32+'2'!R32+'6'!R32+'5'!R32+'4'!R32+'8'!R32+'7'!R32+'10'!R32+'9'!R32+'11'!R32+'12'!R32+'13'!R32+'15'!R32+'14'!R32+'16'!R32+'17'!R32+'19'!R32+'20'!R32+'22'!R32+'18'!R32+'21'!R32+'25'!R32+'23'!R32+'26'!R32+'24'!R32+'28'!R32+'27'!R32+'29'!R32+'31'!R32+'30'!R32</f>
        <v>0</v>
      </c>
      <c r="S32" s="27">
        <f>+'1'!S32+'3'!S32+'2'!S32+'6'!S32+'5'!S32+'4'!S32+'8'!S32+'7'!S32+'10'!S32+'9'!S32+'11'!S32+'12'!S32+'13'!S32+'15'!S32+'14'!S32+'16'!S32+'17'!S32+'19'!S32+'20'!S32+'22'!S32+'18'!S32+'21'!S32+'25'!S32+'23'!S32+'26'!S32+'24'!S32+'28'!S32+'27'!S32+'29'!S32+'31'!S32+'30'!S32</f>
        <v>0</v>
      </c>
      <c r="T32" s="43">
        <f>+'1'!T32+'3'!T32+'2'!T32+'6'!T32+'5'!T32+'4'!T32+'8'!T32+'7'!T32+'10'!T32+'9'!T32+'11'!T32+'12'!T32+'13'!T32+'15'!T32+'14'!T32+'16'!T32+'17'!T32+'19'!T32+'20'!T32+'22'!T32+'18'!T32+'21'!T32+'25'!T32+'23'!T32+'26'!T32+'24'!T32+'28'!T32+'27'!T32+'29'!T32+'31'!T32+'30'!T32</f>
        <v>0</v>
      </c>
      <c r="U32" s="52">
        <f>+'1'!U32+'3'!U32+'2'!U32+'6'!U32+'5'!U32+'4'!U32+'8'!U32+'7'!U32+'10'!U32+'9'!U32+'11'!U32+'12'!U32+'13'!U32+'15'!U32+'14'!U32+'16'!U32+'17'!U32+'19'!U32+'20'!U32+'22'!U32+'18'!U32+'21'!U32+'25'!U32+'23'!U32+'26'!U32+'24'!U32+'28'!U32+'27'!U32+'29'!U32+'31'!U32+'30'!U32</f>
        <v>0</v>
      </c>
      <c r="V32" s="52">
        <f>+'1'!V32+'3'!V32+'2'!V32+'6'!V32+'5'!V32+'4'!V32+'8'!V32+'7'!V32+'10'!V32+'9'!V32+'11'!V32+'12'!V32+'13'!V32+'15'!V32+'14'!V32+'16'!V32+'17'!V32+'19'!V32+'20'!V32+'22'!V32+'18'!V32+'21'!V32+'25'!V32+'23'!V32+'26'!V32+'24'!V32+'28'!V32+'27'!V32+'29'!V32+'31'!V32+'30'!V32</f>
        <v>0</v>
      </c>
      <c r="W32" s="52">
        <f>+'1'!W32+'3'!W32+'2'!W32+'6'!W32+'5'!W32+'4'!W32+'8'!W32+'7'!W32+'10'!W32+'9'!W32+'11'!W32+'12'!W32+'13'!W32+'15'!W32+'14'!W32+'16'!W32+'17'!W32+'19'!W32+'20'!W32+'22'!W32+'18'!W32+'21'!W32+'25'!W32+'23'!W32+'26'!W32+'24'!W32+'28'!W32+'27'!W32+'29'!W32+'31'!W32+'30'!W32</f>
        <v>0</v>
      </c>
      <c r="X32" s="52">
        <f>+'1'!X32+'3'!X32+'2'!X32+'6'!X32+'5'!X32+'4'!X32+'8'!X32+'7'!X32+'10'!X32+'9'!X32+'11'!X32+'12'!X32+'13'!X32+'15'!X32+'14'!X32+'16'!X32+'17'!X32+'19'!X32+'20'!X32+'22'!X32+'18'!X32+'21'!X32+'25'!X32+'23'!X32+'26'!X32+'24'!X32+'28'!X32+'27'!X32+'29'!X32+'31'!X32+'30'!X32</f>
        <v>0</v>
      </c>
      <c r="Y32" s="52">
        <f>+'1'!Y32+'3'!Y32+'2'!Y32+'6'!Y32+'5'!Y32+'4'!Y32+'8'!Y32+'7'!Y32+'10'!Y32+'9'!Y32+'11'!Y32+'12'!Y32+'13'!Y32+'15'!Y32+'14'!Y32+'16'!Y32+'17'!Y32+'19'!Y32+'20'!Y32+'22'!Y32+'18'!Y32+'21'!Y32+'25'!Y32+'23'!Y32+'26'!Y32+'24'!Y32+'28'!Y32+'27'!Y32+'29'!Y32+'31'!Y32+'30'!Y32</f>
        <v>0</v>
      </c>
      <c r="Z32" s="52">
        <f>+'1'!Z32+'3'!Z32+'2'!Z32+'6'!Z32+'5'!Z32+'4'!Z32+'8'!Z32+'7'!Z32+'10'!Z32+'9'!Z32+'11'!Z32+'12'!Z32+'13'!Z32+'15'!Z32+'14'!Z32+'16'!Z32+'17'!Z32+'19'!Z32+'20'!Z32+'22'!Z32+'18'!Z32+'21'!Z32+'25'!Z32+'23'!Z32+'26'!Z32+'24'!Z32+'28'!Z32+'27'!Z32+'29'!Z32+'31'!Z32+'30'!Z32</f>
        <v>0</v>
      </c>
      <c r="AA32" s="52">
        <f>+'1'!AA32+'3'!AA32+'2'!AA32+'6'!AA32+'5'!AA32+'4'!AA32+'8'!AA32+'7'!AA32+'10'!AA32+'9'!AA32+'11'!AA32+'12'!AA32+'13'!AA32+'15'!AA32+'14'!AA32+'16'!AA32+'17'!AA32+'19'!AA32+'20'!AA32+'22'!AA32+'18'!AA32+'21'!AA32+'25'!AA32+'23'!AA32+'26'!AA32+'24'!AA32+'28'!AA32+'27'!AA32+'29'!AA32+'31'!AA32+'30'!AA32</f>
        <v>0</v>
      </c>
      <c r="AB32" s="52">
        <f>+'1'!AB32+'3'!AB32+'2'!AB32+'6'!AB32+'5'!AB32+'4'!AB32+'8'!AB32+'7'!AB32+'10'!AB32+'9'!AB32+'11'!AB32+'12'!AB32+'13'!AB32+'15'!AB32+'14'!AB32+'16'!AB32+'17'!AB32+'19'!AB32+'20'!AB32+'22'!AB32+'18'!AB32+'21'!AB32+'25'!AB32+'23'!AB32+'26'!AB32+'24'!AB32+'28'!AB32+'27'!AB32+'29'!AB32+'31'!AB32+'30'!AB32</f>
        <v>0</v>
      </c>
      <c r="AC32" s="52">
        <f>+'1'!AC32+'3'!AC32+'2'!AC32+'6'!AC32+'5'!AC32+'4'!AC32+'8'!AC32+'7'!AC32+'10'!AC32+'9'!AC32+'11'!AC32+'12'!AC32+'13'!AC32+'15'!AC32+'14'!AC32+'16'!AC32+'17'!AC32+'19'!AC32+'20'!AC32+'22'!AC32+'18'!AC32+'21'!AC32+'25'!AC32+'23'!AC32+'26'!AC32+'24'!AC32+'28'!AC32+'27'!AC32+'29'!AC32+'31'!AC32+'30'!AC32</f>
        <v>0</v>
      </c>
      <c r="AD32" s="52">
        <f>+'1'!AD32+'3'!AD32+'2'!AD32+'6'!AD32+'5'!AD32+'4'!AD32+'8'!AD32+'7'!AD32+'10'!AD32+'9'!AD32+'11'!AD32+'12'!AD32+'13'!AD32+'15'!AD32+'14'!AD32+'16'!AD32+'17'!AD32+'19'!AD32+'20'!AD32+'22'!AD32+'18'!AD32+'21'!AD32+'25'!AD32+'23'!AD32+'26'!AD32+'24'!AD32+'28'!AD32+'27'!AD32+'29'!AD32+'31'!AD32+'30'!AD32</f>
        <v>0</v>
      </c>
      <c r="AE32" s="52">
        <f>+'1'!AE32+'3'!AE32+'2'!AE32+'6'!AE32+'5'!AE32+'4'!AE32+'8'!AE32+'7'!AE32+'10'!AE32+'9'!AE32+'11'!AE32+'12'!AE32+'13'!AE32+'15'!AE32+'14'!AE32+'16'!AE32+'17'!AE32+'19'!AE32+'20'!AE32+'22'!AE32+'18'!AE32+'21'!AE32+'25'!AE32+'23'!AE32+'26'!AE32+'24'!AE32+'28'!AE32+'27'!AE32+'29'!AE32+'31'!AE32+'30'!AE32</f>
        <v>0</v>
      </c>
      <c r="AF32" s="52">
        <f>+'1'!AF32+'3'!AF32+'2'!AF32+'6'!AF32+'5'!AF32+'4'!AF32+'8'!AF32+'7'!AF32+'10'!AF32+'9'!AF32+'11'!AF32+'12'!AF32+'13'!AF32+'15'!AF32+'14'!AF32+'16'!AF32+'17'!AF32+'19'!AF32+'20'!AF32+'22'!AF32+'18'!AF32+'21'!AF32+'25'!AF32+'23'!AF32+'26'!AF32+'24'!AF32+'28'!AF32+'27'!AF32+'29'!AF32+'31'!AF32+'30'!AF32</f>
        <v>0</v>
      </c>
      <c r="AG32" s="52">
        <f>+'1'!AG32+'3'!AG32+'2'!AG32+'6'!AG32+'5'!AG32+'4'!AG32+'8'!AG32+'7'!AG32+'10'!AG32+'9'!AG32+'11'!AG32+'12'!AG32+'13'!AG32+'15'!AG32+'14'!AG32+'16'!AG32+'17'!AG32+'19'!AG32+'20'!AG32+'22'!AG32+'18'!AG32+'21'!AG32+'25'!AG32+'23'!AG32+'26'!AG32+'24'!AG32+'28'!AG32+'27'!AG32+'29'!AG32+'31'!AG32+'30'!AG32</f>
        <v>0</v>
      </c>
      <c r="AH32" s="52">
        <f>+'1'!AH32+'3'!AH32+'2'!AH32+'6'!AH32+'5'!AH32+'4'!AH32+'8'!AH32+'7'!AH32+'10'!AH32+'9'!AH32+'11'!AH32+'12'!AH32+'13'!AH32+'15'!AH32+'14'!AH32+'16'!AH32+'17'!AH32+'19'!AH32+'20'!AH32+'22'!AH32+'18'!AH32+'21'!AH32+'25'!AH32+'23'!AH32+'26'!AH32+'24'!AH32+'28'!AH32+'27'!AH32+'29'!AH32+'31'!AH32+'30'!AH32</f>
        <v>0</v>
      </c>
      <c r="AI32" s="55">
        <f>+'1'!AI32+'3'!AI32+'2'!AI32+'6'!AI32+'5'!AI32+'4'!AI32+'8'!AI32+'7'!AI32+'10'!AI32+'9'!AI32+'11'!AI32+'12'!AI32+'13'!AI32+'15'!AI32+'14'!AI32+'16'!AI32+'17'!AI32+'19'!AI32+'20'!AI32+'22'!AI32+'18'!AI32+'21'!AI32+'25'!AI32+'23'!AI32+'26'!AI32+'24'!AI32+'28'!AI32+'27'!AI32+'29'!AI32+'31'!AI32+'30'!AI32</f>
        <v>0</v>
      </c>
      <c r="AJ32" s="58">
        <f>+'1'!AJ32+'3'!AJ32+'2'!AJ32+'6'!AJ32+'5'!AJ32+'4'!AJ32+'8'!AJ32+'7'!AJ32+'10'!AJ32+'9'!AJ32+'11'!AJ32+'12'!AJ32+'13'!AJ32+'15'!AJ32+'14'!AJ32+'16'!AJ32+'17'!AJ32+'19'!AJ32+'20'!AJ32+'22'!AJ32+'18'!AJ32+'21'!AJ32+'25'!AJ32+'23'!AJ32+'26'!AJ32+'24'!AJ32+'28'!AJ32+'27'!AJ32+'29'!AJ32+'31'!AJ32+'30'!AJ32</f>
        <v>0</v>
      </c>
      <c r="AK32" s="55">
        <f>+'1'!AK32+'3'!AK32+'2'!AK32+'6'!AK32+'5'!AK32+'4'!AK32+'8'!AK32+'7'!AK32+'10'!AK32+'9'!AK32+'11'!AK32+'12'!AK32+'13'!AK32+'15'!AK32+'14'!AK32+'16'!AK32+'17'!AK32+'19'!AK32+'20'!AK32+'22'!AK32+'18'!AK32+'21'!AK32+'25'!AK32+'23'!AK32+'26'!AK32+'24'!AK32+'28'!AK32+'27'!AK32+'29'!AK32+'31'!AK32+'30'!AK32</f>
        <v>0</v>
      </c>
      <c r="AL32" s="66">
        <f t="shared" si="4"/>
        <v>0</v>
      </c>
      <c r="AM32" s="28" t="str">
        <f t="shared" si="5"/>
        <v>OK</v>
      </c>
    </row>
    <row r="33" spans="1:39" customFormat="1">
      <c r="A33" s="80" t="s">
        <v>74</v>
      </c>
      <c r="B33" s="77">
        <v>10141</v>
      </c>
      <c r="C33" s="17" t="s">
        <v>50</v>
      </c>
      <c r="D33" s="69"/>
      <c r="E33" s="18"/>
      <c r="F33" s="18"/>
      <c r="G33" s="19"/>
      <c r="H33" s="20">
        <f>+'1'!H33+'3'!H33+'2'!H33+'6'!H33+'5'!H33+'4'!H33+'8'!H33+'7'!H33+'10'!H33+'9'!H33+'11'!H33+'12'!H33+'13'!H33+'15'!H33+'14'!H33+'16'!H33+'17'!H33+'19'!H33+'20'!H33+'22'!H33+'18'!H33+'21'!H33+'25'!H33+'23'!H33+'26'!H33+'24'!H33+'28'!H33+'27'!H33+'29'!H33+'31'!H33+'30'!H33</f>
        <v>19882</v>
      </c>
      <c r="I33" s="21">
        <f>+'1'!I33+'3'!I33+'2'!I33+'6'!I33+'5'!I33+'4'!I33+'8'!I33+'7'!I33+'10'!I33+'9'!I33+'11'!I33+'12'!I33+'13'!I33+'15'!I33+'14'!I33+'16'!I33+'17'!I33+'19'!I33+'20'!I33+'22'!I33+'18'!I33+'21'!I33+'25'!I33+'23'!I33+'26'!I33+'24'!I33+'28'!I33+'27'!I33+'29'!I33+'31'!I33+'30'!I33</f>
        <v>44</v>
      </c>
      <c r="J33" s="21"/>
      <c r="K33" s="16"/>
      <c r="L33" s="21">
        <f>+'1'!L33+'3'!L33+'2'!L33+'6'!L33+'5'!L33+'4'!L33+'8'!L33+'7'!L33+'10'!L33+'9'!L33+'11'!L33+'12'!L33+'13'!L33+'15'!L33+'14'!L33+'16'!L33+'17'!L33+'19'!L33+'20'!L33+'22'!L33+'18'!L33+'21'!L33+'25'!L33+'23'!L33+'26'!L33+'24'!L33+'28'!L33+'27'!L33+'29'!L33+'31'!L33+'30'!L33</f>
        <v>33</v>
      </c>
      <c r="M33" s="21">
        <f>+'1'!M33+'3'!M33+'2'!M33+'6'!M33+'5'!M33+'4'!M33+'8'!M33+'7'!M33+'10'!M33+'9'!M33+'11'!M33+'12'!M33+'13'!M33+'15'!M33+'14'!M33+'16'!M33+'17'!M33+'19'!M33+'20'!M33+'22'!M33+'18'!M33+'21'!M33+'25'!M33+'23'!M33+'26'!M33+'24'!M33+'28'!M33+'27'!M33+'29'!M33+'31'!M33+'30'!M33</f>
        <v>2</v>
      </c>
      <c r="N33" s="21">
        <f>+'1'!N33+'3'!N33+'2'!N33+'6'!N33+'5'!N33+'4'!N33+'8'!N33+'7'!N33+'10'!N33+'9'!N33+'11'!N33+'12'!N33+'13'!N33+'15'!N33+'14'!N33+'16'!N33+'17'!N33+'19'!N33+'20'!N33+'22'!N33+'18'!N33+'21'!N33+'25'!N33+'23'!N33+'26'!N33+'24'!N33+'28'!N33+'27'!N33+'29'!N33+'31'!N33+'30'!N33</f>
        <v>2</v>
      </c>
      <c r="O33" s="21">
        <f>+'1'!O33+'3'!O33+'2'!O33+'6'!O33+'5'!O33+'4'!O33+'8'!O33+'7'!O33+'10'!O33+'9'!O33+'11'!O33+'12'!O33+'13'!O33+'15'!O33+'14'!O33+'16'!O33+'17'!O33+'19'!O33+'20'!O33+'22'!O33+'18'!O33+'21'!O33+'25'!O33+'23'!O33+'26'!O33+'24'!O33+'28'!O33+'27'!O33+'29'!O33+'31'!O33+'30'!O33</f>
        <v>0</v>
      </c>
      <c r="P33" s="21">
        <f>+'1'!P33+'3'!P33+'2'!P33+'6'!P33+'5'!P33+'4'!P33+'8'!P33+'7'!P33+'10'!P33+'9'!P33+'11'!P33+'12'!P33+'13'!P33+'15'!P33+'14'!P33+'16'!P33+'17'!P33+'19'!P33+'20'!P33+'22'!P33+'18'!P33+'21'!P33+'25'!P33+'23'!P33+'26'!P33+'24'!P33+'28'!P33+'27'!P33+'29'!P33+'31'!P33+'30'!P33</f>
        <v>1</v>
      </c>
      <c r="Q33" s="21">
        <f>+'1'!Q33+'3'!Q33+'2'!Q33+'6'!Q33+'5'!Q33+'4'!Q33+'8'!Q33+'7'!Q33+'10'!Q33+'9'!Q33+'11'!Q33+'12'!Q33+'13'!Q33+'15'!Q33+'14'!Q33+'16'!Q33+'17'!Q33+'19'!Q33+'20'!Q33+'22'!Q33+'18'!Q33+'21'!Q33+'25'!Q33+'23'!Q33+'26'!Q33+'24'!Q33+'28'!Q33+'27'!Q33+'29'!Q33+'31'!Q33+'30'!Q33</f>
        <v>0</v>
      </c>
      <c r="R33" s="21">
        <f>+'1'!R33+'3'!R33+'2'!R33+'6'!R33+'5'!R33+'4'!R33+'8'!R33+'7'!R33+'10'!R33+'9'!R33+'11'!R33+'12'!R33+'13'!R33+'15'!R33+'14'!R33+'16'!R33+'17'!R33+'19'!R33+'20'!R33+'22'!R33+'18'!R33+'21'!R33+'25'!R33+'23'!R33+'26'!R33+'24'!R33+'28'!R33+'27'!R33+'29'!R33+'31'!R33+'30'!R33</f>
        <v>0</v>
      </c>
      <c r="S33" s="21">
        <f>+'1'!S33+'3'!S33+'2'!S33+'6'!S33+'5'!S33+'4'!S33+'8'!S33+'7'!S33+'10'!S33+'9'!S33+'11'!S33+'12'!S33+'13'!S33+'15'!S33+'14'!S33+'16'!S33+'17'!S33+'19'!S33+'20'!S33+'22'!S33+'18'!S33+'21'!S33+'25'!S33+'23'!S33+'26'!S33+'24'!S33+'28'!S33+'27'!S33+'29'!S33+'31'!S33+'30'!S33</f>
        <v>0</v>
      </c>
      <c r="T33" s="42">
        <f>+'1'!T33+'3'!T33+'2'!T33+'6'!T33+'5'!T33+'4'!T33+'8'!T33+'7'!T33+'10'!T33+'9'!T33+'11'!T33+'12'!T33+'13'!T33+'15'!T33+'14'!T33+'16'!T33+'17'!T33+'19'!T33+'20'!T33+'22'!T33+'18'!T33+'21'!T33+'25'!T33+'23'!T33+'26'!T33+'24'!T33+'28'!T33+'27'!T33+'29'!T33+'31'!T33+'30'!T33</f>
        <v>0</v>
      </c>
      <c r="U33" s="51">
        <f>+'1'!U33+'3'!U33+'2'!U33+'6'!U33+'5'!U33+'4'!U33+'8'!U33+'7'!U33+'10'!U33+'9'!U33+'11'!U33+'12'!U33+'13'!U33+'15'!U33+'14'!U33+'16'!U33+'17'!U33+'19'!U33+'20'!U33+'22'!U33+'18'!U33+'21'!U33+'25'!U33+'23'!U33+'26'!U33+'24'!U33+'28'!U33+'27'!U33+'29'!U33+'31'!U33+'30'!U33</f>
        <v>0</v>
      </c>
      <c r="V33" s="51">
        <f>+'1'!V33+'3'!V33+'2'!V33+'6'!V33+'5'!V33+'4'!V33+'8'!V33+'7'!V33+'10'!V33+'9'!V33+'11'!V33+'12'!V33+'13'!V33+'15'!V33+'14'!V33+'16'!V33+'17'!V33+'19'!V33+'20'!V33+'22'!V33+'18'!V33+'21'!V33+'25'!V33+'23'!V33+'26'!V33+'24'!V33+'28'!V33+'27'!V33+'29'!V33+'31'!V33+'30'!V33</f>
        <v>0</v>
      </c>
      <c r="W33" s="51">
        <f>+'1'!W33+'3'!W33+'2'!W33+'6'!W33+'5'!W33+'4'!W33+'8'!W33+'7'!W33+'10'!W33+'9'!W33+'11'!W33+'12'!W33+'13'!W33+'15'!W33+'14'!W33+'16'!W33+'17'!W33+'19'!W33+'20'!W33+'22'!W33+'18'!W33+'21'!W33+'25'!W33+'23'!W33+'26'!W33+'24'!W33+'28'!W33+'27'!W33+'29'!W33+'31'!W33+'30'!W33</f>
        <v>0</v>
      </c>
      <c r="X33" s="51">
        <f>+'1'!X33+'3'!X33+'2'!X33+'6'!X33+'5'!X33+'4'!X33+'8'!X33+'7'!X33+'10'!X33+'9'!X33+'11'!X33+'12'!X33+'13'!X33+'15'!X33+'14'!X33+'16'!X33+'17'!X33+'19'!X33+'20'!X33+'22'!X33+'18'!X33+'21'!X33+'25'!X33+'23'!X33+'26'!X33+'24'!X33+'28'!X33+'27'!X33+'29'!X33+'31'!X33+'30'!X33</f>
        <v>0</v>
      </c>
      <c r="Y33" s="51">
        <f>+'1'!Y33+'3'!Y33+'2'!Y33+'6'!Y33+'5'!Y33+'4'!Y33+'8'!Y33+'7'!Y33+'10'!Y33+'9'!Y33+'11'!Y33+'12'!Y33+'13'!Y33+'15'!Y33+'14'!Y33+'16'!Y33+'17'!Y33+'19'!Y33+'20'!Y33+'22'!Y33+'18'!Y33+'21'!Y33+'25'!Y33+'23'!Y33+'26'!Y33+'24'!Y33+'28'!Y33+'27'!Y33+'29'!Y33+'31'!Y33+'30'!Y33</f>
        <v>4</v>
      </c>
      <c r="Z33" s="51">
        <f>+'1'!Z33+'3'!Z33+'2'!Z33+'6'!Z33+'5'!Z33+'4'!Z33+'8'!Z33+'7'!Z33+'10'!Z33+'9'!Z33+'11'!Z33+'12'!Z33+'13'!Z33+'15'!Z33+'14'!Z33+'16'!Z33+'17'!Z33+'19'!Z33+'20'!Z33+'22'!Z33+'18'!Z33+'21'!Z33+'25'!Z33+'23'!Z33+'26'!Z33+'24'!Z33+'28'!Z33+'27'!Z33+'29'!Z33+'31'!Z33+'30'!Z33</f>
        <v>0</v>
      </c>
      <c r="AA33" s="51">
        <f>+'1'!AA33+'3'!AA33+'2'!AA33+'6'!AA33+'5'!AA33+'4'!AA33+'8'!AA33+'7'!AA33+'10'!AA33+'9'!AA33+'11'!AA33+'12'!AA33+'13'!AA33+'15'!AA33+'14'!AA33+'16'!AA33+'17'!AA33+'19'!AA33+'20'!AA33+'22'!AA33+'18'!AA33+'21'!AA33+'25'!AA33+'23'!AA33+'26'!AA33+'24'!AA33+'28'!AA33+'27'!AA33+'29'!AA33+'31'!AA33+'30'!AA33</f>
        <v>0</v>
      </c>
      <c r="AB33" s="51">
        <f>+'1'!AB33+'3'!AB33+'2'!AB33+'6'!AB33+'5'!AB33+'4'!AB33+'8'!AB33+'7'!AB33+'10'!AB33+'9'!AB33+'11'!AB33+'12'!AB33+'13'!AB33+'15'!AB33+'14'!AB33+'16'!AB33+'17'!AB33+'19'!AB33+'20'!AB33+'22'!AB33+'18'!AB33+'21'!AB33+'25'!AB33+'23'!AB33+'26'!AB33+'24'!AB33+'28'!AB33+'27'!AB33+'29'!AB33+'31'!AB33+'30'!AB33</f>
        <v>0</v>
      </c>
      <c r="AC33" s="51">
        <f>+'1'!AC33+'3'!AC33+'2'!AC33+'6'!AC33+'5'!AC33+'4'!AC33+'8'!AC33+'7'!AC33+'10'!AC33+'9'!AC33+'11'!AC33+'12'!AC33+'13'!AC33+'15'!AC33+'14'!AC33+'16'!AC33+'17'!AC33+'19'!AC33+'20'!AC33+'22'!AC33+'18'!AC33+'21'!AC33+'25'!AC33+'23'!AC33+'26'!AC33+'24'!AC33+'28'!AC33+'27'!AC33+'29'!AC33+'31'!AC33+'30'!AC33</f>
        <v>2</v>
      </c>
      <c r="AD33" s="51">
        <f>+'1'!AD33+'3'!AD33+'2'!AD33+'6'!AD33+'5'!AD33+'4'!AD33+'8'!AD33+'7'!AD33+'10'!AD33+'9'!AD33+'11'!AD33+'12'!AD33+'13'!AD33+'15'!AD33+'14'!AD33+'16'!AD33+'17'!AD33+'19'!AD33+'20'!AD33+'22'!AD33+'18'!AD33+'21'!AD33+'25'!AD33+'23'!AD33+'26'!AD33+'24'!AD33+'28'!AD33+'27'!AD33+'29'!AD33+'31'!AD33+'30'!AD33</f>
        <v>0</v>
      </c>
      <c r="AE33" s="51">
        <f>+'1'!AE33+'3'!AE33+'2'!AE33+'6'!AE33+'5'!AE33+'4'!AE33+'8'!AE33+'7'!AE33+'10'!AE33+'9'!AE33+'11'!AE33+'12'!AE33+'13'!AE33+'15'!AE33+'14'!AE33+'16'!AE33+'17'!AE33+'19'!AE33+'20'!AE33+'22'!AE33+'18'!AE33+'21'!AE33+'25'!AE33+'23'!AE33+'26'!AE33+'24'!AE33+'28'!AE33+'27'!AE33+'29'!AE33+'31'!AE33+'30'!AE33</f>
        <v>0</v>
      </c>
      <c r="AF33" s="51">
        <f>+'1'!AF33+'3'!AF33+'2'!AF33+'6'!AF33+'5'!AF33+'4'!AF33+'8'!AF33+'7'!AF33+'10'!AF33+'9'!AF33+'11'!AF33+'12'!AF33+'13'!AF33+'15'!AF33+'14'!AF33+'16'!AF33+'17'!AF33+'19'!AF33+'20'!AF33+'22'!AF33+'18'!AF33+'21'!AF33+'25'!AF33+'23'!AF33+'26'!AF33+'24'!AF33+'28'!AF33+'27'!AF33+'29'!AF33+'31'!AF33+'30'!AF33</f>
        <v>0</v>
      </c>
      <c r="AG33" s="51">
        <f>+'1'!AG33+'3'!AG33+'2'!AG33+'6'!AG33+'5'!AG33+'4'!AG33+'8'!AG33+'7'!AG33+'10'!AG33+'9'!AG33+'11'!AG33+'12'!AG33+'13'!AG33+'15'!AG33+'14'!AG33+'16'!AG33+'17'!AG33+'19'!AG33+'20'!AG33+'22'!AG33+'18'!AG33+'21'!AG33+'25'!AG33+'23'!AG33+'26'!AG33+'24'!AG33+'28'!AG33+'27'!AG33+'29'!AG33+'31'!AG33+'30'!AG33</f>
        <v>0</v>
      </c>
      <c r="AH33" s="51">
        <f>+'1'!AH33+'3'!AH33+'2'!AH33+'6'!AH33+'5'!AH33+'4'!AH33+'8'!AH33+'7'!AH33+'10'!AH33+'9'!AH33+'11'!AH33+'12'!AH33+'13'!AH33+'15'!AH33+'14'!AH33+'16'!AH33+'17'!AH33+'19'!AH33+'20'!AH33+'22'!AH33+'18'!AH33+'21'!AH33+'25'!AH33+'23'!AH33+'26'!AH33+'24'!AH33+'28'!AH33+'27'!AH33+'29'!AH33+'31'!AH33+'30'!AH33</f>
        <v>0</v>
      </c>
      <c r="AI33" s="54">
        <f>+'1'!AI33+'3'!AI33+'2'!AI33+'6'!AI33+'5'!AI33+'4'!AI33+'8'!AI33+'7'!AI33+'10'!AI33+'9'!AI33+'11'!AI33+'12'!AI33+'13'!AI33+'15'!AI33+'14'!AI33+'16'!AI33+'17'!AI33+'19'!AI33+'20'!AI33+'22'!AI33+'18'!AI33+'21'!AI33+'25'!AI33+'23'!AI33+'26'!AI33+'24'!AI33+'28'!AI33+'27'!AI33+'29'!AI33+'31'!AI33+'30'!AI33</f>
        <v>0</v>
      </c>
      <c r="AJ33" s="57">
        <f>+'1'!AJ33+'3'!AJ33+'2'!AJ33+'6'!AJ33+'5'!AJ33+'4'!AJ33+'8'!AJ33+'7'!AJ33+'10'!AJ33+'9'!AJ33+'11'!AJ33+'12'!AJ33+'13'!AJ33+'15'!AJ33+'14'!AJ33+'16'!AJ33+'17'!AJ33+'19'!AJ33+'20'!AJ33+'22'!AJ33+'18'!AJ33+'21'!AJ33+'25'!AJ33+'23'!AJ33+'26'!AJ33+'24'!AJ33+'28'!AJ33+'27'!AJ33+'29'!AJ33+'31'!AJ33+'30'!AJ33</f>
        <v>0</v>
      </c>
      <c r="AK33" s="54">
        <f>+'1'!AK33+'3'!AK33+'2'!AK33+'6'!AK33+'5'!AK33+'4'!AK33+'8'!AK33+'7'!AK33+'10'!AK33+'9'!AK33+'11'!AK33+'12'!AK33+'13'!AK33+'15'!AK33+'14'!AK33+'16'!AK33+'17'!AK33+'19'!AK33+'20'!AK33+'22'!AK33+'18'!AK33+'21'!AK33+'25'!AK33+'23'!AK33+'26'!AK33+'24'!AK33+'28'!AK33+'27'!AK33+'29'!AK33+'31'!AK33+'30'!AK33</f>
        <v>0</v>
      </c>
      <c r="AL33" s="65">
        <f t="shared" si="4"/>
        <v>44</v>
      </c>
      <c r="AM33" s="22" t="str">
        <f t="shared" si="5"/>
        <v>OK</v>
      </c>
    </row>
    <row r="34" spans="1:39" customFormat="1">
      <c r="A34" s="68" t="s">
        <v>53</v>
      </c>
      <c r="B34" s="78">
        <v>10139</v>
      </c>
      <c r="C34" s="23" t="s">
        <v>54</v>
      </c>
      <c r="D34" s="24"/>
      <c r="E34" s="24"/>
      <c r="F34" s="24"/>
      <c r="G34" s="25"/>
      <c r="H34" s="26">
        <f>+'1'!H34+'3'!H34+'2'!H34+'6'!H34+'5'!H34+'4'!H34+'8'!H34+'7'!H34+'10'!H34+'9'!H34+'11'!H34+'12'!H34+'13'!H34+'15'!H34+'14'!H34+'16'!H34+'17'!H34+'19'!H34+'20'!H34+'22'!H34+'18'!H34+'21'!H34+'25'!H34+'23'!H34+'26'!H34+'24'!H34+'28'!H34+'27'!H34+'29'!H34+'31'!H34+'30'!H34</f>
        <v>29508</v>
      </c>
      <c r="I34" s="27">
        <f>+'1'!I34+'3'!I34+'2'!I34+'6'!I34+'5'!I34+'4'!I34+'8'!I34+'7'!I34+'10'!I34+'9'!I34+'11'!I34+'12'!I34+'13'!I34+'15'!I34+'14'!I34+'16'!I34+'17'!I34+'19'!I34+'20'!I34+'22'!I34+'18'!I34+'21'!I34+'25'!I34+'23'!I34+'26'!I34+'24'!I34+'28'!I34+'27'!I34+'29'!I34+'31'!I34+'30'!I34</f>
        <v>34</v>
      </c>
      <c r="J34" s="27"/>
      <c r="K34" s="16"/>
      <c r="L34" s="27">
        <f>+'1'!L34+'3'!L34+'2'!L34+'6'!L34+'5'!L34+'4'!L34+'8'!L34+'7'!L34+'10'!L34+'9'!L34+'11'!L34+'12'!L34+'13'!L34+'15'!L34+'14'!L34+'16'!L34+'17'!L34+'19'!L34+'20'!L34+'22'!L34+'18'!L34+'21'!L34+'25'!L34+'23'!L34+'26'!L34+'24'!L34+'28'!L34+'27'!L34+'29'!L34+'31'!L34+'30'!L34</f>
        <v>16</v>
      </c>
      <c r="M34" s="27">
        <f>+'1'!M34+'3'!M34+'2'!M34+'6'!M34+'5'!M34+'4'!M34+'8'!M34+'7'!M34+'10'!M34+'9'!M34+'11'!M34+'12'!M34+'13'!M34+'15'!M34+'14'!M34+'16'!M34+'17'!M34+'19'!M34+'20'!M34+'22'!M34+'18'!M34+'21'!M34+'25'!M34+'23'!M34+'26'!M34+'24'!M34+'28'!M34+'27'!M34+'29'!M34+'31'!M34+'30'!M34</f>
        <v>0</v>
      </c>
      <c r="N34" s="27">
        <f>+'1'!N34+'3'!N34+'2'!N34+'6'!N34+'5'!N34+'4'!N34+'8'!N34+'7'!N34+'10'!N34+'9'!N34+'11'!N34+'12'!N34+'13'!N34+'15'!N34+'14'!N34+'16'!N34+'17'!N34+'19'!N34+'20'!N34+'22'!N34+'18'!N34+'21'!N34+'25'!N34+'23'!N34+'26'!N34+'24'!N34+'28'!N34+'27'!N34+'29'!N34+'31'!N34+'30'!N34</f>
        <v>0</v>
      </c>
      <c r="O34" s="27">
        <f>+'1'!O34+'3'!O34+'2'!O34+'6'!O34+'5'!O34+'4'!O34+'8'!O34+'7'!O34+'10'!O34+'9'!O34+'11'!O34+'12'!O34+'13'!O34+'15'!O34+'14'!O34+'16'!O34+'17'!O34+'19'!O34+'20'!O34+'22'!O34+'18'!O34+'21'!O34+'25'!O34+'23'!O34+'26'!O34+'24'!O34+'28'!O34+'27'!O34+'29'!O34+'31'!O34+'30'!O34</f>
        <v>0</v>
      </c>
      <c r="P34" s="27">
        <f>+'1'!P34+'3'!P34+'2'!P34+'6'!P34+'5'!P34+'4'!P34+'8'!P34+'7'!P34+'10'!P34+'9'!P34+'11'!P34+'12'!P34+'13'!P34+'15'!P34+'14'!P34+'16'!P34+'17'!P34+'19'!P34+'20'!P34+'22'!P34+'18'!P34+'21'!P34+'25'!P34+'23'!P34+'26'!P34+'24'!P34+'28'!P34+'27'!P34+'29'!P34+'31'!P34+'30'!P34</f>
        <v>0</v>
      </c>
      <c r="Q34" s="27">
        <f>+'1'!Q34+'3'!Q34+'2'!Q34+'6'!Q34+'5'!Q34+'4'!Q34+'8'!Q34+'7'!Q34+'10'!Q34+'9'!Q34+'11'!Q34+'12'!Q34+'13'!Q34+'15'!Q34+'14'!Q34+'16'!Q34+'17'!Q34+'19'!Q34+'20'!Q34+'22'!Q34+'18'!Q34+'21'!Q34+'25'!Q34+'23'!Q34+'26'!Q34+'24'!Q34+'28'!Q34+'27'!Q34+'29'!Q34+'31'!Q34+'30'!Q34</f>
        <v>0</v>
      </c>
      <c r="R34" s="27">
        <f>+'1'!R34+'3'!R34+'2'!R34+'6'!R34+'5'!R34+'4'!R34+'8'!R34+'7'!R34+'10'!R34+'9'!R34+'11'!R34+'12'!R34+'13'!R34+'15'!R34+'14'!R34+'16'!R34+'17'!R34+'19'!R34+'20'!R34+'22'!R34+'18'!R34+'21'!R34+'25'!R34+'23'!R34+'26'!R34+'24'!R34+'28'!R34+'27'!R34+'29'!R34+'31'!R34+'30'!R34</f>
        <v>0</v>
      </c>
      <c r="S34" s="27">
        <f>+'1'!S34+'3'!S34+'2'!S34+'6'!S34+'5'!S34+'4'!S34+'8'!S34+'7'!S34+'10'!S34+'9'!S34+'11'!S34+'12'!S34+'13'!S34+'15'!S34+'14'!S34+'16'!S34+'17'!S34+'19'!S34+'20'!S34+'22'!S34+'18'!S34+'21'!S34+'25'!S34+'23'!S34+'26'!S34+'24'!S34+'28'!S34+'27'!S34+'29'!S34+'31'!S34+'30'!S34</f>
        <v>0</v>
      </c>
      <c r="T34" s="43">
        <f>+'1'!T34+'3'!T34+'2'!T34+'6'!T34+'5'!T34+'4'!T34+'8'!T34+'7'!T34+'10'!T34+'9'!T34+'11'!T34+'12'!T34+'13'!T34+'15'!T34+'14'!T34+'16'!T34+'17'!T34+'19'!T34+'20'!T34+'22'!T34+'18'!T34+'21'!T34+'25'!T34+'23'!T34+'26'!T34+'24'!T34+'28'!T34+'27'!T34+'29'!T34+'31'!T34+'30'!T34</f>
        <v>0</v>
      </c>
      <c r="U34" s="52">
        <f>+'1'!U34+'3'!U34+'2'!U34+'6'!U34+'5'!U34+'4'!U34+'8'!U34+'7'!U34+'10'!U34+'9'!U34+'11'!U34+'12'!U34+'13'!U34+'15'!U34+'14'!U34+'16'!U34+'17'!U34+'19'!U34+'20'!U34+'22'!U34+'18'!U34+'21'!U34+'25'!U34+'23'!U34+'26'!U34+'24'!U34+'28'!U34+'27'!U34+'29'!U34+'31'!U34+'30'!U34</f>
        <v>0</v>
      </c>
      <c r="V34" s="52">
        <f>+'1'!V34+'3'!V34+'2'!V34+'6'!V34+'5'!V34+'4'!V34+'8'!V34+'7'!V34+'10'!V34+'9'!V34+'11'!V34+'12'!V34+'13'!V34+'15'!V34+'14'!V34+'16'!V34+'17'!V34+'19'!V34+'20'!V34+'22'!V34+'18'!V34+'21'!V34+'25'!V34+'23'!V34+'26'!V34+'24'!V34+'28'!V34+'27'!V34+'29'!V34+'31'!V34+'30'!V34</f>
        <v>0</v>
      </c>
      <c r="W34" s="52">
        <f>+'1'!W34+'3'!W34+'2'!W34+'6'!W34+'5'!W34+'4'!W34+'8'!W34+'7'!W34+'10'!W34+'9'!W34+'11'!W34+'12'!W34+'13'!W34+'15'!W34+'14'!W34+'16'!W34+'17'!W34+'19'!W34+'20'!W34+'22'!W34+'18'!W34+'21'!W34+'25'!W34+'23'!W34+'26'!W34+'24'!W34+'28'!W34+'27'!W34+'29'!W34+'31'!W34+'30'!W34</f>
        <v>0</v>
      </c>
      <c r="X34" s="52">
        <f>+'1'!X34+'3'!X34+'2'!X34+'6'!X34+'5'!X34+'4'!X34+'8'!X34+'7'!X34+'10'!X34+'9'!X34+'11'!X34+'12'!X34+'13'!X34+'15'!X34+'14'!X34+'16'!X34+'17'!X34+'19'!X34+'20'!X34+'22'!X34+'18'!X34+'21'!X34+'25'!X34+'23'!X34+'26'!X34+'24'!X34+'28'!X34+'27'!X34+'29'!X34+'31'!X34+'30'!X34</f>
        <v>0</v>
      </c>
      <c r="Y34" s="52">
        <f>+'1'!Y34+'3'!Y34+'2'!Y34+'6'!Y34+'5'!Y34+'4'!Y34+'8'!Y34+'7'!Y34+'10'!Y34+'9'!Y34+'11'!Y34+'12'!Y34+'13'!Y34+'15'!Y34+'14'!Y34+'16'!Y34+'17'!Y34+'19'!Y34+'20'!Y34+'22'!Y34+'18'!Y34+'21'!Y34+'25'!Y34+'23'!Y34+'26'!Y34+'24'!Y34+'28'!Y34+'27'!Y34+'29'!Y34+'31'!Y34+'30'!Y34</f>
        <v>5</v>
      </c>
      <c r="Z34" s="52">
        <f>+'1'!Z34+'3'!Z34+'2'!Z34+'6'!Z34+'5'!Z34+'4'!Z34+'8'!Z34+'7'!Z34+'10'!Z34+'9'!Z34+'11'!Z34+'12'!Z34+'13'!Z34+'15'!Z34+'14'!Z34+'16'!Z34+'17'!Z34+'19'!Z34+'20'!Z34+'22'!Z34+'18'!Z34+'21'!Z34+'25'!Z34+'23'!Z34+'26'!Z34+'24'!Z34+'28'!Z34+'27'!Z34+'29'!Z34+'31'!Z34+'30'!Z34</f>
        <v>0</v>
      </c>
      <c r="AA34" s="52">
        <f>+'1'!AA34+'3'!AA34+'2'!AA34+'6'!AA34+'5'!AA34+'4'!AA34+'8'!AA34+'7'!AA34+'10'!AA34+'9'!AA34+'11'!AA34+'12'!AA34+'13'!AA34+'15'!AA34+'14'!AA34+'16'!AA34+'17'!AA34+'19'!AA34+'20'!AA34+'22'!AA34+'18'!AA34+'21'!AA34+'25'!AA34+'23'!AA34+'26'!AA34+'24'!AA34+'28'!AA34+'27'!AA34+'29'!AA34+'31'!AA34+'30'!AA34</f>
        <v>0</v>
      </c>
      <c r="AB34" s="52">
        <f>+'1'!AB34+'3'!AB34+'2'!AB34+'6'!AB34+'5'!AB34+'4'!AB34+'8'!AB34+'7'!AB34+'10'!AB34+'9'!AB34+'11'!AB34+'12'!AB34+'13'!AB34+'15'!AB34+'14'!AB34+'16'!AB34+'17'!AB34+'19'!AB34+'20'!AB34+'22'!AB34+'18'!AB34+'21'!AB34+'25'!AB34+'23'!AB34+'26'!AB34+'24'!AB34+'28'!AB34+'27'!AB34+'29'!AB34+'31'!AB34+'30'!AB34</f>
        <v>0</v>
      </c>
      <c r="AC34" s="52">
        <f>+'1'!AC34+'3'!AC34+'2'!AC34+'6'!AC34+'5'!AC34+'4'!AC34+'8'!AC34+'7'!AC34+'10'!AC34+'9'!AC34+'11'!AC34+'12'!AC34+'13'!AC34+'15'!AC34+'14'!AC34+'16'!AC34+'17'!AC34+'19'!AC34+'20'!AC34+'22'!AC34+'18'!AC34+'21'!AC34+'25'!AC34+'23'!AC34+'26'!AC34+'24'!AC34+'28'!AC34+'27'!AC34+'29'!AC34+'31'!AC34+'30'!AC34</f>
        <v>13</v>
      </c>
      <c r="AD34" s="52">
        <f>+'1'!AD34+'3'!AD34+'2'!AD34+'6'!AD34+'5'!AD34+'4'!AD34+'8'!AD34+'7'!AD34+'10'!AD34+'9'!AD34+'11'!AD34+'12'!AD34+'13'!AD34+'15'!AD34+'14'!AD34+'16'!AD34+'17'!AD34+'19'!AD34+'20'!AD34+'22'!AD34+'18'!AD34+'21'!AD34+'25'!AD34+'23'!AD34+'26'!AD34+'24'!AD34+'28'!AD34+'27'!AD34+'29'!AD34+'31'!AD34+'30'!AD34</f>
        <v>0</v>
      </c>
      <c r="AE34" s="52">
        <f>+'1'!AE34+'3'!AE34+'2'!AE34+'6'!AE34+'5'!AE34+'4'!AE34+'8'!AE34+'7'!AE34+'10'!AE34+'9'!AE34+'11'!AE34+'12'!AE34+'13'!AE34+'15'!AE34+'14'!AE34+'16'!AE34+'17'!AE34+'19'!AE34+'20'!AE34+'22'!AE34+'18'!AE34+'21'!AE34+'25'!AE34+'23'!AE34+'26'!AE34+'24'!AE34+'28'!AE34+'27'!AE34+'29'!AE34+'31'!AE34+'30'!AE34</f>
        <v>0</v>
      </c>
      <c r="AF34" s="52">
        <f>+'1'!AF34+'3'!AF34+'2'!AF34+'6'!AF34+'5'!AF34+'4'!AF34+'8'!AF34+'7'!AF34+'10'!AF34+'9'!AF34+'11'!AF34+'12'!AF34+'13'!AF34+'15'!AF34+'14'!AF34+'16'!AF34+'17'!AF34+'19'!AF34+'20'!AF34+'22'!AF34+'18'!AF34+'21'!AF34+'25'!AF34+'23'!AF34+'26'!AF34+'24'!AF34+'28'!AF34+'27'!AF34+'29'!AF34+'31'!AF34+'30'!AF34</f>
        <v>0</v>
      </c>
      <c r="AG34" s="52">
        <f>+'1'!AG34+'3'!AG34+'2'!AG34+'6'!AG34+'5'!AG34+'4'!AG34+'8'!AG34+'7'!AG34+'10'!AG34+'9'!AG34+'11'!AG34+'12'!AG34+'13'!AG34+'15'!AG34+'14'!AG34+'16'!AG34+'17'!AG34+'19'!AG34+'20'!AG34+'22'!AG34+'18'!AG34+'21'!AG34+'25'!AG34+'23'!AG34+'26'!AG34+'24'!AG34+'28'!AG34+'27'!AG34+'29'!AG34+'31'!AG34+'30'!AG34</f>
        <v>0</v>
      </c>
      <c r="AH34" s="52">
        <f>+'1'!AH34+'3'!AH34+'2'!AH34+'6'!AH34+'5'!AH34+'4'!AH34+'8'!AH34+'7'!AH34+'10'!AH34+'9'!AH34+'11'!AH34+'12'!AH34+'13'!AH34+'15'!AH34+'14'!AH34+'16'!AH34+'17'!AH34+'19'!AH34+'20'!AH34+'22'!AH34+'18'!AH34+'21'!AH34+'25'!AH34+'23'!AH34+'26'!AH34+'24'!AH34+'28'!AH34+'27'!AH34+'29'!AH34+'31'!AH34+'30'!AH34</f>
        <v>0</v>
      </c>
      <c r="AI34" s="55">
        <f>+'1'!AI34+'3'!AI34+'2'!AI34+'6'!AI34+'5'!AI34+'4'!AI34+'8'!AI34+'7'!AI34+'10'!AI34+'9'!AI34+'11'!AI34+'12'!AI34+'13'!AI34+'15'!AI34+'14'!AI34+'16'!AI34+'17'!AI34+'19'!AI34+'20'!AI34+'22'!AI34+'18'!AI34+'21'!AI34+'25'!AI34+'23'!AI34+'26'!AI34+'24'!AI34+'28'!AI34+'27'!AI34+'29'!AI34+'31'!AI34+'30'!AI34</f>
        <v>0</v>
      </c>
      <c r="AJ34" s="58">
        <f>+'1'!AJ34+'3'!AJ34+'2'!AJ34+'6'!AJ34+'5'!AJ34+'4'!AJ34+'8'!AJ34+'7'!AJ34+'10'!AJ34+'9'!AJ34+'11'!AJ34+'12'!AJ34+'13'!AJ34+'15'!AJ34+'14'!AJ34+'16'!AJ34+'17'!AJ34+'19'!AJ34+'20'!AJ34+'22'!AJ34+'18'!AJ34+'21'!AJ34+'25'!AJ34+'23'!AJ34+'26'!AJ34+'24'!AJ34+'28'!AJ34+'27'!AJ34+'29'!AJ34+'31'!AJ34+'30'!AJ34</f>
        <v>0</v>
      </c>
      <c r="AK34" s="55">
        <f>+'1'!AK34+'3'!AK34+'2'!AK34+'6'!AK34+'5'!AK34+'4'!AK34+'8'!AK34+'7'!AK34+'10'!AK34+'9'!AK34+'11'!AK34+'12'!AK34+'13'!AK34+'15'!AK34+'14'!AK34+'16'!AK34+'17'!AK34+'19'!AK34+'20'!AK34+'22'!AK34+'18'!AK34+'21'!AK34+'25'!AK34+'23'!AK34+'26'!AK34+'24'!AK34+'28'!AK34+'27'!AK34+'29'!AK34+'31'!AK34+'30'!AK34</f>
        <v>0</v>
      </c>
      <c r="AL34" s="66">
        <f t="shared" si="4"/>
        <v>34</v>
      </c>
      <c r="AM34" s="28" t="str">
        <f t="shared" si="5"/>
        <v>OK</v>
      </c>
    </row>
    <row r="35" spans="1:39" customFormat="1" hidden="1">
      <c r="A35" s="80" t="s">
        <v>75</v>
      </c>
      <c r="B35" s="77">
        <v>10137</v>
      </c>
      <c r="C35" s="17" t="s">
        <v>55</v>
      </c>
      <c r="D35" s="69"/>
      <c r="E35" s="18"/>
      <c r="F35" s="18"/>
      <c r="G35" s="19"/>
      <c r="H35" s="20">
        <f>+'1'!H35+'3'!H35+'2'!H35+'6'!H35+'5'!H35+'4'!H35+'8'!H35+'7'!H35+'10'!H35+'9'!H35+'11'!H35+'12'!H35+'13'!H35+'15'!H35+'14'!H35+'16'!H35+'17'!H35+'19'!H35+'20'!H35+'22'!H35+'18'!H35+'21'!H35+'25'!H35+'23'!H35+'26'!H35+'24'!H35+'28'!H35+'27'!H35+'29'!H35+'31'!H35+'30'!H35</f>
        <v>0</v>
      </c>
      <c r="I35" s="21">
        <f>+'1'!I35+'3'!I35+'2'!I35+'6'!I35+'5'!I35+'4'!I35+'8'!I35+'7'!I35+'10'!I35+'9'!I35+'11'!I35+'12'!I35+'13'!I35+'15'!I35+'14'!I35+'16'!I35+'17'!I35+'19'!I35+'20'!I35+'22'!I35+'18'!I35+'21'!I35+'25'!I35+'23'!I35+'26'!I35+'24'!I35+'28'!I35+'27'!I35+'29'!I35+'31'!I35+'30'!I35</f>
        <v>0</v>
      </c>
      <c r="J35" s="21"/>
      <c r="K35" s="16"/>
      <c r="L35" s="21">
        <f>+'1'!L35+'3'!L35+'2'!L35+'6'!L35+'5'!L35+'4'!L35+'8'!L35+'7'!L35+'10'!L35+'9'!L35+'11'!L35+'12'!L35+'13'!L35+'15'!L35+'14'!L35+'16'!L35+'17'!L35+'19'!L35+'20'!L35+'22'!L35+'18'!L35+'21'!L35+'25'!L35+'23'!L35+'26'!L35+'24'!L35+'28'!L35+'27'!L35+'29'!L35+'31'!L35+'30'!L35</f>
        <v>0</v>
      </c>
      <c r="M35" s="21">
        <f>+'1'!M35+'3'!M35+'2'!M35+'6'!M35+'5'!M35+'4'!M35+'8'!M35+'7'!M35+'10'!M35+'9'!M35+'11'!M35+'12'!M35+'13'!M35+'15'!M35+'14'!M35+'16'!M35+'17'!M35+'19'!M35+'20'!M35+'22'!M35+'18'!M35+'21'!M35+'25'!M35+'23'!M35+'26'!M35+'24'!M35+'28'!M35+'27'!M35+'29'!M35+'31'!M35+'30'!M35</f>
        <v>0</v>
      </c>
      <c r="N35" s="21">
        <f>+'1'!N35+'3'!N35+'2'!N35+'6'!N35+'5'!N35+'4'!N35+'8'!N35+'7'!N35+'10'!N35+'9'!N35+'11'!N35+'12'!N35+'13'!N35+'15'!N35+'14'!N35+'16'!N35+'17'!N35+'19'!N35+'20'!N35+'22'!N35+'18'!N35+'21'!N35+'25'!N35+'23'!N35+'26'!N35+'24'!N35+'28'!N35+'27'!N35+'29'!N35+'31'!N35+'30'!N35</f>
        <v>0</v>
      </c>
      <c r="O35" s="21">
        <f>+'1'!O35+'3'!O35+'2'!O35+'6'!O35+'5'!O35+'4'!O35+'8'!O35+'7'!O35+'10'!O35+'9'!O35+'11'!O35+'12'!O35+'13'!O35+'15'!O35+'14'!O35+'16'!O35+'17'!O35+'19'!O35+'20'!O35+'22'!O35+'18'!O35+'21'!O35+'25'!O35+'23'!O35+'26'!O35+'24'!O35+'28'!O35+'27'!O35+'29'!O35+'31'!O35+'30'!O35</f>
        <v>0</v>
      </c>
      <c r="P35" s="21">
        <f>+'1'!P35+'3'!P35+'2'!P35+'6'!P35+'5'!P35+'4'!P35+'8'!P35+'7'!P35+'10'!P35+'9'!P35+'11'!P35+'12'!P35+'13'!P35+'15'!P35+'14'!P35+'16'!P35+'17'!P35+'19'!P35+'20'!P35+'22'!P35+'18'!P35+'21'!P35+'25'!P35+'23'!P35+'26'!P35+'24'!P35+'28'!P35+'27'!P35+'29'!P35+'31'!P35+'30'!P35</f>
        <v>0</v>
      </c>
      <c r="Q35" s="21">
        <f>+'1'!Q35+'3'!Q35+'2'!Q35+'6'!Q35+'5'!Q35+'4'!Q35+'8'!Q35+'7'!Q35+'10'!Q35+'9'!Q35+'11'!Q35+'12'!Q35+'13'!Q35+'15'!Q35+'14'!Q35+'16'!Q35+'17'!Q35+'19'!Q35+'20'!Q35+'22'!Q35+'18'!Q35+'21'!Q35+'25'!Q35+'23'!Q35+'26'!Q35+'24'!Q35+'28'!Q35+'27'!Q35+'29'!Q35+'31'!Q35+'30'!Q35</f>
        <v>0</v>
      </c>
      <c r="R35" s="21">
        <f>+'1'!R35+'3'!R35+'2'!R35+'6'!R35+'5'!R35+'4'!R35+'8'!R35+'7'!R35+'10'!R35+'9'!R35+'11'!R35+'12'!R35+'13'!R35+'15'!R35+'14'!R35+'16'!R35+'17'!R35+'19'!R35+'20'!R35+'22'!R35+'18'!R35+'21'!R35+'25'!R35+'23'!R35+'26'!R35+'24'!R35+'28'!R35+'27'!R35+'29'!R35+'31'!R35+'30'!R35</f>
        <v>0</v>
      </c>
      <c r="S35" s="21">
        <f>+'1'!S35+'3'!S35+'2'!S35+'6'!S35+'5'!S35+'4'!S35+'8'!S35+'7'!S35+'10'!S35+'9'!S35+'11'!S35+'12'!S35+'13'!S35+'15'!S35+'14'!S35+'16'!S35+'17'!S35+'19'!S35+'20'!S35+'22'!S35+'18'!S35+'21'!S35+'25'!S35+'23'!S35+'26'!S35+'24'!S35+'28'!S35+'27'!S35+'29'!S35+'31'!S35+'30'!S35</f>
        <v>0</v>
      </c>
      <c r="T35" s="42">
        <f>+'1'!T35+'3'!T35+'2'!T35+'6'!T35+'5'!T35+'4'!T35+'8'!T35+'7'!T35+'10'!T35+'9'!T35+'11'!T35+'12'!T35+'13'!T35+'15'!T35+'14'!T35+'16'!T35+'17'!T35+'19'!T35+'20'!T35+'22'!T35+'18'!T35+'21'!T35+'25'!T35+'23'!T35+'26'!T35+'24'!T35+'28'!T35+'27'!T35+'29'!T35+'31'!T35+'30'!T35</f>
        <v>0</v>
      </c>
      <c r="U35" s="51">
        <f>+'1'!U35+'3'!U35+'2'!U35+'6'!U35+'5'!U35+'4'!U35+'8'!U35+'7'!U35+'10'!U35+'9'!U35+'11'!U35+'12'!U35+'13'!U35+'15'!U35+'14'!U35+'16'!U35+'17'!U35+'19'!U35+'20'!U35+'22'!U35+'18'!U35+'21'!U35+'25'!U35+'23'!U35+'26'!U35+'24'!U35+'28'!U35+'27'!U35+'29'!U35+'31'!U35+'30'!U35</f>
        <v>0</v>
      </c>
      <c r="V35" s="51">
        <f>+'1'!V35+'3'!V35+'2'!V35+'6'!V35+'5'!V35+'4'!V35+'8'!V35+'7'!V35+'10'!V35+'9'!V35+'11'!V35+'12'!V35+'13'!V35+'15'!V35+'14'!V35+'16'!V35+'17'!V35+'19'!V35+'20'!V35+'22'!V35+'18'!V35+'21'!V35+'25'!V35+'23'!V35+'26'!V35+'24'!V35+'28'!V35+'27'!V35+'29'!V35+'31'!V35+'30'!V35</f>
        <v>0</v>
      </c>
      <c r="W35" s="51">
        <f>+'1'!W35+'3'!W35+'2'!W35+'6'!W35+'5'!W35+'4'!W35+'8'!W35+'7'!W35+'10'!W35+'9'!W35+'11'!W35+'12'!W35+'13'!W35+'15'!W35+'14'!W35+'16'!W35+'17'!W35+'19'!W35+'20'!W35+'22'!W35+'18'!W35+'21'!W35+'25'!W35+'23'!W35+'26'!W35+'24'!W35+'28'!W35+'27'!W35+'29'!W35+'31'!W35+'30'!W35</f>
        <v>0</v>
      </c>
      <c r="X35" s="51">
        <f>+'1'!X35+'3'!X35+'2'!X35+'6'!X35+'5'!X35+'4'!X35+'8'!X35+'7'!X35+'10'!X35+'9'!X35+'11'!X35+'12'!X35+'13'!X35+'15'!X35+'14'!X35+'16'!X35+'17'!X35+'19'!X35+'20'!X35+'22'!X35+'18'!X35+'21'!X35+'25'!X35+'23'!X35+'26'!X35+'24'!X35+'28'!X35+'27'!X35+'29'!X35+'31'!X35+'30'!X35</f>
        <v>0</v>
      </c>
      <c r="Y35" s="51">
        <f>+'1'!Y35+'3'!Y35+'2'!Y35+'6'!Y35+'5'!Y35+'4'!Y35+'8'!Y35+'7'!Y35+'10'!Y35+'9'!Y35+'11'!Y35+'12'!Y35+'13'!Y35+'15'!Y35+'14'!Y35+'16'!Y35+'17'!Y35+'19'!Y35+'20'!Y35+'22'!Y35+'18'!Y35+'21'!Y35+'25'!Y35+'23'!Y35+'26'!Y35+'24'!Y35+'28'!Y35+'27'!Y35+'29'!Y35+'31'!Y35+'30'!Y35</f>
        <v>0</v>
      </c>
      <c r="Z35" s="51">
        <f>+'1'!Z35+'3'!Z35+'2'!Z35+'6'!Z35+'5'!Z35+'4'!Z35+'8'!Z35+'7'!Z35+'10'!Z35+'9'!Z35+'11'!Z35+'12'!Z35+'13'!Z35+'15'!Z35+'14'!Z35+'16'!Z35+'17'!Z35+'19'!Z35+'20'!Z35+'22'!Z35+'18'!Z35+'21'!Z35+'25'!Z35+'23'!Z35+'26'!Z35+'24'!Z35+'28'!Z35+'27'!Z35+'29'!Z35+'31'!Z35+'30'!Z35</f>
        <v>0</v>
      </c>
      <c r="AA35" s="51">
        <f>+'1'!AA35+'3'!AA35+'2'!AA35+'6'!AA35+'5'!AA35+'4'!AA35+'8'!AA35+'7'!AA35+'10'!AA35+'9'!AA35+'11'!AA35+'12'!AA35+'13'!AA35+'15'!AA35+'14'!AA35+'16'!AA35+'17'!AA35+'19'!AA35+'20'!AA35+'22'!AA35+'18'!AA35+'21'!AA35+'25'!AA35+'23'!AA35+'26'!AA35+'24'!AA35+'28'!AA35+'27'!AA35+'29'!AA35+'31'!AA35+'30'!AA35</f>
        <v>0</v>
      </c>
      <c r="AB35" s="51">
        <f>+'1'!AB35+'3'!AB35+'2'!AB35+'6'!AB35+'5'!AB35+'4'!AB35+'8'!AB35+'7'!AB35+'10'!AB35+'9'!AB35+'11'!AB35+'12'!AB35+'13'!AB35+'15'!AB35+'14'!AB35+'16'!AB35+'17'!AB35+'19'!AB35+'20'!AB35+'22'!AB35+'18'!AB35+'21'!AB35+'25'!AB35+'23'!AB35+'26'!AB35+'24'!AB35+'28'!AB35+'27'!AB35+'29'!AB35+'31'!AB35+'30'!AB35</f>
        <v>0</v>
      </c>
      <c r="AC35" s="51">
        <f>+'1'!AC35+'3'!AC35+'2'!AC35+'6'!AC35+'5'!AC35+'4'!AC35+'8'!AC35+'7'!AC35+'10'!AC35+'9'!AC35+'11'!AC35+'12'!AC35+'13'!AC35+'15'!AC35+'14'!AC35+'16'!AC35+'17'!AC35+'19'!AC35+'20'!AC35+'22'!AC35+'18'!AC35+'21'!AC35+'25'!AC35+'23'!AC35+'26'!AC35+'24'!AC35+'28'!AC35+'27'!AC35+'29'!AC35+'31'!AC35+'30'!AC35</f>
        <v>0</v>
      </c>
      <c r="AD35" s="51">
        <f>+'1'!AD35+'3'!AD35+'2'!AD35+'6'!AD35+'5'!AD35+'4'!AD35+'8'!AD35+'7'!AD35+'10'!AD35+'9'!AD35+'11'!AD35+'12'!AD35+'13'!AD35+'15'!AD35+'14'!AD35+'16'!AD35+'17'!AD35+'19'!AD35+'20'!AD35+'22'!AD35+'18'!AD35+'21'!AD35+'25'!AD35+'23'!AD35+'26'!AD35+'24'!AD35+'28'!AD35+'27'!AD35+'29'!AD35+'31'!AD35+'30'!AD35</f>
        <v>0</v>
      </c>
      <c r="AE35" s="51">
        <f>+'1'!AE35+'3'!AE35+'2'!AE35+'6'!AE35+'5'!AE35+'4'!AE35+'8'!AE35+'7'!AE35+'10'!AE35+'9'!AE35+'11'!AE35+'12'!AE35+'13'!AE35+'15'!AE35+'14'!AE35+'16'!AE35+'17'!AE35+'19'!AE35+'20'!AE35+'22'!AE35+'18'!AE35+'21'!AE35+'25'!AE35+'23'!AE35+'26'!AE35+'24'!AE35+'28'!AE35+'27'!AE35+'29'!AE35+'31'!AE35+'30'!AE35</f>
        <v>0</v>
      </c>
      <c r="AF35" s="51">
        <f>+'1'!AF35+'3'!AF35+'2'!AF35+'6'!AF35+'5'!AF35+'4'!AF35+'8'!AF35+'7'!AF35+'10'!AF35+'9'!AF35+'11'!AF35+'12'!AF35+'13'!AF35+'15'!AF35+'14'!AF35+'16'!AF35+'17'!AF35+'19'!AF35+'20'!AF35+'22'!AF35+'18'!AF35+'21'!AF35+'25'!AF35+'23'!AF35+'26'!AF35+'24'!AF35+'28'!AF35+'27'!AF35+'29'!AF35+'31'!AF35+'30'!AF35</f>
        <v>0</v>
      </c>
      <c r="AG35" s="51">
        <f>+'1'!AG35+'3'!AG35+'2'!AG35+'6'!AG35+'5'!AG35+'4'!AG35+'8'!AG35+'7'!AG35+'10'!AG35+'9'!AG35+'11'!AG35+'12'!AG35+'13'!AG35+'15'!AG35+'14'!AG35+'16'!AG35+'17'!AG35+'19'!AG35+'20'!AG35+'22'!AG35+'18'!AG35+'21'!AG35+'25'!AG35+'23'!AG35+'26'!AG35+'24'!AG35+'28'!AG35+'27'!AG35+'29'!AG35+'31'!AG35+'30'!AG35</f>
        <v>0</v>
      </c>
      <c r="AH35" s="51">
        <f>+'1'!AH35+'3'!AH35+'2'!AH35+'6'!AH35+'5'!AH35+'4'!AH35+'8'!AH35+'7'!AH35+'10'!AH35+'9'!AH35+'11'!AH35+'12'!AH35+'13'!AH35+'15'!AH35+'14'!AH35+'16'!AH35+'17'!AH35+'19'!AH35+'20'!AH35+'22'!AH35+'18'!AH35+'21'!AH35+'25'!AH35+'23'!AH35+'26'!AH35+'24'!AH35+'28'!AH35+'27'!AH35+'29'!AH35+'31'!AH35+'30'!AH35</f>
        <v>0</v>
      </c>
      <c r="AI35" s="54">
        <f>+'1'!AI35+'3'!AI35+'2'!AI35+'6'!AI35+'5'!AI35+'4'!AI35+'8'!AI35+'7'!AI35+'10'!AI35+'9'!AI35+'11'!AI35+'12'!AI35+'13'!AI35+'15'!AI35+'14'!AI35+'16'!AI35+'17'!AI35+'19'!AI35+'20'!AI35+'22'!AI35+'18'!AI35+'21'!AI35+'25'!AI35+'23'!AI35+'26'!AI35+'24'!AI35+'28'!AI35+'27'!AI35+'29'!AI35+'31'!AI35+'30'!AI35</f>
        <v>0</v>
      </c>
      <c r="AJ35" s="57">
        <f>+'1'!AJ35+'3'!AJ35+'2'!AJ35+'6'!AJ35+'5'!AJ35+'4'!AJ35+'8'!AJ35+'7'!AJ35+'10'!AJ35+'9'!AJ35+'11'!AJ35+'12'!AJ35+'13'!AJ35+'15'!AJ35+'14'!AJ35+'16'!AJ35+'17'!AJ35+'19'!AJ35+'20'!AJ35+'22'!AJ35+'18'!AJ35+'21'!AJ35+'25'!AJ35+'23'!AJ35+'26'!AJ35+'24'!AJ35+'28'!AJ35+'27'!AJ35+'29'!AJ35+'31'!AJ35+'30'!AJ35</f>
        <v>0</v>
      </c>
      <c r="AK35" s="54">
        <f>+'1'!AK35+'3'!AK35+'2'!AK35+'6'!AK35+'5'!AK35+'4'!AK35+'8'!AK35+'7'!AK35+'10'!AK35+'9'!AK35+'11'!AK35+'12'!AK35+'13'!AK35+'15'!AK35+'14'!AK35+'16'!AK35+'17'!AK35+'19'!AK35+'20'!AK35+'22'!AK35+'18'!AK35+'21'!AK35+'25'!AK35+'23'!AK35+'26'!AK35+'24'!AK35+'28'!AK35+'27'!AK35+'29'!AK35+'31'!AK35+'30'!AK35</f>
        <v>0</v>
      </c>
      <c r="AL35" s="65">
        <f t="shared" si="4"/>
        <v>0</v>
      </c>
      <c r="AM35" s="22" t="str">
        <f t="shared" si="5"/>
        <v>OK</v>
      </c>
    </row>
    <row r="36" spans="1:39" customFormat="1" hidden="1">
      <c r="A36" s="68" t="s">
        <v>76</v>
      </c>
      <c r="B36" s="78">
        <v>10135</v>
      </c>
      <c r="C36" s="23" t="s">
        <v>56</v>
      </c>
      <c r="D36" s="24"/>
      <c r="E36" s="24"/>
      <c r="F36" s="24"/>
      <c r="G36" s="25"/>
      <c r="H36" s="26">
        <f>+'1'!H36+'3'!H36+'2'!H36+'6'!H36+'5'!H36+'4'!H36+'8'!H36+'7'!H36+'10'!H36+'9'!H36+'11'!H36+'12'!H36+'13'!H36+'15'!H36+'14'!H36+'16'!H36+'17'!H36+'19'!H36+'20'!H36+'22'!H36+'18'!H36+'21'!H36+'25'!H36+'23'!H36+'26'!H36+'24'!H36+'28'!H36+'27'!H36+'29'!H36+'31'!H36+'30'!H36</f>
        <v>0</v>
      </c>
      <c r="I36" s="27">
        <f>+'1'!I36+'3'!I36+'2'!I36+'6'!I36+'5'!I36+'4'!I36+'8'!I36+'7'!I36+'10'!I36+'9'!I36+'11'!I36+'12'!I36+'13'!I36+'15'!I36+'14'!I36+'16'!I36+'17'!I36+'19'!I36+'20'!I36+'22'!I36+'18'!I36+'21'!I36+'25'!I36+'23'!I36+'26'!I36+'24'!I36+'28'!I36+'27'!I36+'29'!I36+'31'!I36+'30'!I36</f>
        <v>0</v>
      </c>
      <c r="J36" s="27"/>
      <c r="K36" s="16"/>
      <c r="L36" s="27">
        <f>+'1'!L36+'3'!L36+'2'!L36+'6'!L36+'5'!L36+'4'!L36+'8'!L36+'7'!L36+'10'!L36+'9'!L36+'11'!L36+'12'!L36+'13'!L36+'15'!L36+'14'!L36+'16'!L36+'17'!L36+'19'!L36+'20'!L36+'22'!L36+'18'!L36+'21'!L36+'25'!L36+'23'!L36+'26'!L36+'24'!L36+'28'!L36+'27'!L36+'29'!L36+'31'!L36+'30'!L36</f>
        <v>0</v>
      </c>
      <c r="M36" s="27">
        <f>+'1'!M36+'3'!M36+'2'!M36+'6'!M36+'5'!M36+'4'!M36+'8'!M36+'7'!M36+'10'!M36+'9'!M36+'11'!M36+'12'!M36+'13'!M36+'15'!M36+'14'!M36+'16'!M36+'17'!M36+'19'!M36+'20'!M36+'22'!M36+'18'!M36+'21'!M36+'25'!M36+'23'!M36+'26'!M36+'24'!M36+'28'!M36+'27'!M36+'29'!M36+'31'!M36+'30'!M36</f>
        <v>0</v>
      </c>
      <c r="N36" s="27">
        <f>+'1'!N36+'3'!N36+'2'!N36+'6'!N36+'5'!N36+'4'!N36+'8'!N36+'7'!N36+'10'!N36+'9'!N36+'11'!N36+'12'!N36+'13'!N36+'15'!N36+'14'!N36+'16'!N36+'17'!N36+'19'!N36+'20'!N36+'22'!N36+'18'!N36+'21'!N36+'25'!N36+'23'!N36+'26'!N36+'24'!N36+'28'!N36+'27'!N36+'29'!N36+'31'!N36+'30'!N36</f>
        <v>0</v>
      </c>
      <c r="O36" s="27">
        <f>+'1'!O36+'3'!O36+'2'!O36+'6'!O36+'5'!O36+'4'!O36+'8'!O36+'7'!O36+'10'!O36+'9'!O36+'11'!O36+'12'!O36+'13'!O36+'15'!O36+'14'!O36+'16'!O36+'17'!O36+'19'!O36+'20'!O36+'22'!O36+'18'!O36+'21'!O36+'25'!O36+'23'!O36+'26'!O36+'24'!O36+'28'!O36+'27'!O36+'29'!O36+'31'!O36+'30'!O36</f>
        <v>0</v>
      </c>
      <c r="P36" s="27">
        <f>+'1'!P36+'3'!P36+'2'!P36+'6'!P36+'5'!P36+'4'!P36+'8'!P36+'7'!P36+'10'!P36+'9'!P36+'11'!P36+'12'!P36+'13'!P36+'15'!P36+'14'!P36+'16'!P36+'17'!P36+'19'!P36+'20'!P36+'22'!P36+'18'!P36+'21'!P36+'25'!P36+'23'!P36+'26'!P36+'24'!P36+'28'!P36+'27'!P36+'29'!P36+'31'!P36+'30'!P36</f>
        <v>0</v>
      </c>
      <c r="Q36" s="27">
        <f>+'1'!Q36+'3'!Q36+'2'!Q36+'6'!Q36+'5'!Q36+'4'!Q36+'8'!Q36+'7'!Q36+'10'!Q36+'9'!Q36+'11'!Q36+'12'!Q36+'13'!Q36+'15'!Q36+'14'!Q36+'16'!Q36+'17'!Q36+'19'!Q36+'20'!Q36+'22'!Q36+'18'!Q36+'21'!Q36+'25'!Q36+'23'!Q36+'26'!Q36+'24'!Q36+'28'!Q36+'27'!Q36+'29'!Q36+'31'!Q36+'30'!Q36</f>
        <v>0</v>
      </c>
      <c r="R36" s="27">
        <f>+'1'!R36+'3'!R36+'2'!R36+'6'!R36+'5'!R36+'4'!R36+'8'!R36+'7'!R36+'10'!R36+'9'!R36+'11'!R36+'12'!R36+'13'!R36+'15'!R36+'14'!R36+'16'!R36+'17'!R36+'19'!R36+'20'!R36+'22'!R36+'18'!R36+'21'!R36+'25'!R36+'23'!R36+'26'!R36+'24'!R36+'28'!R36+'27'!R36+'29'!R36+'31'!R36+'30'!R36</f>
        <v>0</v>
      </c>
      <c r="S36" s="27">
        <f>+'1'!S36+'3'!S36+'2'!S36+'6'!S36+'5'!S36+'4'!S36+'8'!S36+'7'!S36+'10'!S36+'9'!S36+'11'!S36+'12'!S36+'13'!S36+'15'!S36+'14'!S36+'16'!S36+'17'!S36+'19'!S36+'20'!S36+'22'!S36+'18'!S36+'21'!S36+'25'!S36+'23'!S36+'26'!S36+'24'!S36+'28'!S36+'27'!S36+'29'!S36+'31'!S36+'30'!S36</f>
        <v>0</v>
      </c>
      <c r="T36" s="43">
        <f>+'1'!T36+'3'!T36+'2'!T36+'6'!T36+'5'!T36+'4'!T36+'8'!T36+'7'!T36+'10'!T36+'9'!T36+'11'!T36+'12'!T36+'13'!T36+'15'!T36+'14'!T36+'16'!T36+'17'!T36+'19'!T36+'20'!T36+'22'!T36+'18'!T36+'21'!T36+'25'!T36+'23'!T36+'26'!T36+'24'!T36+'28'!T36+'27'!T36+'29'!T36+'31'!T36+'30'!T36</f>
        <v>0</v>
      </c>
      <c r="U36" s="52">
        <f>+'1'!U36+'3'!U36+'2'!U36+'6'!U36+'5'!U36+'4'!U36+'8'!U36+'7'!U36+'10'!U36+'9'!U36+'11'!U36+'12'!U36+'13'!U36+'15'!U36+'14'!U36+'16'!U36+'17'!U36+'19'!U36+'20'!U36+'22'!U36+'18'!U36+'21'!U36+'25'!U36+'23'!U36+'26'!U36+'24'!U36+'28'!U36+'27'!U36+'29'!U36+'31'!U36+'30'!U36</f>
        <v>0</v>
      </c>
      <c r="V36" s="52">
        <f>+'1'!V36+'3'!V36+'2'!V36+'6'!V36+'5'!V36+'4'!V36+'8'!V36+'7'!V36+'10'!V36+'9'!V36+'11'!V36+'12'!V36+'13'!V36+'15'!V36+'14'!V36+'16'!V36+'17'!V36+'19'!V36+'20'!V36+'22'!V36+'18'!V36+'21'!V36+'25'!V36+'23'!V36+'26'!V36+'24'!V36+'28'!V36+'27'!V36+'29'!V36+'31'!V36+'30'!V36</f>
        <v>0</v>
      </c>
      <c r="W36" s="52">
        <f>+'1'!W36+'3'!W36+'2'!W36+'6'!W36+'5'!W36+'4'!W36+'8'!W36+'7'!W36+'10'!W36+'9'!W36+'11'!W36+'12'!W36+'13'!W36+'15'!W36+'14'!W36+'16'!W36+'17'!W36+'19'!W36+'20'!W36+'22'!W36+'18'!W36+'21'!W36+'25'!W36+'23'!W36+'26'!W36+'24'!W36+'28'!W36+'27'!W36+'29'!W36+'31'!W36+'30'!W36</f>
        <v>0</v>
      </c>
      <c r="X36" s="52">
        <f>+'1'!X36+'3'!X36+'2'!X36+'6'!X36+'5'!X36+'4'!X36+'8'!X36+'7'!X36+'10'!X36+'9'!X36+'11'!X36+'12'!X36+'13'!X36+'15'!X36+'14'!X36+'16'!X36+'17'!X36+'19'!X36+'20'!X36+'22'!X36+'18'!X36+'21'!X36+'25'!X36+'23'!X36+'26'!X36+'24'!X36+'28'!X36+'27'!X36+'29'!X36+'31'!X36+'30'!X36</f>
        <v>0</v>
      </c>
      <c r="Y36" s="52">
        <f>+'1'!Y36+'3'!Y36+'2'!Y36+'6'!Y36+'5'!Y36+'4'!Y36+'8'!Y36+'7'!Y36+'10'!Y36+'9'!Y36+'11'!Y36+'12'!Y36+'13'!Y36+'15'!Y36+'14'!Y36+'16'!Y36+'17'!Y36+'19'!Y36+'20'!Y36+'22'!Y36+'18'!Y36+'21'!Y36+'25'!Y36+'23'!Y36+'26'!Y36+'24'!Y36+'28'!Y36+'27'!Y36+'29'!Y36+'31'!Y36+'30'!Y36</f>
        <v>0</v>
      </c>
      <c r="Z36" s="52">
        <f>+'1'!Z36+'3'!Z36+'2'!Z36+'6'!Z36+'5'!Z36+'4'!Z36+'8'!Z36+'7'!Z36+'10'!Z36+'9'!Z36+'11'!Z36+'12'!Z36+'13'!Z36+'15'!Z36+'14'!Z36+'16'!Z36+'17'!Z36+'19'!Z36+'20'!Z36+'22'!Z36+'18'!Z36+'21'!Z36+'25'!Z36+'23'!Z36+'26'!Z36+'24'!Z36+'28'!Z36+'27'!Z36+'29'!Z36+'31'!Z36+'30'!Z36</f>
        <v>0</v>
      </c>
      <c r="AA36" s="52">
        <f>+'1'!AA36+'3'!AA36+'2'!AA36+'6'!AA36+'5'!AA36+'4'!AA36+'8'!AA36+'7'!AA36+'10'!AA36+'9'!AA36+'11'!AA36+'12'!AA36+'13'!AA36+'15'!AA36+'14'!AA36+'16'!AA36+'17'!AA36+'19'!AA36+'20'!AA36+'22'!AA36+'18'!AA36+'21'!AA36+'25'!AA36+'23'!AA36+'26'!AA36+'24'!AA36+'28'!AA36+'27'!AA36+'29'!AA36+'31'!AA36+'30'!AA36</f>
        <v>0</v>
      </c>
      <c r="AB36" s="52">
        <f>+'1'!AB36+'3'!AB36+'2'!AB36+'6'!AB36+'5'!AB36+'4'!AB36+'8'!AB36+'7'!AB36+'10'!AB36+'9'!AB36+'11'!AB36+'12'!AB36+'13'!AB36+'15'!AB36+'14'!AB36+'16'!AB36+'17'!AB36+'19'!AB36+'20'!AB36+'22'!AB36+'18'!AB36+'21'!AB36+'25'!AB36+'23'!AB36+'26'!AB36+'24'!AB36+'28'!AB36+'27'!AB36+'29'!AB36+'31'!AB36+'30'!AB36</f>
        <v>0</v>
      </c>
      <c r="AC36" s="52">
        <f>+'1'!AC36+'3'!AC36+'2'!AC36+'6'!AC36+'5'!AC36+'4'!AC36+'8'!AC36+'7'!AC36+'10'!AC36+'9'!AC36+'11'!AC36+'12'!AC36+'13'!AC36+'15'!AC36+'14'!AC36+'16'!AC36+'17'!AC36+'19'!AC36+'20'!AC36+'22'!AC36+'18'!AC36+'21'!AC36+'25'!AC36+'23'!AC36+'26'!AC36+'24'!AC36+'28'!AC36+'27'!AC36+'29'!AC36+'31'!AC36+'30'!AC36</f>
        <v>0</v>
      </c>
      <c r="AD36" s="52">
        <f>+'1'!AD36+'3'!AD36+'2'!AD36+'6'!AD36+'5'!AD36+'4'!AD36+'8'!AD36+'7'!AD36+'10'!AD36+'9'!AD36+'11'!AD36+'12'!AD36+'13'!AD36+'15'!AD36+'14'!AD36+'16'!AD36+'17'!AD36+'19'!AD36+'20'!AD36+'22'!AD36+'18'!AD36+'21'!AD36+'25'!AD36+'23'!AD36+'26'!AD36+'24'!AD36+'28'!AD36+'27'!AD36+'29'!AD36+'31'!AD36+'30'!AD36</f>
        <v>0</v>
      </c>
      <c r="AE36" s="52">
        <f>+'1'!AE36+'3'!AE36+'2'!AE36+'6'!AE36+'5'!AE36+'4'!AE36+'8'!AE36+'7'!AE36+'10'!AE36+'9'!AE36+'11'!AE36+'12'!AE36+'13'!AE36+'15'!AE36+'14'!AE36+'16'!AE36+'17'!AE36+'19'!AE36+'20'!AE36+'22'!AE36+'18'!AE36+'21'!AE36+'25'!AE36+'23'!AE36+'26'!AE36+'24'!AE36+'28'!AE36+'27'!AE36+'29'!AE36+'31'!AE36+'30'!AE36</f>
        <v>0</v>
      </c>
      <c r="AF36" s="52">
        <f>+'1'!AF36+'3'!AF36+'2'!AF36+'6'!AF36+'5'!AF36+'4'!AF36+'8'!AF36+'7'!AF36+'10'!AF36+'9'!AF36+'11'!AF36+'12'!AF36+'13'!AF36+'15'!AF36+'14'!AF36+'16'!AF36+'17'!AF36+'19'!AF36+'20'!AF36+'22'!AF36+'18'!AF36+'21'!AF36+'25'!AF36+'23'!AF36+'26'!AF36+'24'!AF36+'28'!AF36+'27'!AF36+'29'!AF36+'31'!AF36+'30'!AF36</f>
        <v>0</v>
      </c>
      <c r="AG36" s="52">
        <f>+'1'!AG36+'3'!AG36+'2'!AG36+'6'!AG36+'5'!AG36+'4'!AG36+'8'!AG36+'7'!AG36+'10'!AG36+'9'!AG36+'11'!AG36+'12'!AG36+'13'!AG36+'15'!AG36+'14'!AG36+'16'!AG36+'17'!AG36+'19'!AG36+'20'!AG36+'22'!AG36+'18'!AG36+'21'!AG36+'25'!AG36+'23'!AG36+'26'!AG36+'24'!AG36+'28'!AG36+'27'!AG36+'29'!AG36+'31'!AG36+'30'!AG36</f>
        <v>0</v>
      </c>
      <c r="AH36" s="52">
        <f>+'1'!AH36+'3'!AH36+'2'!AH36+'6'!AH36+'5'!AH36+'4'!AH36+'8'!AH36+'7'!AH36+'10'!AH36+'9'!AH36+'11'!AH36+'12'!AH36+'13'!AH36+'15'!AH36+'14'!AH36+'16'!AH36+'17'!AH36+'19'!AH36+'20'!AH36+'22'!AH36+'18'!AH36+'21'!AH36+'25'!AH36+'23'!AH36+'26'!AH36+'24'!AH36+'28'!AH36+'27'!AH36+'29'!AH36+'31'!AH36+'30'!AH36</f>
        <v>0</v>
      </c>
      <c r="AI36" s="55">
        <f>+'1'!AI36+'3'!AI36+'2'!AI36+'6'!AI36+'5'!AI36+'4'!AI36+'8'!AI36+'7'!AI36+'10'!AI36+'9'!AI36+'11'!AI36+'12'!AI36+'13'!AI36+'15'!AI36+'14'!AI36+'16'!AI36+'17'!AI36+'19'!AI36+'20'!AI36+'22'!AI36+'18'!AI36+'21'!AI36+'25'!AI36+'23'!AI36+'26'!AI36+'24'!AI36+'28'!AI36+'27'!AI36+'29'!AI36+'31'!AI36+'30'!AI36</f>
        <v>0</v>
      </c>
      <c r="AJ36" s="58">
        <f>+'1'!AJ36+'3'!AJ36+'2'!AJ36+'6'!AJ36+'5'!AJ36+'4'!AJ36+'8'!AJ36+'7'!AJ36+'10'!AJ36+'9'!AJ36+'11'!AJ36+'12'!AJ36+'13'!AJ36+'15'!AJ36+'14'!AJ36+'16'!AJ36+'17'!AJ36+'19'!AJ36+'20'!AJ36+'22'!AJ36+'18'!AJ36+'21'!AJ36+'25'!AJ36+'23'!AJ36+'26'!AJ36+'24'!AJ36+'28'!AJ36+'27'!AJ36+'29'!AJ36+'31'!AJ36+'30'!AJ36</f>
        <v>0</v>
      </c>
      <c r="AK36" s="55">
        <f>+'1'!AK36+'3'!AK36+'2'!AK36+'6'!AK36+'5'!AK36+'4'!AK36+'8'!AK36+'7'!AK36+'10'!AK36+'9'!AK36+'11'!AK36+'12'!AK36+'13'!AK36+'15'!AK36+'14'!AK36+'16'!AK36+'17'!AK36+'19'!AK36+'20'!AK36+'22'!AK36+'18'!AK36+'21'!AK36+'25'!AK36+'23'!AK36+'26'!AK36+'24'!AK36+'28'!AK36+'27'!AK36+'29'!AK36+'31'!AK36+'30'!AK36</f>
        <v>0</v>
      </c>
      <c r="AL36" s="66">
        <f t="shared" si="4"/>
        <v>0</v>
      </c>
      <c r="AM36" s="28" t="str">
        <f t="shared" si="5"/>
        <v>OK</v>
      </c>
    </row>
    <row r="37" spans="1:39" customFormat="1">
      <c r="A37" s="80" t="s">
        <v>77</v>
      </c>
      <c r="B37" s="77">
        <v>10133</v>
      </c>
      <c r="C37" s="17" t="s">
        <v>55</v>
      </c>
      <c r="D37" s="69"/>
      <c r="E37" s="18"/>
      <c r="F37" s="18"/>
      <c r="G37" s="19"/>
      <c r="H37" s="20">
        <f>+'1'!H37+'3'!H37+'2'!H37+'6'!H37+'5'!H37+'4'!H37+'8'!H37+'7'!H37+'10'!H37+'9'!H37+'11'!H37+'12'!H37+'13'!H37+'15'!H37+'14'!H37+'16'!H37+'17'!H37+'19'!H37+'20'!H37+'22'!H37+'18'!H37+'21'!H37+'25'!H37+'23'!H37+'26'!H37+'24'!H37+'28'!H37+'27'!H37+'29'!H37+'31'!H37+'30'!H37</f>
        <v>24636</v>
      </c>
      <c r="I37" s="21">
        <f>+'1'!I37+'3'!I37+'2'!I37+'6'!I37+'5'!I37+'4'!I37+'8'!I37+'7'!I37+'10'!I37+'9'!I37+'11'!I37+'12'!I37+'13'!I37+'15'!I37+'14'!I37+'16'!I37+'17'!I37+'19'!I37+'20'!I37+'22'!I37+'18'!I37+'21'!I37+'25'!I37+'23'!I37+'26'!I37+'24'!I37+'28'!I37+'27'!I37+'29'!I37+'31'!I37+'30'!I37</f>
        <v>8</v>
      </c>
      <c r="J37" s="21"/>
      <c r="K37" s="16"/>
      <c r="L37" s="21">
        <f>+'1'!L37+'3'!L37+'2'!L37+'6'!L37+'5'!L37+'4'!L37+'8'!L37+'7'!L37+'10'!L37+'9'!L37+'11'!L37+'12'!L37+'13'!L37+'15'!L37+'14'!L37+'16'!L37+'17'!L37+'19'!L37+'20'!L37+'22'!L37+'18'!L37+'21'!L37+'25'!L37+'23'!L37+'26'!L37+'24'!L37+'28'!L37+'27'!L37+'29'!L37+'31'!L37+'30'!L37</f>
        <v>1</v>
      </c>
      <c r="M37" s="21">
        <f>+'1'!M37+'3'!M37+'2'!M37+'6'!M37+'5'!M37+'4'!M37+'8'!M37+'7'!M37+'10'!M37+'9'!M37+'11'!M37+'12'!M37+'13'!M37+'15'!M37+'14'!M37+'16'!M37+'17'!M37+'19'!M37+'20'!M37+'22'!M37+'18'!M37+'21'!M37+'25'!M37+'23'!M37+'26'!M37+'24'!M37+'28'!M37+'27'!M37+'29'!M37+'31'!M37+'30'!M37</f>
        <v>1</v>
      </c>
      <c r="N37" s="21">
        <f>+'1'!N37+'3'!N37+'2'!N37+'6'!N37+'5'!N37+'4'!N37+'8'!N37+'7'!N37+'10'!N37+'9'!N37+'11'!N37+'12'!N37+'13'!N37+'15'!N37+'14'!N37+'16'!N37+'17'!N37+'19'!N37+'20'!N37+'22'!N37+'18'!N37+'21'!N37+'25'!N37+'23'!N37+'26'!N37+'24'!N37+'28'!N37+'27'!N37+'29'!N37+'31'!N37+'30'!N37</f>
        <v>3</v>
      </c>
      <c r="O37" s="21">
        <f>+'1'!O37+'3'!O37+'2'!O37+'6'!O37+'5'!O37+'4'!O37+'8'!O37+'7'!O37+'10'!O37+'9'!O37+'11'!O37+'12'!O37+'13'!O37+'15'!O37+'14'!O37+'16'!O37+'17'!O37+'19'!O37+'20'!O37+'22'!O37+'18'!O37+'21'!O37+'25'!O37+'23'!O37+'26'!O37+'24'!O37+'28'!O37+'27'!O37+'29'!O37+'31'!O37+'30'!O37</f>
        <v>0</v>
      </c>
      <c r="P37" s="21">
        <f>+'1'!P37+'3'!P37+'2'!P37+'6'!P37+'5'!P37+'4'!P37+'8'!P37+'7'!P37+'10'!P37+'9'!P37+'11'!P37+'12'!P37+'13'!P37+'15'!P37+'14'!P37+'16'!P37+'17'!P37+'19'!P37+'20'!P37+'22'!P37+'18'!P37+'21'!P37+'25'!P37+'23'!P37+'26'!P37+'24'!P37+'28'!P37+'27'!P37+'29'!P37+'31'!P37+'30'!P37</f>
        <v>0</v>
      </c>
      <c r="Q37" s="21">
        <f>+'1'!Q37+'3'!Q37+'2'!Q37+'6'!Q37+'5'!Q37+'4'!Q37+'8'!Q37+'7'!Q37+'10'!Q37+'9'!Q37+'11'!Q37+'12'!Q37+'13'!Q37+'15'!Q37+'14'!Q37+'16'!Q37+'17'!Q37+'19'!Q37+'20'!Q37+'22'!Q37+'18'!Q37+'21'!Q37+'25'!Q37+'23'!Q37+'26'!Q37+'24'!Q37+'28'!Q37+'27'!Q37+'29'!Q37+'31'!Q37+'30'!Q37</f>
        <v>0</v>
      </c>
      <c r="R37" s="21">
        <f>+'1'!R37+'3'!R37+'2'!R37+'6'!R37+'5'!R37+'4'!R37+'8'!R37+'7'!R37+'10'!R37+'9'!R37+'11'!R37+'12'!R37+'13'!R37+'15'!R37+'14'!R37+'16'!R37+'17'!R37+'19'!R37+'20'!R37+'22'!R37+'18'!R37+'21'!R37+'25'!R37+'23'!R37+'26'!R37+'24'!R37+'28'!R37+'27'!R37+'29'!R37+'31'!R37+'30'!R37</f>
        <v>0</v>
      </c>
      <c r="S37" s="21">
        <f>+'1'!S37+'3'!S37+'2'!S37+'6'!S37+'5'!S37+'4'!S37+'8'!S37+'7'!S37+'10'!S37+'9'!S37+'11'!S37+'12'!S37+'13'!S37+'15'!S37+'14'!S37+'16'!S37+'17'!S37+'19'!S37+'20'!S37+'22'!S37+'18'!S37+'21'!S37+'25'!S37+'23'!S37+'26'!S37+'24'!S37+'28'!S37+'27'!S37+'29'!S37+'31'!S37+'30'!S37</f>
        <v>0</v>
      </c>
      <c r="T37" s="42">
        <f>+'1'!T37+'3'!T37+'2'!T37+'6'!T37+'5'!T37+'4'!T37+'8'!T37+'7'!T37+'10'!T37+'9'!T37+'11'!T37+'12'!T37+'13'!T37+'15'!T37+'14'!T37+'16'!T37+'17'!T37+'19'!T37+'20'!T37+'22'!T37+'18'!T37+'21'!T37+'25'!T37+'23'!T37+'26'!T37+'24'!T37+'28'!T37+'27'!T37+'29'!T37+'31'!T37+'30'!T37</f>
        <v>0</v>
      </c>
      <c r="U37" s="51">
        <f>+'1'!U37+'3'!U37+'2'!U37+'6'!U37+'5'!U37+'4'!U37+'8'!U37+'7'!U37+'10'!U37+'9'!U37+'11'!U37+'12'!U37+'13'!U37+'15'!U37+'14'!U37+'16'!U37+'17'!U37+'19'!U37+'20'!U37+'22'!U37+'18'!U37+'21'!U37+'25'!U37+'23'!U37+'26'!U37+'24'!U37+'28'!U37+'27'!U37+'29'!U37+'31'!U37+'30'!U37</f>
        <v>0</v>
      </c>
      <c r="V37" s="51">
        <f>+'1'!V37+'3'!V37+'2'!V37+'6'!V37+'5'!V37+'4'!V37+'8'!V37+'7'!V37+'10'!V37+'9'!V37+'11'!V37+'12'!V37+'13'!V37+'15'!V37+'14'!V37+'16'!V37+'17'!V37+'19'!V37+'20'!V37+'22'!V37+'18'!V37+'21'!V37+'25'!V37+'23'!V37+'26'!V37+'24'!V37+'28'!V37+'27'!V37+'29'!V37+'31'!V37+'30'!V37</f>
        <v>0</v>
      </c>
      <c r="W37" s="51">
        <f>+'1'!W37+'3'!W37+'2'!W37+'6'!W37+'5'!W37+'4'!W37+'8'!W37+'7'!W37+'10'!W37+'9'!W37+'11'!W37+'12'!W37+'13'!W37+'15'!W37+'14'!W37+'16'!W37+'17'!W37+'19'!W37+'20'!W37+'22'!W37+'18'!W37+'21'!W37+'25'!W37+'23'!W37+'26'!W37+'24'!W37+'28'!W37+'27'!W37+'29'!W37+'31'!W37+'30'!W37</f>
        <v>0</v>
      </c>
      <c r="X37" s="51">
        <f>+'1'!X37+'3'!X37+'2'!X37+'6'!X37+'5'!X37+'4'!X37+'8'!X37+'7'!X37+'10'!X37+'9'!X37+'11'!X37+'12'!X37+'13'!X37+'15'!X37+'14'!X37+'16'!X37+'17'!X37+'19'!X37+'20'!X37+'22'!X37+'18'!X37+'21'!X37+'25'!X37+'23'!X37+'26'!X37+'24'!X37+'28'!X37+'27'!X37+'29'!X37+'31'!X37+'30'!X37</f>
        <v>0</v>
      </c>
      <c r="Y37" s="51">
        <f>+'1'!Y37+'3'!Y37+'2'!Y37+'6'!Y37+'5'!Y37+'4'!Y37+'8'!Y37+'7'!Y37+'10'!Y37+'9'!Y37+'11'!Y37+'12'!Y37+'13'!Y37+'15'!Y37+'14'!Y37+'16'!Y37+'17'!Y37+'19'!Y37+'20'!Y37+'22'!Y37+'18'!Y37+'21'!Y37+'25'!Y37+'23'!Y37+'26'!Y37+'24'!Y37+'28'!Y37+'27'!Y37+'29'!Y37+'31'!Y37+'30'!Y37</f>
        <v>0</v>
      </c>
      <c r="Z37" s="51">
        <f>+'1'!Z37+'3'!Z37+'2'!Z37+'6'!Z37+'5'!Z37+'4'!Z37+'8'!Z37+'7'!Z37+'10'!Z37+'9'!Z37+'11'!Z37+'12'!Z37+'13'!Z37+'15'!Z37+'14'!Z37+'16'!Z37+'17'!Z37+'19'!Z37+'20'!Z37+'22'!Z37+'18'!Z37+'21'!Z37+'25'!Z37+'23'!Z37+'26'!Z37+'24'!Z37+'28'!Z37+'27'!Z37+'29'!Z37+'31'!Z37+'30'!Z37</f>
        <v>0</v>
      </c>
      <c r="AA37" s="51">
        <f>+'1'!AA37+'3'!AA37+'2'!AA37+'6'!AA37+'5'!AA37+'4'!AA37+'8'!AA37+'7'!AA37+'10'!AA37+'9'!AA37+'11'!AA37+'12'!AA37+'13'!AA37+'15'!AA37+'14'!AA37+'16'!AA37+'17'!AA37+'19'!AA37+'20'!AA37+'22'!AA37+'18'!AA37+'21'!AA37+'25'!AA37+'23'!AA37+'26'!AA37+'24'!AA37+'28'!AA37+'27'!AA37+'29'!AA37+'31'!AA37+'30'!AA37</f>
        <v>0</v>
      </c>
      <c r="AB37" s="51">
        <f>+'1'!AB37+'3'!AB37+'2'!AB37+'6'!AB37+'5'!AB37+'4'!AB37+'8'!AB37+'7'!AB37+'10'!AB37+'9'!AB37+'11'!AB37+'12'!AB37+'13'!AB37+'15'!AB37+'14'!AB37+'16'!AB37+'17'!AB37+'19'!AB37+'20'!AB37+'22'!AB37+'18'!AB37+'21'!AB37+'25'!AB37+'23'!AB37+'26'!AB37+'24'!AB37+'28'!AB37+'27'!AB37+'29'!AB37+'31'!AB37+'30'!AB37</f>
        <v>0</v>
      </c>
      <c r="AC37" s="51">
        <f>+'1'!AC37+'3'!AC37+'2'!AC37+'6'!AC37+'5'!AC37+'4'!AC37+'8'!AC37+'7'!AC37+'10'!AC37+'9'!AC37+'11'!AC37+'12'!AC37+'13'!AC37+'15'!AC37+'14'!AC37+'16'!AC37+'17'!AC37+'19'!AC37+'20'!AC37+'22'!AC37+'18'!AC37+'21'!AC37+'25'!AC37+'23'!AC37+'26'!AC37+'24'!AC37+'28'!AC37+'27'!AC37+'29'!AC37+'31'!AC37+'30'!AC37</f>
        <v>3</v>
      </c>
      <c r="AD37" s="51">
        <f>+'1'!AD37+'3'!AD37+'2'!AD37+'6'!AD37+'5'!AD37+'4'!AD37+'8'!AD37+'7'!AD37+'10'!AD37+'9'!AD37+'11'!AD37+'12'!AD37+'13'!AD37+'15'!AD37+'14'!AD37+'16'!AD37+'17'!AD37+'19'!AD37+'20'!AD37+'22'!AD37+'18'!AD37+'21'!AD37+'25'!AD37+'23'!AD37+'26'!AD37+'24'!AD37+'28'!AD37+'27'!AD37+'29'!AD37+'31'!AD37+'30'!AD37</f>
        <v>0</v>
      </c>
      <c r="AE37" s="51">
        <f>+'1'!AE37+'3'!AE37+'2'!AE37+'6'!AE37+'5'!AE37+'4'!AE37+'8'!AE37+'7'!AE37+'10'!AE37+'9'!AE37+'11'!AE37+'12'!AE37+'13'!AE37+'15'!AE37+'14'!AE37+'16'!AE37+'17'!AE37+'19'!AE37+'20'!AE37+'22'!AE37+'18'!AE37+'21'!AE37+'25'!AE37+'23'!AE37+'26'!AE37+'24'!AE37+'28'!AE37+'27'!AE37+'29'!AE37+'31'!AE37+'30'!AE37</f>
        <v>0</v>
      </c>
      <c r="AF37" s="51">
        <f>+'1'!AF37+'3'!AF37+'2'!AF37+'6'!AF37+'5'!AF37+'4'!AF37+'8'!AF37+'7'!AF37+'10'!AF37+'9'!AF37+'11'!AF37+'12'!AF37+'13'!AF37+'15'!AF37+'14'!AF37+'16'!AF37+'17'!AF37+'19'!AF37+'20'!AF37+'22'!AF37+'18'!AF37+'21'!AF37+'25'!AF37+'23'!AF37+'26'!AF37+'24'!AF37+'28'!AF37+'27'!AF37+'29'!AF37+'31'!AF37+'30'!AF37</f>
        <v>0</v>
      </c>
      <c r="AG37" s="51">
        <f>+'1'!AG37+'3'!AG37+'2'!AG37+'6'!AG37+'5'!AG37+'4'!AG37+'8'!AG37+'7'!AG37+'10'!AG37+'9'!AG37+'11'!AG37+'12'!AG37+'13'!AG37+'15'!AG37+'14'!AG37+'16'!AG37+'17'!AG37+'19'!AG37+'20'!AG37+'22'!AG37+'18'!AG37+'21'!AG37+'25'!AG37+'23'!AG37+'26'!AG37+'24'!AG37+'28'!AG37+'27'!AG37+'29'!AG37+'31'!AG37+'30'!AG37</f>
        <v>0</v>
      </c>
      <c r="AH37" s="51">
        <f>+'1'!AH37+'3'!AH37+'2'!AH37+'6'!AH37+'5'!AH37+'4'!AH37+'8'!AH37+'7'!AH37+'10'!AH37+'9'!AH37+'11'!AH37+'12'!AH37+'13'!AH37+'15'!AH37+'14'!AH37+'16'!AH37+'17'!AH37+'19'!AH37+'20'!AH37+'22'!AH37+'18'!AH37+'21'!AH37+'25'!AH37+'23'!AH37+'26'!AH37+'24'!AH37+'28'!AH37+'27'!AH37+'29'!AH37+'31'!AH37+'30'!AH37</f>
        <v>0</v>
      </c>
      <c r="AI37" s="54">
        <f>+'1'!AI37+'3'!AI37+'2'!AI37+'6'!AI37+'5'!AI37+'4'!AI37+'8'!AI37+'7'!AI37+'10'!AI37+'9'!AI37+'11'!AI37+'12'!AI37+'13'!AI37+'15'!AI37+'14'!AI37+'16'!AI37+'17'!AI37+'19'!AI37+'20'!AI37+'22'!AI37+'18'!AI37+'21'!AI37+'25'!AI37+'23'!AI37+'26'!AI37+'24'!AI37+'28'!AI37+'27'!AI37+'29'!AI37+'31'!AI37+'30'!AI37</f>
        <v>0</v>
      </c>
      <c r="AJ37" s="57">
        <f>+'1'!AJ37+'3'!AJ37+'2'!AJ37+'6'!AJ37+'5'!AJ37+'4'!AJ37+'8'!AJ37+'7'!AJ37+'10'!AJ37+'9'!AJ37+'11'!AJ37+'12'!AJ37+'13'!AJ37+'15'!AJ37+'14'!AJ37+'16'!AJ37+'17'!AJ37+'19'!AJ37+'20'!AJ37+'22'!AJ37+'18'!AJ37+'21'!AJ37+'25'!AJ37+'23'!AJ37+'26'!AJ37+'24'!AJ37+'28'!AJ37+'27'!AJ37+'29'!AJ37+'31'!AJ37+'30'!AJ37</f>
        <v>0</v>
      </c>
      <c r="AK37" s="54">
        <f>+'1'!AK37+'3'!AK37+'2'!AK37+'6'!AK37+'5'!AK37+'4'!AK37+'8'!AK37+'7'!AK37+'10'!AK37+'9'!AK37+'11'!AK37+'12'!AK37+'13'!AK37+'15'!AK37+'14'!AK37+'16'!AK37+'17'!AK37+'19'!AK37+'20'!AK37+'22'!AK37+'18'!AK37+'21'!AK37+'25'!AK37+'23'!AK37+'26'!AK37+'24'!AK37+'28'!AK37+'27'!AK37+'29'!AK37+'31'!AK37+'30'!AK37</f>
        <v>0</v>
      </c>
      <c r="AL37" s="65">
        <f>SUM(L37:AK37)</f>
        <v>8</v>
      </c>
      <c r="AM37" s="22" t="str">
        <f>IF(AL37=I37,"OK","NG")</f>
        <v>OK</v>
      </c>
    </row>
    <row r="38" spans="1:39" customFormat="1">
      <c r="A38" s="68" t="s">
        <v>78</v>
      </c>
      <c r="B38" s="78">
        <v>10131</v>
      </c>
      <c r="C38" s="23" t="s">
        <v>56</v>
      </c>
      <c r="D38" s="24"/>
      <c r="E38" s="24"/>
      <c r="F38" s="24"/>
      <c r="G38" s="25"/>
      <c r="H38" s="26">
        <f>+'1'!H38+'3'!H38+'2'!H38+'6'!H38+'5'!H38+'4'!H38+'8'!H38+'7'!H38+'10'!H38+'9'!H38+'11'!H38+'12'!H38+'13'!H38+'15'!H38+'14'!H38+'16'!H38+'17'!H38+'19'!H38+'20'!H38+'22'!H38+'18'!H38+'21'!H38+'25'!H38+'23'!H38+'26'!H38+'24'!H38+'28'!H38+'27'!H38+'29'!H38+'31'!H38+'30'!H38</f>
        <v>26663</v>
      </c>
      <c r="I38" s="27">
        <f>+'1'!I38+'3'!I38+'2'!I38+'6'!I38+'5'!I38+'4'!I38+'8'!I38+'7'!I38+'10'!I38+'9'!I38+'11'!I38+'12'!I38+'13'!I38+'15'!I38+'14'!I38+'16'!I38+'17'!I38+'19'!I38+'20'!I38+'22'!I38+'18'!I38+'21'!I38+'25'!I38+'23'!I38+'26'!I38+'24'!I38+'28'!I38+'27'!I38+'29'!I38+'31'!I38+'30'!I38</f>
        <v>15</v>
      </c>
      <c r="J38" s="27"/>
      <c r="K38" s="16"/>
      <c r="L38" s="27">
        <f>+'1'!L38+'3'!L38+'2'!L38+'6'!L38+'5'!L38+'4'!L38+'8'!L38+'7'!L38+'10'!L38+'9'!L38+'11'!L38+'12'!L38+'13'!L38+'15'!L38+'14'!L38+'16'!L38+'17'!L38+'19'!L38+'20'!L38+'22'!L38+'18'!L38+'21'!L38+'25'!L38+'23'!L38+'26'!L38+'24'!L38+'28'!L38+'27'!L38+'29'!L38+'31'!L38+'30'!L38</f>
        <v>6</v>
      </c>
      <c r="M38" s="27">
        <f>+'1'!M38+'3'!M38+'2'!M38+'6'!M38+'5'!M38+'4'!M38+'8'!M38+'7'!M38+'10'!M38+'9'!M38+'11'!M38+'12'!M38+'13'!M38+'15'!M38+'14'!M38+'16'!M38+'17'!M38+'19'!M38+'20'!M38+'22'!M38+'18'!M38+'21'!M38+'25'!M38+'23'!M38+'26'!M38+'24'!M38+'28'!M38+'27'!M38+'29'!M38+'31'!M38+'30'!M38</f>
        <v>1</v>
      </c>
      <c r="N38" s="27">
        <f>+'1'!N38+'3'!N38+'2'!N38+'6'!N38+'5'!N38+'4'!N38+'8'!N38+'7'!N38+'10'!N38+'9'!N38+'11'!N38+'12'!N38+'13'!N38+'15'!N38+'14'!N38+'16'!N38+'17'!N38+'19'!N38+'20'!N38+'22'!N38+'18'!N38+'21'!N38+'25'!N38+'23'!N38+'26'!N38+'24'!N38+'28'!N38+'27'!N38+'29'!N38+'31'!N38+'30'!N38</f>
        <v>0</v>
      </c>
      <c r="O38" s="27">
        <f>+'1'!O38+'3'!O38+'2'!O38+'6'!O38+'5'!O38+'4'!O38+'8'!O38+'7'!O38+'10'!O38+'9'!O38+'11'!O38+'12'!O38+'13'!O38+'15'!O38+'14'!O38+'16'!O38+'17'!O38+'19'!O38+'20'!O38+'22'!O38+'18'!O38+'21'!O38+'25'!O38+'23'!O38+'26'!O38+'24'!O38+'28'!O38+'27'!O38+'29'!O38+'31'!O38+'30'!O38</f>
        <v>0</v>
      </c>
      <c r="P38" s="27">
        <f>+'1'!P38+'3'!P38+'2'!P38+'6'!P38+'5'!P38+'4'!P38+'8'!P38+'7'!P38+'10'!P38+'9'!P38+'11'!P38+'12'!P38+'13'!P38+'15'!P38+'14'!P38+'16'!P38+'17'!P38+'19'!P38+'20'!P38+'22'!P38+'18'!P38+'21'!P38+'25'!P38+'23'!P38+'26'!P38+'24'!P38+'28'!P38+'27'!P38+'29'!P38+'31'!P38+'30'!P38</f>
        <v>0</v>
      </c>
      <c r="Q38" s="27">
        <f>+'1'!Q38+'3'!Q38+'2'!Q38+'6'!Q38+'5'!Q38+'4'!Q38+'8'!Q38+'7'!Q38+'10'!Q38+'9'!Q38+'11'!Q38+'12'!Q38+'13'!Q38+'15'!Q38+'14'!Q38+'16'!Q38+'17'!Q38+'19'!Q38+'20'!Q38+'22'!Q38+'18'!Q38+'21'!Q38+'25'!Q38+'23'!Q38+'26'!Q38+'24'!Q38+'28'!Q38+'27'!Q38+'29'!Q38+'31'!Q38+'30'!Q38</f>
        <v>0</v>
      </c>
      <c r="R38" s="27">
        <f>+'1'!R38+'3'!R38+'2'!R38+'6'!R38+'5'!R38+'4'!R38+'8'!R38+'7'!R38+'10'!R38+'9'!R38+'11'!R38+'12'!R38+'13'!R38+'15'!R38+'14'!R38+'16'!R38+'17'!R38+'19'!R38+'20'!R38+'22'!R38+'18'!R38+'21'!R38+'25'!R38+'23'!R38+'26'!R38+'24'!R38+'28'!R38+'27'!R38+'29'!R38+'31'!R38+'30'!R38</f>
        <v>0</v>
      </c>
      <c r="S38" s="27">
        <f>+'1'!S38+'3'!S38+'2'!S38+'6'!S38+'5'!S38+'4'!S38+'8'!S38+'7'!S38+'10'!S38+'9'!S38+'11'!S38+'12'!S38+'13'!S38+'15'!S38+'14'!S38+'16'!S38+'17'!S38+'19'!S38+'20'!S38+'22'!S38+'18'!S38+'21'!S38+'25'!S38+'23'!S38+'26'!S38+'24'!S38+'28'!S38+'27'!S38+'29'!S38+'31'!S38+'30'!S38</f>
        <v>0</v>
      </c>
      <c r="T38" s="43">
        <f>+'1'!T38+'3'!T38+'2'!T38+'6'!T38+'5'!T38+'4'!T38+'8'!T38+'7'!T38+'10'!T38+'9'!T38+'11'!T38+'12'!T38+'13'!T38+'15'!T38+'14'!T38+'16'!T38+'17'!T38+'19'!T38+'20'!T38+'22'!T38+'18'!T38+'21'!T38+'25'!T38+'23'!T38+'26'!T38+'24'!T38+'28'!T38+'27'!T38+'29'!T38+'31'!T38+'30'!T38</f>
        <v>0</v>
      </c>
      <c r="U38" s="52">
        <f>+'1'!U38+'3'!U38+'2'!U38+'6'!U38+'5'!U38+'4'!U38+'8'!U38+'7'!U38+'10'!U38+'9'!U38+'11'!U38+'12'!U38+'13'!U38+'15'!U38+'14'!U38+'16'!U38+'17'!U38+'19'!U38+'20'!U38+'22'!U38+'18'!U38+'21'!U38+'25'!U38+'23'!U38+'26'!U38+'24'!U38+'28'!U38+'27'!U38+'29'!U38+'31'!U38+'30'!U38</f>
        <v>0</v>
      </c>
      <c r="V38" s="52">
        <f>+'1'!V38+'3'!V38+'2'!V38+'6'!V38+'5'!V38+'4'!V38+'8'!V38+'7'!V38+'10'!V38+'9'!V38+'11'!V38+'12'!V38+'13'!V38+'15'!V38+'14'!V38+'16'!V38+'17'!V38+'19'!V38+'20'!V38+'22'!V38+'18'!V38+'21'!V38+'25'!V38+'23'!V38+'26'!V38+'24'!V38+'28'!V38+'27'!V38+'29'!V38+'31'!V38+'30'!V38</f>
        <v>1</v>
      </c>
      <c r="W38" s="52">
        <f>+'1'!W38+'3'!W38+'2'!W38+'6'!W38+'5'!W38+'4'!W38+'8'!W38+'7'!W38+'10'!W38+'9'!W38+'11'!W38+'12'!W38+'13'!W38+'15'!W38+'14'!W38+'16'!W38+'17'!W38+'19'!W38+'20'!W38+'22'!W38+'18'!W38+'21'!W38+'25'!W38+'23'!W38+'26'!W38+'24'!W38+'28'!W38+'27'!W38+'29'!W38+'31'!W38+'30'!W38</f>
        <v>0</v>
      </c>
      <c r="X38" s="52">
        <f>+'1'!X38+'3'!X38+'2'!X38+'6'!X38+'5'!X38+'4'!X38+'8'!X38+'7'!X38+'10'!X38+'9'!X38+'11'!X38+'12'!X38+'13'!X38+'15'!X38+'14'!X38+'16'!X38+'17'!X38+'19'!X38+'20'!X38+'22'!X38+'18'!X38+'21'!X38+'25'!X38+'23'!X38+'26'!X38+'24'!X38+'28'!X38+'27'!X38+'29'!X38+'31'!X38+'30'!X38</f>
        <v>0</v>
      </c>
      <c r="Y38" s="52">
        <f>+'1'!Y38+'3'!Y38+'2'!Y38+'6'!Y38+'5'!Y38+'4'!Y38+'8'!Y38+'7'!Y38+'10'!Y38+'9'!Y38+'11'!Y38+'12'!Y38+'13'!Y38+'15'!Y38+'14'!Y38+'16'!Y38+'17'!Y38+'19'!Y38+'20'!Y38+'22'!Y38+'18'!Y38+'21'!Y38+'25'!Y38+'23'!Y38+'26'!Y38+'24'!Y38+'28'!Y38+'27'!Y38+'29'!Y38+'31'!Y38+'30'!Y38</f>
        <v>0</v>
      </c>
      <c r="Z38" s="52">
        <f>+'1'!Z38+'3'!Z38+'2'!Z38+'6'!Z38+'5'!Z38+'4'!Z38+'8'!Z38+'7'!Z38+'10'!Z38+'9'!Z38+'11'!Z38+'12'!Z38+'13'!Z38+'15'!Z38+'14'!Z38+'16'!Z38+'17'!Z38+'19'!Z38+'20'!Z38+'22'!Z38+'18'!Z38+'21'!Z38+'25'!Z38+'23'!Z38+'26'!Z38+'24'!Z38+'28'!Z38+'27'!Z38+'29'!Z38+'31'!Z38+'30'!Z38</f>
        <v>0</v>
      </c>
      <c r="AA38" s="52">
        <f>+'1'!AA38+'3'!AA38+'2'!AA38+'6'!AA38+'5'!AA38+'4'!AA38+'8'!AA38+'7'!AA38+'10'!AA38+'9'!AA38+'11'!AA38+'12'!AA38+'13'!AA38+'15'!AA38+'14'!AA38+'16'!AA38+'17'!AA38+'19'!AA38+'20'!AA38+'22'!AA38+'18'!AA38+'21'!AA38+'25'!AA38+'23'!AA38+'26'!AA38+'24'!AA38+'28'!AA38+'27'!AA38+'29'!AA38+'31'!AA38+'30'!AA38</f>
        <v>0</v>
      </c>
      <c r="AB38" s="52">
        <f>+'1'!AB38+'3'!AB38+'2'!AB38+'6'!AB38+'5'!AB38+'4'!AB38+'8'!AB38+'7'!AB38+'10'!AB38+'9'!AB38+'11'!AB38+'12'!AB38+'13'!AB38+'15'!AB38+'14'!AB38+'16'!AB38+'17'!AB38+'19'!AB38+'20'!AB38+'22'!AB38+'18'!AB38+'21'!AB38+'25'!AB38+'23'!AB38+'26'!AB38+'24'!AB38+'28'!AB38+'27'!AB38+'29'!AB38+'31'!AB38+'30'!AB38</f>
        <v>1</v>
      </c>
      <c r="AC38" s="52">
        <f>+'1'!AC38+'3'!AC38+'2'!AC38+'6'!AC38+'5'!AC38+'4'!AC38+'8'!AC38+'7'!AC38+'10'!AC38+'9'!AC38+'11'!AC38+'12'!AC38+'13'!AC38+'15'!AC38+'14'!AC38+'16'!AC38+'17'!AC38+'19'!AC38+'20'!AC38+'22'!AC38+'18'!AC38+'21'!AC38+'25'!AC38+'23'!AC38+'26'!AC38+'24'!AC38+'28'!AC38+'27'!AC38+'29'!AC38+'31'!AC38+'30'!AC38</f>
        <v>4</v>
      </c>
      <c r="AD38" s="52">
        <f>+'1'!AD38+'3'!AD38+'2'!AD38+'6'!AD38+'5'!AD38+'4'!AD38+'8'!AD38+'7'!AD38+'10'!AD38+'9'!AD38+'11'!AD38+'12'!AD38+'13'!AD38+'15'!AD38+'14'!AD38+'16'!AD38+'17'!AD38+'19'!AD38+'20'!AD38+'22'!AD38+'18'!AD38+'21'!AD38+'25'!AD38+'23'!AD38+'26'!AD38+'24'!AD38+'28'!AD38+'27'!AD38+'29'!AD38+'31'!AD38+'30'!AD38</f>
        <v>0</v>
      </c>
      <c r="AE38" s="52">
        <f>+'1'!AE38+'3'!AE38+'2'!AE38+'6'!AE38+'5'!AE38+'4'!AE38+'8'!AE38+'7'!AE38+'10'!AE38+'9'!AE38+'11'!AE38+'12'!AE38+'13'!AE38+'15'!AE38+'14'!AE38+'16'!AE38+'17'!AE38+'19'!AE38+'20'!AE38+'22'!AE38+'18'!AE38+'21'!AE38+'25'!AE38+'23'!AE38+'26'!AE38+'24'!AE38+'28'!AE38+'27'!AE38+'29'!AE38+'31'!AE38+'30'!AE38</f>
        <v>0</v>
      </c>
      <c r="AF38" s="52">
        <f>+'1'!AF38+'3'!AF38+'2'!AF38+'6'!AF38+'5'!AF38+'4'!AF38+'8'!AF38+'7'!AF38+'10'!AF38+'9'!AF38+'11'!AF38+'12'!AF38+'13'!AF38+'15'!AF38+'14'!AF38+'16'!AF38+'17'!AF38+'19'!AF38+'20'!AF38+'22'!AF38+'18'!AF38+'21'!AF38+'25'!AF38+'23'!AF38+'26'!AF38+'24'!AF38+'28'!AF38+'27'!AF38+'29'!AF38+'31'!AF38+'30'!AF38</f>
        <v>0</v>
      </c>
      <c r="AG38" s="52">
        <f>+'1'!AG38+'3'!AG38+'2'!AG38+'6'!AG38+'5'!AG38+'4'!AG38+'8'!AG38+'7'!AG38+'10'!AG38+'9'!AG38+'11'!AG38+'12'!AG38+'13'!AG38+'15'!AG38+'14'!AG38+'16'!AG38+'17'!AG38+'19'!AG38+'20'!AG38+'22'!AG38+'18'!AG38+'21'!AG38+'25'!AG38+'23'!AG38+'26'!AG38+'24'!AG38+'28'!AG38+'27'!AG38+'29'!AG38+'31'!AG38+'30'!AG38</f>
        <v>0</v>
      </c>
      <c r="AH38" s="52">
        <f>+'1'!AH38+'3'!AH38+'2'!AH38+'6'!AH38+'5'!AH38+'4'!AH38+'8'!AH38+'7'!AH38+'10'!AH38+'9'!AH38+'11'!AH38+'12'!AH38+'13'!AH38+'15'!AH38+'14'!AH38+'16'!AH38+'17'!AH38+'19'!AH38+'20'!AH38+'22'!AH38+'18'!AH38+'21'!AH38+'25'!AH38+'23'!AH38+'26'!AH38+'24'!AH38+'28'!AH38+'27'!AH38+'29'!AH38+'31'!AH38+'30'!AH38</f>
        <v>0</v>
      </c>
      <c r="AI38" s="55">
        <f>+'1'!AI38+'3'!AI38+'2'!AI38+'6'!AI38+'5'!AI38+'4'!AI38+'8'!AI38+'7'!AI38+'10'!AI38+'9'!AI38+'11'!AI38+'12'!AI38+'13'!AI38+'15'!AI38+'14'!AI38+'16'!AI38+'17'!AI38+'19'!AI38+'20'!AI38+'22'!AI38+'18'!AI38+'21'!AI38+'25'!AI38+'23'!AI38+'26'!AI38+'24'!AI38+'28'!AI38+'27'!AI38+'29'!AI38+'31'!AI38+'30'!AI38</f>
        <v>2</v>
      </c>
      <c r="AJ38" s="58">
        <f>+'1'!AJ38+'3'!AJ38+'2'!AJ38+'6'!AJ38+'5'!AJ38+'4'!AJ38+'8'!AJ38+'7'!AJ38+'10'!AJ38+'9'!AJ38+'11'!AJ38+'12'!AJ38+'13'!AJ38+'15'!AJ38+'14'!AJ38+'16'!AJ38+'17'!AJ38+'19'!AJ38+'20'!AJ38+'22'!AJ38+'18'!AJ38+'21'!AJ38+'25'!AJ38+'23'!AJ38+'26'!AJ38+'24'!AJ38+'28'!AJ38+'27'!AJ38+'29'!AJ38+'31'!AJ38+'30'!AJ38</f>
        <v>0</v>
      </c>
      <c r="AK38" s="55">
        <f>+'1'!AK38+'3'!AK38+'2'!AK38+'6'!AK38+'5'!AK38+'4'!AK38+'8'!AK38+'7'!AK38+'10'!AK38+'9'!AK38+'11'!AK38+'12'!AK38+'13'!AK38+'15'!AK38+'14'!AK38+'16'!AK38+'17'!AK38+'19'!AK38+'20'!AK38+'22'!AK38+'18'!AK38+'21'!AK38+'25'!AK38+'23'!AK38+'26'!AK38+'24'!AK38+'28'!AK38+'27'!AK38+'29'!AK38+'31'!AK38+'30'!AK38</f>
        <v>0</v>
      </c>
      <c r="AL38" s="66">
        <f t="shared" ref="AL38:AL64" si="6">SUM(L38:AK38)</f>
        <v>15</v>
      </c>
      <c r="AM38" s="28" t="str">
        <f t="shared" ref="AM38:AM64" si="7">IF(AL38=I38,"OK","NG")</f>
        <v>OK</v>
      </c>
    </row>
    <row r="39" spans="1:39" customFormat="1">
      <c r="A39" s="17" t="s">
        <v>79</v>
      </c>
      <c r="B39" s="77">
        <v>10129</v>
      </c>
      <c r="C39" s="17" t="s">
        <v>57</v>
      </c>
      <c r="D39" s="69"/>
      <c r="E39" s="18"/>
      <c r="F39" s="18"/>
      <c r="G39" s="19"/>
      <c r="H39" s="20">
        <f>+'1'!H39+'3'!H39+'2'!H39+'6'!H39+'5'!H39+'4'!H39+'8'!H39+'7'!H39+'10'!H39+'9'!H39+'11'!H39+'12'!H39+'13'!H39+'15'!H39+'14'!H39+'16'!H39+'17'!H39+'19'!H39+'20'!H39+'22'!H39+'18'!H39+'21'!H39+'25'!H39+'23'!H39+'26'!H39+'24'!H39+'28'!H39+'27'!H39+'29'!H39+'31'!H39+'30'!H39</f>
        <v>17341</v>
      </c>
      <c r="I39" s="21">
        <f>+'1'!I39+'3'!I39+'2'!I39+'6'!I39+'5'!I39+'4'!I39+'8'!I39+'7'!I39+'10'!I39+'9'!I39+'11'!I39+'12'!I39+'13'!I39+'15'!I39+'14'!I39+'16'!I39+'17'!I39+'19'!I39+'20'!I39+'22'!I39+'18'!I39+'21'!I39+'25'!I39+'23'!I39+'26'!I39+'24'!I39+'28'!I39+'27'!I39+'29'!I39+'31'!I39+'30'!I39</f>
        <v>9</v>
      </c>
      <c r="J39" s="21"/>
      <c r="K39" s="16"/>
      <c r="L39" s="21">
        <f>+'1'!L39+'3'!L39+'2'!L39+'6'!L39+'5'!L39+'4'!L39+'8'!L39+'7'!L39+'10'!L39+'9'!L39+'11'!L39+'12'!L39+'13'!L39+'15'!L39+'14'!L39+'16'!L39+'17'!L39+'19'!L39+'20'!L39+'22'!L39+'18'!L39+'21'!L39+'25'!L39+'23'!L39+'26'!L39+'24'!L39+'28'!L39+'27'!L39+'29'!L39+'31'!L39+'30'!L39</f>
        <v>1</v>
      </c>
      <c r="M39" s="21">
        <f>+'1'!M39+'3'!M39+'2'!M39+'6'!M39+'5'!M39+'4'!M39+'8'!M39+'7'!M39+'10'!M39+'9'!M39+'11'!M39+'12'!M39+'13'!M39+'15'!M39+'14'!M39+'16'!M39+'17'!M39+'19'!M39+'20'!M39+'22'!M39+'18'!M39+'21'!M39+'25'!M39+'23'!M39+'26'!M39+'24'!M39+'28'!M39+'27'!M39+'29'!M39+'31'!M39+'30'!M39</f>
        <v>1</v>
      </c>
      <c r="N39" s="21">
        <f>+'1'!N39+'3'!N39+'2'!N39+'6'!N39+'5'!N39+'4'!N39+'8'!N39+'7'!N39+'10'!N39+'9'!N39+'11'!N39+'12'!N39+'13'!N39+'15'!N39+'14'!N39+'16'!N39+'17'!N39+'19'!N39+'20'!N39+'22'!N39+'18'!N39+'21'!N39+'25'!N39+'23'!N39+'26'!N39+'24'!N39+'28'!N39+'27'!N39+'29'!N39+'31'!N39+'30'!N39</f>
        <v>2</v>
      </c>
      <c r="O39" s="21">
        <f>+'1'!O39+'3'!O39+'2'!O39+'6'!O39+'5'!O39+'4'!O39+'8'!O39+'7'!O39+'10'!O39+'9'!O39+'11'!O39+'12'!O39+'13'!O39+'15'!O39+'14'!O39+'16'!O39+'17'!O39+'19'!O39+'20'!O39+'22'!O39+'18'!O39+'21'!O39+'25'!O39+'23'!O39+'26'!O39+'24'!O39+'28'!O39+'27'!O39+'29'!O39+'31'!O39+'30'!O39</f>
        <v>0</v>
      </c>
      <c r="P39" s="21">
        <f>+'1'!P39+'3'!P39+'2'!P39+'6'!P39+'5'!P39+'4'!P39+'8'!P39+'7'!P39+'10'!P39+'9'!P39+'11'!P39+'12'!P39+'13'!P39+'15'!P39+'14'!P39+'16'!P39+'17'!P39+'19'!P39+'20'!P39+'22'!P39+'18'!P39+'21'!P39+'25'!P39+'23'!P39+'26'!P39+'24'!P39+'28'!P39+'27'!P39+'29'!P39+'31'!P39+'30'!P39</f>
        <v>0</v>
      </c>
      <c r="Q39" s="21">
        <f>+'1'!Q39+'3'!Q39+'2'!Q39+'6'!Q39+'5'!Q39+'4'!Q39+'8'!Q39+'7'!Q39+'10'!Q39+'9'!Q39+'11'!Q39+'12'!Q39+'13'!Q39+'15'!Q39+'14'!Q39+'16'!Q39+'17'!Q39+'19'!Q39+'20'!Q39+'22'!Q39+'18'!Q39+'21'!Q39+'25'!Q39+'23'!Q39+'26'!Q39+'24'!Q39+'28'!Q39+'27'!Q39+'29'!Q39+'31'!Q39+'30'!Q39</f>
        <v>0</v>
      </c>
      <c r="R39" s="21">
        <f>+'1'!R39+'3'!R39+'2'!R39+'6'!R39+'5'!R39+'4'!R39+'8'!R39+'7'!R39+'10'!R39+'9'!R39+'11'!R39+'12'!R39+'13'!R39+'15'!R39+'14'!R39+'16'!R39+'17'!R39+'19'!R39+'20'!R39+'22'!R39+'18'!R39+'21'!R39+'25'!R39+'23'!R39+'26'!R39+'24'!R39+'28'!R39+'27'!R39+'29'!R39+'31'!R39+'30'!R39</f>
        <v>0</v>
      </c>
      <c r="S39" s="21">
        <f>+'1'!S39+'3'!S39+'2'!S39+'6'!S39+'5'!S39+'4'!S39+'8'!S39+'7'!S39+'10'!S39+'9'!S39+'11'!S39+'12'!S39+'13'!S39+'15'!S39+'14'!S39+'16'!S39+'17'!S39+'19'!S39+'20'!S39+'22'!S39+'18'!S39+'21'!S39+'25'!S39+'23'!S39+'26'!S39+'24'!S39+'28'!S39+'27'!S39+'29'!S39+'31'!S39+'30'!S39</f>
        <v>0</v>
      </c>
      <c r="T39" s="42">
        <f>+'1'!T39+'3'!T39+'2'!T39+'6'!T39+'5'!T39+'4'!T39+'8'!T39+'7'!T39+'10'!T39+'9'!T39+'11'!T39+'12'!T39+'13'!T39+'15'!T39+'14'!T39+'16'!T39+'17'!T39+'19'!T39+'20'!T39+'22'!T39+'18'!T39+'21'!T39+'25'!T39+'23'!T39+'26'!T39+'24'!T39+'28'!T39+'27'!T39+'29'!T39+'31'!T39+'30'!T39</f>
        <v>0</v>
      </c>
      <c r="U39" s="51">
        <f>+'1'!U39+'3'!U39+'2'!U39+'6'!U39+'5'!U39+'4'!U39+'8'!U39+'7'!U39+'10'!U39+'9'!U39+'11'!U39+'12'!U39+'13'!U39+'15'!U39+'14'!U39+'16'!U39+'17'!U39+'19'!U39+'20'!U39+'22'!U39+'18'!U39+'21'!U39+'25'!U39+'23'!U39+'26'!U39+'24'!U39+'28'!U39+'27'!U39+'29'!U39+'31'!U39+'30'!U39</f>
        <v>0</v>
      </c>
      <c r="V39" s="51">
        <f>+'1'!V39+'3'!V39+'2'!V39+'6'!V39+'5'!V39+'4'!V39+'8'!V39+'7'!V39+'10'!V39+'9'!V39+'11'!V39+'12'!V39+'13'!V39+'15'!V39+'14'!V39+'16'!V39+'17'!V39+'19'!V39+'20'!V39+'22'!V39+'18'!V39+'21'!V39+'25'!V39+'23'!V39+'26'!V39+'24'!V39+'28'!V39+'27'!V39+'29'!V39+'31'!V39+'30'!V39</f>
        <v>0</v>
      </c>
      <c r="W39" s="51">
        <f>+'1'!W39+'3'!W39+'2'!W39+'6'!W39+'5'!W39+'4'!W39+'8'!W39+'7'!W39+'10'!W39+'9'!W39+'11'!W39+'12'!W39+'13'!W39+'15'!W39+'14'!W39+'16'!W39+'17'!W39+'19'!W39+'20'!W39+'22'!W39+'18'!W39+'21'!W39+'25'!W39+'23'!W39+'26'!W39+'24'!W39+'28'!W39+'27'!W39+'29'!W39+'31'!W39+'30'!W39</f>
        <v>0</v>
      </c>
      <c r="X39" s="51">
        <f>+'1'!X39+'3'!X39+'2'!X39+'6'!X39+'5'!X39+'4'!X39+'8'!X39+'7'!X39+'10'!X39+'9'!X39+'11'!X39+'12'!X39+'13'!X39+'15'!X39+'14'!X39+'16'!X39+'17'!X39+'19'!X39+'20'!X39+'22'!X39+'18'!X39+'21'!X39+'25'!X39+'23'!X39+'26'!X39+'24'!X39+'28'!X39+'27'!X39+'29'!X39+'31'!X39+'30'!X39</f>
        <v>0</v>
      </c>
      <c r="Y39" s="51">
        <f>+'1'!Y39+'3'!Y39+'2'!Y39+'6'!Y39+'5'!Y39+'4'!Y39+'8'!Y39+'7'!Y39+'10'!Y39+'9'!Y39+'11'!Y39+'12'!Y39+'13'!Y39+'15'!Y39+'14'!Y39+'16'!Y39+'17'!Y39+'19'!Y39+'20'!Y39+'22'!Y39+'18'!Y39+'21'!Y39+'25'!Y39+'23'!Y39+'26'!Y39+'24'!Y39+'28'!Y39+'27'!Y39+'29'!Y39+'31'!Y39+'30'!Y39</f>
        <v>0</v>
      </c>
      <c r="Z39" s="51">
        <f>+'1'!Z39+'3'!Z39+'2'!Z39+'6'!Z39+'5'!Z39+'4'!Z39+'8'!Z39+'7'!Z39+'10'!Z39+'9'!Z39+'11'!Z39+'12'!Z39+'13'!Z39+'15'!Z39+'14'!Z39+'16'!Z39+'17'!Z39+'19'!Z39+'20'!Z39+'22'!Z39+'18'!Z39+'21'!Z39+'25'!Z39+'23'!Z39+'26'!Z39+'24'!Z39+'28'!Z39+'27'!Z39+'29'!Z39+'31'!Z39+'30'!Z39</f>
        <v>0</v>
      </c>
      <c r="AA39" s="51">
        <f>+'1'!AA39+'3'!AA39+'2'!AA39+'6'!AA39+'5'!AA39+'4'!AA39+'8'!AA39+'7'!AA39+'10'!AA39+'9'!AA39+'11'!AA39+'12'!AA39+'13'!AA39+'15'!AA39+'14'!AA39+'16'!AA39+'17'!AA39+'19'!AA39+'20'!AA39+'22'!AA39+'18'!AA39+'21'!AA39+'25'!AA39+'23'!AA39+'26'!AA39+'24'!AA39+'28'!AA39+'27'!AA39+'29'!AA39+'31'!AA39+'30'!AA39</f>
        <v>0</v>
      </c>
      <c r="AB39" s="51">
        <f>+'1'!AB39+'3'!AB39+'2'!AB39+'6'!AB39+'5'!AB39+'4'!AB39+'8'!AB39+'7'!AB39+'10'!AB39+'9'!AB39+'11'!AB39+'12'!AB39+'13'!AB39+'15'!AB39+'14'!AB39+'16'!AB39+'17'!AB39+'19'!AB39+'20'!AB39+'22'!AB39+'18'!AB39+'21'!AB39+'25'!AB39+'23'!AB39+'26'!AB39+'24'!AB39+'28'!AB39+'27'!AB39+'29'!AB39+'31'!AB39+'30'!AB39</f>
        <v>0</v>
      </c>
      <c r="AC39" s="51">
        <f>+'1'!AC39+'3'!AC39+'2'!AC39+'6'!AC39+'5'!AC39+'4'!AC39+'8'!AC39+'7'!AC39+'10'!AC39+'9'!AC39+'11'!AC39+'12'!AC39+'13'!AC39+'15'!AC39+'14'!AC39+'16'!AC39+'17'!AC39+'19'!AC39+'20'!AC39+'22'!AC39+'18'!AC39+'21'!AC39+'25'!AC39+'23'!AC39+'26'!AC39+'24'!AC39+'28'!AC39+'27'!AC39+'29'!AC39+'31'!AC39+'30'!AC39</f>
        <v>5</v>
      </c>
      <c r="AD39" s="51">
        <f>+'1'!AD39+'3'!AD39+'2'!AD39+'6'!AD39+'5'!AD39+'4'!AD39+'8'!AD39+'7'!AD39+'10'!AD39+'9'!AD39+'11'!AD39+'12'!AD39+'13'!AD39+'15'!AD39+'14'!AD39+'16'!AD39+'17'!AD39+'19'!AD39+'20'!AD39+'22'!AD39+'18'!AD39+'21'!AD39+'25'!AD39+'23'!AD39+'26'!AD39+'24'!AD39+'28'!AD39+'27'!AD39+'29'!AD39+'31'!AD39+'30'!AD39</f>
        <v>0</v>
      </c>
      <c r="AE39" s="51">
        <f>+'1'!AE39+'3'!AE39+'2'!AE39+'6'!AE39+'5'!AE39+'4'!AE39+'8'!AE39+'7'!AE39+'10'!AE39+'9'!AE39+'11'!AE39+'12'!AE39+'13'!AE39+'15'!AE39+'14'!AE39+'16'!AE39+'17'!AE39+'19'!AE39+'20'!AE39+'22'!AE39+'18'!AE39+'21'!AE39+'25'!AE39+'23'!AE39+'26'!AE39+'24'!AE39+'28'!AE39+'27'!AE39+'29'!AE39+'31'!AE39+'30'!AE39</f>
        <v>0</v>
      </c>
      <c r="AF39" s="51">
        <f>+'1'!AF39+'3'!AF39+'2'!AF39+'6'!AF39+'5'!AF39+'4'!AF39+'8'!AF39+'7'!AF39+'10'!AF39+'9'!AF39+'11'!AF39+'12'!AF39+'13'!AF39+'15'!AF39+'14'!AF39+'16'!AF39+'17'!AF39+'19'!AF39+'20'!AF39+'22'!AF39+'18'!AF39+'21'!AF39+'25'!AF39+'23'!AF39+'26'!AF39+'24'!AF39+'28'!AF39+'27'!AF39+'29'!AF39+'31'!AF39+'30'!AF39</f>
        <v>0</v>
      </c>
      <c r="AG39" s="51">
        <f>+'1'!AG39+'3'!AG39+'2'!AG39+'6'!AG39+'5'!AG39+'4'!AG39+'8'!AG39+'7'!AG39+'10'!AG39+'9'!AG39+'11'!AG39+'12'!AG39+'13'!AG39+'15'!AG39+'14'!AG39+'16'!AG39+'17'!AG39+'19'!AG39+'20'!AG39+'22'!AG39+'18'!AG39+'21'!AG39+'25'!AG39+'23'!AG39+'26'!AG39+'24'!AG39+'28'!AG39+'27'!AG39+'29'!AG39+'31'!AG39+'30'!AG39</f>
        <v>0</v>
      </c>
      <c r="AH39" s="51">
        <f>+'1'!AH39+'3'!AH39+'2'!AH39+'6'!AH39+'5'!AH39+'4'!AH39+'8'!AH39+'7'!AH39+'10'!AH39+'9'!AH39+'11'!AH39+'12'!AH39+'13'!AH39+'15'!AH39+'14'!AH39+'16'!AH39+'17'!AH39+'19'!AH39+'20'!AH39+'22'!AH39+'18'!AH39+'21'!AH39+'25'!AH39+'23'!AH39+'26'!AH39+'24'!AH39+'28'!AH39+'27'!AH39+'29'!AH39+'31'!AH39+'30'!AH39</f>
        <v>0</v>
      </c>
      <c r="AI39" s="54">
        <f>+'1'!AI39+'3'!AI39+'2'!AI39+'6'!AI39+'5'!AI39+'4'!AI39+'8'!AI39+'7'!AI39+'10'!AI39+'9'!AI39+'11'!AI39+'12'!AI39+'13'!AI39+'15'!AI39+'14'!AI39+'16'!AI39+'17'!AI39+'19'!AI39+'20'!AI39+'22'!AI39+'18'!AI39+'21'!AI39+'25'!AI39+'23'!AI39+'26'!AI39+'24'!AI39+'28'!AI39+'27'!AI39+'29'!AI39+'31'!AI39+'30'!AI39</f>
        <v>0</v>
      </c>
      <c r="AJ39" s="57">
        <f>+'1'!AJ39+'3'!AJ39+'2'!AJ39+'6'!AJ39+'5'!AJ39+'4'!AJ39+'8'!AJ39+'7'!AJ39+'10'!AJ39+'9'!AJ39+'11'!AJ39+'12'!AJ39+'13'!AJ39+'15'!AJ39+'14'!AJ39+'16'!AJ39+'17'!AJ39+'19'!AJ39+'20'!AJ39+'22'!AJ39+'18'!AJ39+'21'!AJ39+'25'!AJ39+'23'!AJ39+'26'!AJ39+'24'!AJ39+'28'!AJ39+'27'!AJ39+'29'!AJ39+'31'!AJ39+'30'!AJ39</f>
        <v>0</v>
      </c>
      <c r="AK39" s="54">
        <f>+'1'!AK39+'3'!AK39+'2'!AK39+'6'!AK39+'5'!AK39+'4'!AK39+'8'!AK39+'7'!AK39+'10'!AK39+'9'!AK39+'11'!AK39+'12'!AK39+'13'!AK39+'15'!AK39+'14'!AK39+'16'!AK39+'17'!AK39+'19'!AK39+'20'!AK39+'22'!AK39+'18'!AK39+'21'!AK39+'25'!AK39+'23'!AK39+'26'!AK39+'24'!AK39+'28'!AK39+'27'!AK39+'29'!AK39+'31'!AK39+'30'!AK39</f>
        <v>0</v>
      </c>
      <c r="AL39" s="65">
        <f t="shared" si="6"/>
        <v>9</v>
      </c>
      <c r="AM39" s="22" t="str">
        <f t="shared" si="7"/>
        <v>OK</v>
      </c>
    </row>
    <row r="40" spans="1:39" customFormat="1">
      <c r="A40" s="68" t="s">
        <v>80</v>
      </c>
      <c r="B40" s="78">
        <v>10127</v>
      </c>
      <c r="C40" s="23" t="s">
        <v>58</v>
      </c>
      <c r="D40" s="24"/>
      <c r="E40" s="24"/>
      <c r="F40" s="24"/>
      <c r="G40" s="25"/>
      <c r="H40" s="26">
        <f>+'1'!H40+'3'!H40+'2'!H40+'6'!H40+'5'!H40+'4'!H40+'8'!H40+'7'!H40+'10'!H40+'9'!H40+'11'!H40+'12'!H40+'13'!H40+'15'!H40+'14'!H40+'16'!H40+'17'!H40+'19'!H40+'20'!H40+'22'!H40+'18'!H40+'21'!H40+'25'!H40+'23'!H40+'26'!H40+'24'!H40+'28'!H40+'27'!H40+'29'!H40+'31'!H40+'30'!H40</f>
        <v>19850</v>
      </c>
      <c r="I40" s="27">
        <f>+'1'!I40+'3'!I40+'2'!I40+'6'!I40+'5'!I40+'4'!I40+'8'!I40+'7'!I40+'10'!I40+'9'!I40+'11'!I40+'12'!I40+'13'!I40+'15'!I40+'14'!I40+'16'!I40+'17'!I40+'19'!I40+'20'!I40+'22'!I40+'18'!I40+'21'!I40+'25'!I40+'23'!I40+'26'!I40+'24'!I40+'28'!I40+'27'!I40+'29'!I40+'31'!I40+'30'!I40</f>
        <v>22</v>
      </c>
      <c r="J40" s="27"/>
      <c r="K40" s="16"/>
      <c r="L40" s="27">
        <f>+'1'!L40+'3'!L40+'2'!L40+'6'!L40+'5'!L40+'4'!L40+'8'!L40+'7'!L40+'10'!L40+'9'!L40+'11'!L40+'12'!L40+'13'!L40+'15'!L40+'14'!L40+'16'!L40+'17'!L40+'19'!L40+'20'!L40+'22'!L40+'18'!L40+'21'!L40+'25'!L40+'23'!L40+'26'!L40+'24'!L40+'28'!L40+'27'!L40+'29'!L40+'31'!L40+'30'!L40</f>
        <v>13</v>
      </c>
      <c r="M40" s="27">
        <f>+'1'!M40+'3'!M40+'2'!M40+'6'!M40+'5'!M40+'4'!M40+'8'!M40+'7'!M40+'10'!M40+'9'!M40+'11'!M40+'12'!M40+'13'!M40+'15'!M40+'14'!M40+'16'!M40+'17'!M40+'19'!M40+'20'!M40+'22'!M40+'18'!M40+'21'!M40+'25'!M40+'23'!M40+'26'!M40+'24'!M40+'28'!M40+'27'!M40+'29'!M40+'31'!M40+'30'!M40</f>
        <v>0</v>
      </c>
      <c r="N40" s="27">
        <f>+'1'!N40+'3'!N40+'2'!N40+'6'!N40+'5'!N40+'4'!N40+'8'!N40+'7'!N40+'10'!N40+'9'!N40+'11'!N40+'12'!N40+'13'!N40+'15'!N40+'14'!N40+'16'!N40+'17'!N40+'19'!N40+'20'!N40+'22'!N40+'18'!N40+'21'!N40+'25'!N40+'23'!N40+'26'!N40+'24'!N40+'28'!N40+'27'!N40+'29'!N40+'31'!N40+'30'!N40</f>
        <v>0</v>
      </c>
      <c r="O40" s="27">
        <f>+'1'!O40+'3'!O40+'2'!O40+'6'!O40+'5'!O40+'4'!O40+'8'!O40+'7'!O40+'10'!O40+'9'!O40+'11'!O40+'12'!O40+'13'!O40+'15'!O40+'14'!O40+'16'!O40+'17'!O40+'19'!O40+'20'!O40+'22'!O40+'18'!O40+'21'!O40+'25'!O40+'23'!O40+'26'!O40+'24'!O40+'28'!O40+'27'!O40+'29'!O40+'31'!O40+'30'!O40</f>
        <v>0</v>
      </c>
      <c r="P40" s="27">
        <f>+'1'!P40+'3'!P40+'2'!P40+'6'!P40+'5'!P40+'4'!P40+'8'!P40+'7'!P40+'10'!P40+'9'!P40+'11'!P40+'12'!P40+'13'!P40+'15'!P40+'14'!P40+'16'!P40+'17'!P40+'19'!P40+'20'!P40+'22'!P40+'18'!P40+'21'!P40+'25'!P40+'23'!P40+'26'!P40+'24'!P40+'28'!P40+'27'!P40+'29'!P40+'31'!P40+'30'!P40</f>
        <v>0</v>
      </c>
      <c r="Q40" s="27">
        <f>+'1'!Q40+'3'!Q40+'2'!Q40+'6'!Q40+'5'!Q40+'4'!Q40+'8'!Q40+'7'!Q40+'10'!Q40+'9'!Q40+'11'!Q40+'12'!Q40+'13'!Q40+'15'!Q40+'14'!Q40+'16'!Q40+'17'!Q40+'19'!Q40+'20'!Q40+'22'!Q40+'18'!Q40+'21'!Q40+'25'!Q40+'23'!Q40+'26'!Q40+'24'!Q40+'28'!Q40+'27'!Q40+'29'!Q40+'31'!Q40+'30'!Q40</f>
        <v>0</v>
      </c>
      <c r="R40" s="27">
        <f>+'1'!R40+'3'!R40+'2'!R40+'6'!R40+'5'!R40+'4'!R40+'8'!R40+'7'!R40+'10'!R40+'9'!R40+'11'!R40+'12'!R40+'13'!R40+'15'!R40+'14'!R40+'16'!R40+'17'!R40+'19'!R40+'20'!R40+'22'!R40+'18'!R40+'21'!R40+'25'!R40+'23'!R40+'26'!R40+'24'!R40+'28'!R40+'27'!R40+'29'!R40+'31'!R40+'30'!R40</f>
        <v>0</v>
      </c>
      <c r="S40" s="27">
        <f>+'1'!S40+'3'!S40+'2'!S40+'6'!S40+'5'!S40+'4'!S40+'8'!S40+'7'!S40+'10'!S40+'9'!S40+'11'!S40+'12'!S40+'13'!S40+'15'!S40+'14'!S40+'16'!S40+'17'!S40+'19'!S40+'20'!S40+'22'!S40+'18'!S40+'21'!S40+'25'!S40+'23'!S40+'26'!S40+'24'!S40+'28'!S40+'27'!S40+'29'!S40+'31'!S40+'30'!S40</f>
        <v>0</v>
      </c>
      <c r="T40" s="43">
        <f>+'1'!T40+'3'!T40+'2'!T40+'6'!T40+'5'!T40+'4'!T40+'8'!T40+'7'!T40+'10'!T40+'9'!T40+'11'!T40+'12'!T40+'13'!T40+'15'!T40+'14'!T40+'16'!T40+'17'!T40+'19'!T40+'20'!T40+'22'!T40+'18'!T40+'21'!T40+'25'!T40+'23'!T40+'26'!T40+'24'!T40+'28'!T40+'27'!T40+'29'!T40+'31'!T40+'30'!T40</f>
        <v>0</v>
      </c>
      <c r="U40" s="52">
        <f>+'1'!U40+'3'!U40+'2'!U40+'6'!U40+'5'!U40+'4'!U40+'8'!U40+'7'!U40+'10'!U40+'9'!U40+'11'!U40+'12'!U40+'13'!U40+'15'!U40+'14'!U40+'16'!U40+'17'!U40+'19'!U40+'20'!U40+'22'!U40+'18'!U40+'21'!U40+'25'!U40+'23'!U40+'26'!U40+'24'!U40+'28'!U40+'27'!U40+'29'!U40+'31'!U40+'30'!U40</f>
        <v>0</v>
      </c>
      <c r="V40" s="52">
        <f>+'1'!V40+'3'!V40+'2'!V40+'6'!V40+'5'!V40+'4'!V40+'8'!V40+'7'!V40+'10'!V40+'9'!V40+'11'!V40+'12'!V40+'13'!V40+'15'!V40+'14'!V40+'16'!V40+'17'!V40+'19'!V40+'20'!V40+'22'!V40+'18'!V40+'21'!V40+'25'!V40+'23'!V40+'26'!V40+'24'!V40+'28'!V40+'27'!V40+'29'!V40+'31'!V40+'30'!V40</f>
        <v>0</v>
      </c>
      <c r="W40" s="52">
        <f>+'1'!W40+'3'!W40+'2'!W40+'6'!W40+'5'!W40+'4'!W40+'8'!W40+'7'!W40+'10'!W40+'9'!W40+'11'!W40+'12'!W40+'13'!W40+'15'!W40+'14'!W40+'16'!W40+'17'!W40+'19'!W40+'20'!W40+'22'!W40+'18'!W40+'21'!W40+'25'!W40+'23'!W40+'26'!W40+'24'!W40+'28'!W40+'27'!W40+'29'!W40+'31'!W40+'30'!W40</f>
        <v>0</v>
      </c>
      <c r="X40" s="52">
        <f>+'1'!X40+'3'!X40+'2'!X40+'6'!X40+'5'!X40+'4'!X40+'8'!X40+'7'!X40+'10'!X40+'9'!X40+'11'!X40+'12'!X40+'13'!X40+'15'!X40+'14'!X40+'16'!X40+'17'!X40+'19'!X40+'20'!X40+'22'!X40+'18'!X40+'21'!X40+'25'!X40+'23'!X40+'26'!X40+'24'!X40+'28'!X40+'27'!X40+'29'!X40+'31'!X40+'30'!X40</f>
        <v>0</v>
      </c>
      <c r="Y40" s="52">
        <f>+'1'!Y40+'3'!Y40+'2'!Y40+'6'!Y40+'5'!Y40+'4'!Y40+'8'!Y40+'7'!Y40+'10'!Y40+'9'!Y40+'11'!Y40+'12'!Y40+'13'!Y40+'15'!Y40+'14'!Y40+'16'!Y40+'17'!Y40+'19'!Y40+'20'!Y40+'22'!Y40+'18'!Y40+'21'!Y40+'25'!Y40+'23'!Y40+'26'!Y40+'24'!Y40+'28'!Y40+'27'!Y40+'29'!Y40+'31'!Y40+'30'!Y40</f>
        <v>0</v>
      </c>
      <c r="Z40" s="52">
        <f>+'1'!Z40+'3'!Z40+'2'!Z40+'6'!Z40+'5'!Z40+'4'!Z40+'8'!Z40+'7'!Z40+'10'!Z40+'9'!Z40+'11'!Z40+'12'!Z40+'13'!Z40+'15'!Z40+'14'!Z40+'16'!Z40+'17'!Z40+'19'!Z40+'20'!Z40+'22'!Z40+'18'!Z40+'21'!Z40+'25'!Z40+'23'!Z40+'26'!Z40+'24'!Z40+'28'!Z40+'27'!Z40+'29'!Z40+'31'!Z40+'30'!Z40</f>
        <v>0</v>
      </c>
      <c r="AA40" s="52">
        <f>+'1'!AA40+'3'!AA40+'2'!AA40+'6'!AA40+'5'!AA40+'4'!AA40+'8'!AA40+'7'!AA40+'10'!AA40+'9'!AA40+'11'!AA40+'12'!AA40+'13'!AA40+'15'!AA40+'14'!AA40+'16'!AA40+'17'!AA40+'19'!AA40+'20'!AA40+'22'!AA40+'18'!AA40+'21'!AA40+'25'!AA40+'23'!AA40+'26'!AA40+'24'!AA40+'28'!AA40+'27'!AA40+'29'!AA40+'31'!AA40+'30'!AA40</f>
        <v>0</v>
      </c>
      <c r="AB40" s="52">
        <f>+'1'!AB40+'3'!AB40+'2'!AB40+'6'!AB40+'5'!AB40+'4'!AB40+'8'!AB40+'7'!AB40+'10'!AB40+'9'!AB40+'11'!AB40+'12'!AB40+'13'!AB40+'15'!AB40+'14'!AB40+'16'!AB40+'17'!AB40+'19'!AB40+'20'!AB40+'22'!AB40+'18'!AB40+'21'!AB40+'25'!AB40+'23'!AB40+'26'!AB40+'24'!AB40+'28'!AB40+'27'!AB40+'29'!AB40+'31'!AB40+'30'!AB40</f>
        <v>0</v>
      </c>
      <c r="AC40" s="52">
        <f>+'1'!AC40+'3'!AC40+'2'!AC40+'6'!AC40+'5'!AC40+'4'!AC40+'8'!AC40+'7'!AC40+'10'!AC40+'9'!AC40+'11'!AC40+'12'!AC40+'13'!AC40+'15'!AC40+'14'!AC40+'16'!AC40+'17'!AC40+'19'!AC40+'20'!AC40+'22'!AC40+'18'!AC40+'21'!AC40+'25'!AC40+'23'!AC40+'26'!AC40+'24'!AC40+'28'!AC40+'27'!AC40+'29'!AC40+'31'!AC40+'30'!AC40</f>
        <v>1</v>
      </c>
      <c r="AD40" s="52">
        <f>+'1'!AD40+'3'!AD40+'2'!AD40+'6'!AD40+'5'!AD40+'4'!AD40+'8'!AD40+'7'!AD40+'10'!AD40+'9'!AD40+'11'!AD40+'12'!AD40+'13'!AD40+'15'!AD40+'14'!AD40+'16'!AD40+'17'!AD40+'19'!AD40+'20'!AD40+'22'!AD40+'18'!AD40+'21'!AD40+'25'!AD40+'23'!AD40+'26'!AD40+'24'!AD40+'28'!AD40+'27'!AD40+'29'!AD40+'31'!AD40+'30'!AD40</f>
        <v>0</v>
      </c>
      <c r="AE40" s="52">
        <f>+'1'!AE40+'3'!AE40+'2'!AE40+'6'!AE40+'5'!AE40+'4'!AE40+'8'!AE40+'7'!AE40+'10'!AE40+'9'!AE40+'11'!AE40+'12'!AE40+'13'!AE40+'15'!AE40+'14'!AE40+'16'!AE40+'17'!AE40+'19'!AE40+'20'!AE40+'22'!AE40+'18'!AE40+'21'!AE40+'25'!AE40+'23'!AE40+'26'!AE40+'24'!AE40+'28'!AE40+'27'!AE40+'29'!AE40+'31'!AE40+'30'!AE40</f>
        <v>0</v>
      </c>
      <c r="AF40" s="52">
        <f>+'1'!AF40+'3'!AF40+'2'!AF40+'6'!AF40+'5'!AF40+'4'!AF40+'8'!AF40+'7'!AF40+'10'!AF40+'9'!AF40+'11'!AF40+'12'!AF40+'13'!AF40+'15'!AF40+'14'!AF40+'16'!AF40+'17'!AF40+'19'!AF40+'20'!AF40+'22'!AF40+'18'!AF40+'21'!AF40+'25'!AF40+'23'!AF40+'26'!AF40+'24'!AF40+'28'!AF40+'27'!AF40+'29'!AF40+'31'!AF40+'30'!AF40</f>
        <v>0</v>
      </c>
      <c r="AG40" s="52">
        <f>+'1'!AG40+'3'!AG40+'2'!AG40+'6'!AG40+'5'!AG40+'4'!AG40+'8'!AG40+'7'!AG40+'10'!AG40+'9'!AG40+'11'!AG40+'12'!AG40+'13'!AG40+'15'!AG40+'14'!AG40+'16'!AG40+'17'!AG40+'19'!AG40+'20'!AG40+'22'!AG40+'18'!AG40+'21'!AG40+'25'!AG40+'23'!AG40+'26'!AG40+'24'!AG40+'28'!AG40+'27'!AG40+'29'!AG40+'31'!AG40+'30'!AG40</f>
        <v>0</v>
      </c>
      <c r="AH40" s="52">
        <f>+'1'!AH40+'3'!AH40+'2'!AH40+'6'!AH40+'5'!AH40+'4'!AH40+'8'!AH40+'7'!AH40+'10'!AH40+'9'!AH40+'11'!AH40+'12'!AH40+'13'!AH40+'15'!AH40+'14'!AH40+'16'!AH40+'17'!AH40+'19'!AH40+'20'!AH40+'22'!AH40+'18'!AH40+'21'!AH40+'25'!AH40+'23'!AH40+'26'!AH40+'24'!AH40+'28'!AH40+'27'!AH40+'29'!AH40+'31'!AH40+'30'!AH40</f>
        <v>0</v>
      </c>
      <c r="AI40" s="55">
        <f>+'1'!AI40+'3'!AI40+'2'!AI40+'6'!AI40+'5'!AI40+'4'!AI40+'8'!AI40+'7'!AI40+'10'!AI40+'9'!AI40+'11'!AI40+'12'!AI40+'13'!AI40+'15'!AI40+'14'!AI40+'16'!AI40+'17'!AI40+'19'!AI40+'20'!AI40+'22'!AI40+'18'!AI40+'21'!AI40+'25'!AI40+'23'!AI40+'26'!AI40+'24'!AI40+'28'!AI40+'27'!AI40+'29'!AI40+'31'!AI40+'30'!AI40</f>
        <v>8</v>
      </c>
      <c r="AJ40" s="58">
        <f>+'1'!AJ40+'3'!AJ40+'2'!AJ40+'6'!AJ40+'5'!AJ40+'4'!AJ40+'8'!AJ40+'7'!AJ40+'10'!AJ40+'9'!AJ40+'11'!AJ40+'12'!AJ40+'13'!AJ40+'15'!AJ40+'14'!AJ40+'16'!AJ40+'17'!AJ40+'19'!AJ40+'20'!AJ40+'22'!AJ40+'18'!AJ40+'21'!AJ40+'25'!AJ40+'23'!AJ40+'26'!AJ40+'24'!AJ40+'28'!AJ40+'27'!AJ40+'29'!AJ40+'31'!AJ40+'30'!AJ40</f>
        <v>0</v>
      </c>
      <c r="AK40" s="55">
        <f>+'1'!AK40+'3'!AK40+'2'!AK40+'6'!AK40+'5'!AK40+'4'!AK40+'8'!AK40+'7'!AK40+'10'!AK40+'9'!AK40+'11'!AK40+'12'!AK40+'13'!AK40+'15'!AK40+'14'!AK40+'16'!AK40+'17'!AK40+'19'!AK40+'20'!AK40+'22'!AK40+'18'!AK40+'21'!AK40+'25'!AK40+'23'!AK40+'26'!AK40+'24'!AK40+'28'!AK40+'27'!AK40+'29'!AK40+'31'!AK40+'30'!AK40</f>
        <v>0</v>
      </c>
      <c r="AL40" s="66">
        <f t="shared" si="6"/>
        <v>22</v>
      </c>
      <c r="AM40" s="28" t="str">
        <f t="shared" si="7"/>
        <v>OK</v>
      </c>
    </row>
    <row r="41" spans="1:39" customFormat="1" hidden="1">
      <c r="A41" s="80" t="s">
        <v>108</v>
      </c>
      <c r="B41" s="77">
        <v>14859</v>
      </c>
      <c r="C41" s="17" t="s">
        <v>56</v>
      </c>
      <c r="D41" s="69"/>
      <c r="E41" s="18"/>
      <c r="F41" s="18"/>
      <c r="G41" s="19"/>
      <c r="H41" s="20">
        <f>+'1'!H41+'3'!H41+'2'!H41+'6'!H41+'5'!H41+'4'!H41+'8'!H41+'7'!H41+'10'!H41+'9'!H41+'11'!H41+'12'!H41+'13'!H41+'15'!H41+'14'!H41+'16'!H41+'17'!H41+'19'!H41+'20'!H41+'22'!H41+'18'!H41+'21'!H41+'25'!H41+'23'!H41+'26'!H41+'24'!H41+'28'!H41+'27'!H41+'29'!H41+'31'!H41+'30'!H41</f>
        <v>0</v>
      </c>
      <c r="I41" s="21">
        <f>+'1'!I41+'3'!I41+'2'!I41+'6'!I41+'5'!I41+'4'!I41+'8'!I41+'7'!I41+'10'!I41+'9'!I41+'11'!I41+'12'!I41+'13'!I41+'15'!I41+'14'!I41+'16'!I41+'17'!I41+'19'!I41+'20'!I41+'22'!I41+'18'!I41+'21'!I41+'25'!I41+'23'!I41+'26'!I41+'24'!I41+'28'!I41+'27'!I41+'29'!I41+'31'!I41+'30'!I41</f>
        <v>0</v>
      </c>
      <c r="J41" s="21"/>
      <c r="K41" s="16"/>
      <c r="L41" s="21">
        <f>+'1'!L41+'3'!L41+'2'!L41+'6'!L41+'5'!L41+'4'!L41+'8'!L41+'7'!L41+'10'!L41+'9'!L41+'11'!L41+'12'!L41+'13'!L41+'15'!L41+'14'!L41+'16'!L41+'17'!L41+'19'!L41+'20'!L41+'22'!L41+'18'!L41+'21'!L41+'25'!L41+'23'!L41+'26'!L41+'24'!L41+'28'!L41+'27'!L41+'29'!L41+'31'!L41+'30'!L41</f>
        <v>0</v>
      </c>
      <c r="M41" s="21">
        <f>+'1'!M41+'3'!M41+'2'!M41+'6'!M41+'5'!M41+'4'!M41+'8'!M41+'7'!M41+'10'!M41+'9'!M41+'11'!M41+'12'!M41+'13'!M41+'15'!M41+'14'!M41+'16'!M41+'17'!M41+'19'!M41+'20'!M41+'22'!M41+'18'!M41+'21'!M41+'25'!M41+'23'!M41+'26'!M41+'24'!M41+'28'!M41+'27'!M41+'29'!M41+'31'!M41+'30'!M41</f>
        <v>0</v>
      </c>
      <c r="N41" s="21">
        <f>+'1'!N41+'3'!N41+'2'!N41+'6'!N41+'5'!N41+'4'!N41+'8'!N41+'7'!N41+'10'!N41+'9'!N41+'11'!N41+'12'!N41+'13'!N41+'15'!N41+'14'!N41+'16'!N41+'17'!N41+'19'!N41+'20'!N41+'22'!N41+'18'!N41+'21'!N41+'25'!N41+'23'!N41+'26'!N41+'24'!N41+'28'!N41+'27'!N41+'29'!N41+'31'!N41+'30'!N41</f>
        <v>0</v>
      </c>
      <c r="O41" s="21">
        <f>+'1'!O41+'3'!O41+'2'!O41+'6'!O41+'5'!O41+'4'!O41+'8'!O41+'7'!O41+'10'!O41+'9'!O41+'11'!O41+'12'!O41+'13'!O41+'15'!O41+'14'!O41+'16'!O41+'17'!O41+'19'!O41+'20'!O41+'22'!O41+'18'!O41+'21'!O41+'25'!O41+'23'!O41+'26'!O41+'24'!O41+'28'!O41+'27'!O41+'29'!O41+'31'!O41+'30'!O41</f>
        <v>0</v>
      </c>
      <c r="P41" s="21">
        <f>+'1'!P41+'3'!P41+'2'!P41+'6'!P41+'5'!P41+'4'!P41+'8'!P41+'7'!P41+'10'!P41+'9'!P41+'11'!P41+'12'!P41+'13'!P41+'15'!P41+'14'!P41+'16'!P41+'17'!P41+'19'!P41+'20'!P41+'22'!P41+'18'!P41+'21'!P41+'25'!P41+'23'!P41+'26'!P41+'24'!P41+'28'!P41+'27'!P41+'29'!P41+'31'!P41+'30'!P41</f>
        <v>0</v>
      </c>
      <c r="Q41" s="21">
        <f>+'1'!Q41+'3'!Q41+'2'!Q41+'6'!Q41+'5'!Q41+'4'!Q41+'8'!Q41+'7'!Q41+'10'!Q41+'9'!Q41+'11'!Q41+'12'!Q41+'13'!Q41+'15'!Q41+'14'!Q41+'16'!Q41+'17'!Q41+'19'!Q41+'20'!Q41+'22'!Q41+'18'!Q41+'21'!Q41+'25'!Q41+'23'!Q41+'26'!Q41+'24'!Q41+'28'!Q41+'27'!Q41+'29'!Q41+'31'!Q41+'30'!Q41</f>
        <v>0</v>
      </c>
      <c r="R41" s="21">
        <f>+'1'!R41+'3'!R41+'2'!R41+'6'!R41+'5'!R41+'4'!R41+'8'!R41+'7'!R41+'10'!R41+'9'!R41+'11'!R41+'12'!R41+'13'!R41+'15'!R41+'14'!R41+'16'!R41+'17'!R41+'19'!R41+'20'!R41+'22'!R41+'18'!R41+'21'!R41+'25'!R41+'23'!R41+'26'!R41+'24'!R41+'28'!R41+'27'!R41+'29'!R41+'31'!R41+'30'!R41</f>
        <v>0</v>
      </c>
      <c r="S41" s="21">
        <f>+'1'!S41+'3'!S41+'2'!S41+'6'!S41+'5'!S41+'4'!S41+'8'!S41+'7'!S41+'10'!S41+'9'!S41+'11'!S41+'12'!S41+'13'!S41+'15'!S41+'14'!S41+'16'!S41+'17'!S41+'19'!S41+'20'!S41+'22'!S41+'18'!S41+'21'!S41+'25'!S41+'23'!S41+'26'!S41+'24'!S41+'28'!S41+'27'!S41+'29'!S41+'31'!S41+'30'!S41</f>
        <v>0</v>
      </c>
      <c r="T41" s="42">
        <f>+'1'!T41+'3'!T41+'2'!T41+'6'!T41+'5'!T41+'4'!T41+'8'!T41+'7'!T41+'10'!T41+'9'!T41+'11'!T41+'12'!T41+'13'!T41+'15'!T41+'14'!T41+'16'!T41+'17'!T41+'19'!T41+'20'!T41+'22'!T41+'18'!T41+'21'!T41+'25'!T41+'23'!T41+'26'!T41+'24'!T41+'28'!T41+'27'!T41+'29'!T41+'31'!T41+'30'!T41</f>
        <v>0</v>
      </c>
      <c r="U41" s="51">
        <f>+'1'!U41+'3'!U41+'2'!U41+'6'!U41+'5'!U41+'4'!U41+'8'!U41+'7'!U41+'10'!U41+'9'!U41+'11'!U41+'12'!U41+'13'!U41+'15'!U41+'14'!U41+'16'!U41+'17'!U41+'19'!U41+'20'!U41+'22'!U41+'18'!U41+'21'!U41+'25'!U41+'23'!U41+'26'!U41+'24'!U41+'28'!U41+'27'!U41+'29'!U41+'31'!U41+'30'!U41</f>
        <v>0</v>
      </c>
      <c r="V41" s="51">
        <f>+'1'!V41+'3'!V41+'2'!V41+'6'!V41+'5'!V41+'4'!V41+'8'!V41+'7'!V41+'10'!V41+'9'!V41+'11'!V41+'12'!V41+'13'!V41+'15'!V41+'14'!V41+'16'!V41+'17'!V41+'19'!V41+'20'!V41+'22'!V41+'18'!V41+'21'!V41+'25'!V41+'23'!V41+'26'!V41+'24'!V41+'28'!V41+'27'!V41+'29'!V41+'31'!V41+'30'!V41</f>
        <v>0</v>
      </c>
      <c r="W41" s="51">
        <f>+'1'!W41+'3'!W41+'2'!W41+'6'!W41+'5'!W41+'4'!W41+'8'!W41+'7'!W41+'10'!W41+'9'!W41+'11'!W41+'12'!W41+'13'!W41+'15'!W41+'14'!W41+'16'!W41+'17'!W41+'19'!W41+'20'!W41+'22'!W41+'18'!W41+'21'!W41+'25'!W41+'23'!W41+'26'!W41+'24'!W41+'28'!W41+'27'!W41+'29'!W41+'31'!W41+'30'!W41</f>
        <v>0</v>
      </c>
      <c r="X41" s="51">
        <f>+'1'!X41+'3'!X41+'2'!X41+'6'!X41+'5'!X41+'4'!X41+'8'!X41+'7'!X41+'10'!X41+'9'!X41+'11'!X41+'12'!X41+'13'!X41+'15'!X41+'14'!X41+'16'!X41+'17'!X41+'19'!X41+'20'!X41+'22'!X41+'18'!X41+'21'!X41+'25'!X41+'23'!X41+'26'!X41+'24'!X41+'28'!X41+'27'!X41+'29'!X41+'31'!X41+'30'!X41</f>
        <v>0</v>
      </c>
      <c r="Y41" s="51">
        <f>+'1'!Y41+'3'!Y41+'2'!Y41+'6'!Y41+'5'!Y41+'4'!Y41+'8'!Y41+'7'!Y41+'10'!Y41+'9'!Y41+'11'!Y41+'12'!Y41+'13'!Y41+'15'!Y41+'14'!Y41+'16'!Y41+'17'!Y41+'19'!Y41+'20'!Y41+'22'!Y41+'18'!Y41+'21'!Y41+'25'!Y41+'23'!Y41+'26'!Y41+'24'!Y41+'28'!Y41+'27'!Y41+'29'!Y41+'31'!Y41+'30'!Y41</f>
        <v>0</v>
      </c>
      <c r="Z41" s="51">
        <f>+'1'!Z41+'3'!Z41+'2'!Z41+'6'!Z41+'5'!Z41+'4'!Z41+'8'!Z41+'7'!Z41+'10'!Z41+'9'!Z41+'11'!Z41+'12'!Z41+'13'!Z41+'15'!Z41+'14'!Z41+'16'!Z41+'17'!Z41+'19'!Z41+'20'!Z41+'22'!Z41+'18'!Z41+'21'!Z41+'25'!Z41+'23'!Z41+'26'!Z41+'24'!Z41+'28'!Z41+'27'!Z41+'29'!Z41+'31'!Z41+'30'!Z41</f>
        <v>0</v>
      </c>
      <c r="AA41" s="51">
        <f>+'1'!AA41+'3'!AA41+'2'!AA41+'6'!AA41+'5'!AA41+'4'!AA41+'8'!AA41+'7'!AA41+'10'!AA41+'9'!AA41+'11'!AA41+'12'!AA41+'13'!AA41+'15'!AA41+'14'!AA41+'16'!AA41+'17'!AA41+'19'!AA41+'20'!AA41+'22'!AA41+'18'!AA41+'21'!AA41+'25'!AA41+'23'!AA41+'26'!AA41+'24'!AA41+'28'!AA41+'27'!AA41+'29'!AA41+'31'!AA41+'30'!AA41</f>
        <v>0</v>
      </c>
      <c r="AB41" s="51">
        <f>+'1'!AB41+'3'!AB41+'2'!AB41+'6'!AB41+'5'!AB41+'4'!AB41+'8'!AB41+'7'!AB41+'10'!AB41+'9'!AB41+'11'!AB41+'12'!AB41+'13'!AB41+'15'!AB41+'14'!AB41+'16'!AB41+'17'!AB41+'19'!AB41+'20'!AB41+'22'!AB41+'18'!AB41+'21'!AB41+'25'!AB41+'23'!AB41+'26'!AB41+'24'!AB41+'28'!AB41+'27'!AB41+'29'!AB41+'31'!AB41+'30'!AB41</f>
        <v>0</v>
      </c>
      <c r="AC41" s="51">
        <f>+'1'!AC41+'3'!AC41+'2'!AC41+'6'!AC41+'5'!AC41+'4'!AC41+'8'!AC41+'7'!AC41+'10'!AC41+'9'!AC41+'11'!AC41+'12'!AC41+'13'!AC41+'15'!AC41+'14'!AC41+'16'!AC41+'17'!AC41+'19'!AC41+'20'!AC41+'22'!AC41+'18'!AC41+'21'!AC41+'25'!AC41+'23'!AC41+'26'!AC41+'24'!AC41+'28'!AC41+'27'!AC41+'29'!AC41+'31'!AC41+'30'!AC41</f>
        <v>0</v>
      </c>
      <c r="AD41" s="51">
        <f>+'1'!AD41+'3'!AD41+'2'!AD41+'6'!AD41+'5'!AD41+'4'!AD41+'8'!AD41+'7'!AD41+'10'!AD41+'9'!AD41+'11'!AD41+'12'!AD41+'13'!AD41+'15'!AD41+'14'!AD41+'16'!AD41+'17'!AD41+'19'!AD41+'20'!AD41+'22'!AD41+'18'!AD41+'21'!AD41+'25'!AD41+'23'!AD41+'26'!AD41+'24'!AD41+'28'!AD41+'27'!AD41+'29'!AD41+'31'!AD41+'30'!AD41</f>
        <v>0</v>
      </c>
      <c r="AE41" s="51">
        <f>+'1'!AE41+'3'!AE41+'2'!AE41+'6'!AE41+'5'!AE41+'4'!AE41+'8'!AE41+'7'!AE41+'10'!AE41+'9'!AE41+'11'!AE41+'12'!AE41+'13'!AE41+'15'!AE41+'14'!AE41+'16'!AE41+'17'!AE41+'19'!AE41+'20'!AE41+'22'!AE41+'18'!AE41+'21'!AE41+'25'!AE41+'23'!AE41+'26'!AE41+'24'!AE41+'28'!AE41+'27'!AE41+'29'!AE41+'31'!AE41+'30'!AE41</f>
        <v>0</v>
      </c>
      <c r="AF41" s="51">
        <f>+'1'!AF41+'3'!AF41+'2'!AF41+'6'!AF41+'5'!AF41+'4'!AF41+'8'!AF41+'7'!AF41+'10'!AF41+'9'!AF41+'11'!AF41+'12'!AF41+'13'!AF41+'15'!AF41+'14'!AF41+'16'!AF41+'17'!AF41+'19'!AF41+'20'!AF41+'22'!AF41+'18'!AF41+'21'!AF41+'25'!AF41+'23'!AF41+'26'!AF41+'24'!AF41+'28'!AF41+'27'!AF41+'29'!AF41+'31'!AF41+'30'!AF41</f>
        <v>0</v>
      </c>
      <c r="AG41" s="51">
        <f>+'1'!AG41+'3'!AG41+'2'!AG41+'6'!AG41+'5'!AG41+'4'!AG41+'8'!AG41+'7'!AG41+'10'!AG41+'9'!AG41+'11'!AG41+'12'!AG41+'13'!AG41+'15'!AG41+'14'!AG41+'16'!AG41+'17'!AG41+'19'!AG41+'20'!AG41+'22'!AG41+'18'!AG41+'21'!AG41+'25'!AG41+'23'!AG41+'26'!AG41+'24'!AG41+'28'!AG41+'27'!AG41+'29'!AG41+'31'!AG41+'30'!AG41</f>
        <v>0</v>
      </c>
      <c r="AH41" s="51">
        <f>+'1'!AH41+'3'!AH41+'2'!AH41+'6'!AH41+'5'!AH41+'4'!AH41+'8'!AH41+'7'!AH41+'10'!AH41+'9'!AH41+'11'!AH41+'12'!AH41+'13'!AH41+'15'!AH41+'14'!AH41+'16'!AH41+'17'!AH41+'19'!AH41+'20'!AH41+'22'!AH41+'18'!AH41+'21'!AH41+'25'!AH41+'23'!AH41+'26'!AH41+'24'!AH41+'28'!AH41+'27'!AH41+'29'!AH41+'31'!AH41+'30'!AH41</f>
        <v>0</v>
      </c>
      <c r="AI41" s="54">
        <f>+'1'!AI41+'3'!AI41+'2'!AI41+'6'!AI41+'5'!AI41+'4'!AI41+'8'!AI41+'7'!AI41+'10'!AI41+'9'!AI41+'11'!AI41+'12'!AI41+'13'!AI41+'15'!AI41+'14'!AI41+'16'!AI41+'17'!AI41+'19'!AI41+'20'!AI41+'22'!AI41+'18'!AI41+'21'!AI41+'25'!AI41+'23'!AI41+'26'!AI41+'24'!AI41+'28'!AI41+'27'!AI41+'29'!AI41+'31'!AI41+'30'!AI41</f>
        <v>0</v>
      </c>
      <c r="AJ41" s="57">
        <f>+'1'!AJ41+'3'!AJ41+'2'!AJ41+'6'!AJ41+'5'!AJ41+'4'!AJ41+'8'!AJ41+'7'!AJ41+'10'!AJ41+'9'!AJ41+'11'!AJ41+'12'!AJ41+'13'!AJ41+'15'!AJ41+'14'!AJ41+'16'!AJ41+'17'!AJ41+'19'!AJ41+'20'!AJ41+'22'!AJ41+'18'!AJ41+'21'!AJ41+'25'!AJ41+'23'!AJ41+'26'!AJ41+'24'!AJ41+'28'!AJ41+'27'!AJ41+'29'!AJ41+'31'!AJ41+'30'!AJ41</f>
        <v>0</v>
      </c>
      <c r="AK41" s="54">
        <f>+'1'!AK41+'3'!AK41+'2'!AK41+'6'!AK41+'5'!AK41+'4'!AK41+'8'!AK41+'7'!AK41+'10'!AK41+'9'!AK41+'11'!AK41+'12'!AK41+'13'!AK41+'15'!AK41+'14'!AK41+'16'!AK41+'17'!AK41+'19'!AK41+'20'!AK41+'22'!AK41+'18'!AK41+'21'!AK41+'25'!AK41+'23'!AK41+'26'!AK41+'24'!AK41+'28'!AK41+'27'!AK41+'29'!AK41+'31'!AK41+'30'!AK41</f>
        <v>0</v>
      </c>
      <c r="AL41" s="65">
        <f t="shared" si="6"/>
        <v>0</v>
      </c>
      <c r="AM41" s="22" t="str">
        <f t="shared" si="7"/>
        <v>OK</v>
      </c>
    </row>
    <row r="42" spans="1:39" customFormat="1" hidden="1">
      <c r="A42" s="68" t="s">
        <v>109</v>
      </c>
      <c r="B42" s="78">
        <v>15095</v>
      </c>
      <c r="C42" s="23" t="s">
        <v>56</v>
      </c>
      <c r="D42" s="24"/>
      <c r="E42" s="24"/>
      <c r="F42" s="24"/>
      <c r="G42" s="25"/>
      <c r="H42" s="26">
        <f>+'1'!H42+'3'!H42+'2'!H42+'6'!H42+'5'!H42+'4'!H42+'8'!H42+'7'!H42+'10'!H42+'9'!H42+'11'!H42+'12'!H42+'13'!H42+'15'!H42+'14'!H42+'16'!H42+'17'!H42+'19'!H42+'20'!H42+'22'!H42+'18'!H42+'21'!H42+'25'!H42+'23'!H42+'26'!H42+'24'!H42+'28'!H42+'27'!H42+'29'!H42+'31'!H42+'30'!H42</f>
        <v>0</v>
      </c>
      <c r="I42" s="27">
        <f>+'1'!I42+'3'!I42+'2'!I42+'6'!I42+'5'!I42+'4'!I42+'8'!I42+'7'!I42+'10'!I42+'9'!I42+'11'!I42+'12'!I42+'13'!I42+'15'!I42+'14'!I42+'16'!I42+'17'!I42+'19'!I42+'20'!I42+'22'!I42+'18'!I42+'21'!I42+'25'!I42+'23'!I42+'26'!I42+'24'!I42+'28'!I42+'27'!I42+'29'!I42+'31'!I42+'30'!I42</f>
        <v>0</v>
      </c>
      <c r="J42" s="27"/>
      <c r="K42" s="16"/>
      <c r="L42" s="27">
        <f>+'1'!L42+'3'!L42+'2'!L42+'6'!L42+'5'!L42+'4'!L42+'8'!L42+'7'!L42+'10'!L42+'9'!L42+'11'!L42+'12'!L42+'13'!L42+'15'!L42+'14'!L42+'16'!L42+'17'!L42+'19'!L42+'20'!L42+'22'!L42+'18'!L42+'21'!L42+'25'!L42+'23'!L42+'26'!L42+'24'!L42+'28'!L42+'27'!L42+'29'!L42+'31'!L42+'30'!L42</f>
        <v>0</v>
      </c>
      <c r="M42" s="27">
        <f>+'1'!M42+'3'!M42+'2'!M42+'6'!M42+'5'!M42+'4'!M42+'8'!M42+'7'!M42+'10'!M42+'9'!M42+'11'!M42+'12'!M42+'13'!M42+'15'!M42+'14'!M42+'16'!M42+'17'!M42+'19'!M42+'20'!M42+'22'!M42+'18'!M42+'21'!M42+'25'!M42+'23'!M42+'26'!M42+'24'!M42+'28'!M42+'27'!M42+'29'!M42+'31'!M42+'30'!M42</f>
        <v>0</v>
      </c>
      <c r="N42" s="27">
        <f>+'1'!N42+'3'!N42+'2'!N42+'6'!N42+'5'!N42+'4'!N42+'8'!N42+'7'!N42+'10'!N42+'9'!N42+'11'!N42+'12'!N42+'13'!N42+'15'!N42+'14'!N42+'16'!N42+'17'!N42+'19'!N42+'20'!N42+'22'!N42+'18'!N42+'21'!N42+'25'!N42+'23'!N42+'26'!N42+'24'!N42+'28'!N42+'27'!N42+'29'!N42+'31'!N42+'30'!N42</f>
        <v>0</v>
      </c>
      <c r="O42" s="27">
        <f>+'1'!O42+'3'!O42+'2'!O42+'6'!O42+'5'!O42+'4'!O42+'8'!O42+'7'!O42+'10'!O42+'9'!O42+'11'!O42+'12'!O42+'13'!O42+'15'!O42+'14'!O42+'16'!O42+'17'!O42+'19'!O42+'20'!O42+'22'!O42+'18'!O42+'21'!O42+'25'!O42+'23'!O42+'26'!O42+'24'!O42+'28'!O42+'27'!O42+'29'!O42+'31'!O42+'30'!O42</f>
        <v>0</v>
      </c>
      <c r="P42" s="27">
        <f>+'1'!P42+'3'!P42+'2'!P42+'6'!P42+'5'!P42+'4'!P42+'8'!P42+'7'!P42+'10'!P42+'9'!P42+'11'!P42+'12'!P42+'13'!P42+'15'!P42+'14'!P42+'16'!P42+'17'!P42+'19'!P42+'20'!P42+'22'!P42+'18'!P42+'21'!P42+'25'!P42+'23'!P42+'26'!P42+'24'!P42+'28'!P42+'27'!P42+'29'!P42+'31'!P42+'30'!P42</f>
        <v>0</v>
      </c>
      <c r="Q42" s="27">
        <f>+'1'!Q42+'3'!Q42+'2'!Q42+'6'!Q42+'5'!Q42+'4'!Q42+'8'!Q42+'7'!Q42+'10'!Q42+'9'!Q42+'11'!Q42+'12'!Q42+'13'!Q42+'15'!Q42+'14'!Q42+'16'!Q42+'17'!Q42+'19'!Q42+'20'!Q42+'22'!Q42+'18'!Q42+'21'!Q42+'25'!Q42+'23'!Q42+'26'!Q42+'24'!Q42+'28'!Q42+'27'!Q42+'29'!Q42+'31'!Q42+'30'!Q42</f>
        <v>0</v>
      </c>
      <c r="R42" s="27">
        <f>+'1'!R42+'3'!R42+'2'!R42+'6'!R42+'5'!R42+'4'!R42+'8'!R42+'7'!R42+'10'!R42+'9'!R42+'11'!R42+'12'!R42+'13'!R42+'15'!R42+'14'!R42+'16'!R42+'17'!R42+'19'!R42+'20'!R42+'22'!R42+'18'!R42+'21'!R42+'25'!R42+'23'!R42+'26'!R42+'24'!R42+'28'!R42+'27'!R42+'29'!R42+'31'!R42+'30'!R42</f>
        <v>0</v>
      </c>
      <c r="S42" s="27">
        <f>+'1'!S42+'3'!S42+'2'!S42+'6'!S42+'5'!S42+'4'!S42+'8'!S42+'7'!S42+'10'!S42+'9'!S42+'11'!S42+'12'!S42+'13'!S42+'15'!S42+'14'!S42+'16'!S42+'17'!S42+'19'!S42+'20'!S42+'22'!S42+'18'!S42+'21'!S42+'25'!S42+'23'!S42+'26'!S42+'24'!S42+'28'!S42+'27'!S42+'29'!S42+'31'!S42+'30'!S42</f>
        <v>0</v>
      </c>
      <c r="T42" s="43">
        <f>+'1'!T42+'3'!T42+'2'!T42+'6'!T42+'5'!T42+'4'!T42+'8'!T42+'7'!T42+'10'!T42+'9'!T42+'11'!T42+'12'!T42+'13'!T42+'15'!T42+'14'!T42+'16'!T42+'17'!T42+'19'!T42+'20'!T42+'22'!T42+'18'!T42+'21'!T42+'25'!T42+'23'!T42+'26'!T42+'24'!T42+'28'!T42+'27'!T42+'29'!T42+'31'!T42+'30'!T42</f>
        <v>0</v>
      </c>
      <c r="U42" s="52">
        <f>+'1'!U42+'3'!U42+'2'!U42+'6'!U42+'5'!U42+'4'!U42+'8'!U42+'7'!U42+'10'!U42+'9'!U42+'11'!U42+'12'!U42+'13'!U42+'15'!U42+'14'!U42+'16'!U42+'17'!U42+'19'!U42+'20'!U42+'22'!U42+'18'!U42+'21'!U42+'25'!U42+'23'!U42+'26'!U42+'24'!U42+'28'!U42+'27'!U42+'29'!U42+'31'!U42+'30'!U42</f>
        <v>0</v>
      </c>
      <c r="V42" s="52">
        <f>+'1'!V42+'3'!V42+'2'!V42+'6'!V42+'5'!V42+'4'!V42+'8'!V42+'7'!V42+'10'!V42+'9'!V42+'11'!V42+'12'!V42+'13'!V42+'15'!V42+'14'!V42+'16'!V42+'17'!V42+'19'!V42+'20'!V42+'22'!V42+'18'!V42+'21'!V42+'25'!V42+'23'!V42+'26'!V42+'24'!V42+'28'!V42+'27'!V42+'29'!V42+'31'!V42+'30'!V42</f>
        <v>0</v>
      </c>
      <c r="W42" s="52">
        <f>+'1'!W42+'3'!W42+'2'!W42+'6'!W42+'5'!W42+'4'!W42+'8'!W42+'7'!W42+'10'!W42+'9'!W42+'11'!W42+'12'!W42+'13'!W42+'15'!W42+'14'!W42+'16'!W42+'17'!W42+'19'!W42+'20'!W42+'22'!W42+'18'!W42+'21'!W42+'25'!W42+'23'!W42+'26'!W42+'24'!W42+'28'!W42+'27'!W42+'29'!W42+'31'!W42+'30'!W42</f>
        <v>0</v>
      </c>
      <c r="X42" s="52">
        <f>+'1'!X42+'3'!X42+'2'!X42+'6'!X42+'5'!X42+'4'!X42+'8'!X42+'7'!X42+'10'!X42+'9'!X42+'11'!X42+'12'!X42+'13'!X42+'15'!X42+'14'!X42+'16'!X42+'17'!X42+'19'!X42+'20'!X42+'22'!X42+'18'!X42+'21'!X42+'25'!X42+'23'!X42+'26'!X42+'24'!X42+'28'!X42+'27'!X42+'29'!X42+'31'!X42+'30'!X42</f>
        <v>0</v>
      </c>
      <c r="Y42" s="52">
        <f>+'1'!Y42+'3'!Y42+'2'!Y42+'6'!Y42+'5'!Y42+'4'!Y42+'8'!Y42+'7'!Y42+'10'!Y42+'9'!Y42+'11'!Y42+'12'!Y42+'13'!Y42+'15'!Y42+'14'!Y42+'16'!Y42+'17'!Y42+'19'!Y42+'20'!Y42+'22'!Y42+'18'!Y42+'21'!Y42+'25'!Y42+'23'!Y42+'26'!Y42+'24'!Y42+'28'!Y42+'27'!Y42+'29'!Y42+'31'!Y42+'30'!Y42</f>
        <v>0</v>
      </c>
      <c r="Z42" s="52">
        <f>+'1'!Z42+'3'!Z42+'2'!Z42+'6'!Z42+'5'!Z42+'4'!Z42+'8'!Z42+'7'!Z42+'10'!Z42+'9'!Z42+'11'!Z42+'12'!Z42+'13'!Z42+'15'!Z42+'14'!Z42+'16'!Z42+'17'!Z42+'19'!Z42+'20'!Z42+'22'!Z42+'18'!Z42+'21'!Z42+'25'!Z42+'23'!Z42+'26'!Z42+'24'!Z42+'28'!Z42+'27'!Z42+'29'!Z42+'31'!Z42+'30'!Z42</f>
        <v>0</v>
      </c>
      <c r="AA42" s="52">
        <f>+'1'!AA42+'3'!AA42+'2'!AA42+'6'!AA42+'5'!AA42+'4'!AA42+'8'!AA42+'7'!AA42+'10'!AA42+'9'!AA42+'11'!AA42+'12'!AA42+'13'!AA42+'15'!AA42+'14'!AA42+'16'!AA42+'17'!AA42+'19'!AA42+'20'!AA42+'22'!AA42+'18'!AA42+'21'!AA42+'25'!AA42+'23'!AA42+'26'!AA42+'24'!AA42+'28'!AA42+'27'!AA42+'29'!AA42+'31'!AA42+'30'!AA42</f>
        <v>0</v>
      </c>
      <c r="AB42" s="52">
        <f>+'1'!AB42+'3'!AB42+'2'!AB42+'6'!AB42+'5'!AB42+'4'!AB42+'8'!AB42+'7'!AB42+'10'!AB42+'9'!AB42+'11'!AB42+'12'!AB42+'13'!AB42+'15'!AB42+'14'!AB42+'16'!AB42+'17'!AB42+'19'!AB42+'20'!AB42+'22'!AB42+'18'!AB42+'21'!AB42+'25'!AB42+'23'!AB42+'26'!AB42+'24'!AB42+'28'!AB42+'27'!AB42+'29'!AB42+'31'!AB42+'30'!AB42</f>
        <v>0</v>
      </c>
      <c r="AC42" s="52">
        <f>+'1'!AC42+'3'!AC42+'2'!AC42+'6'!AC42+'5'!AC42+'4'!AC42+'8'!AC42+'7'!AC42+'10'!AC42+'9'!AC42+'11'!AC42+'12'!AC42+'13'!AC42+'15'!AC42+'14'!AC42+'16'!AC42+'17'!AC42+'19'!AC42+'20'!AC42+'22'!AC42+'18'!AC42+'21'!AC42+'25'!AC42+'23'!AC42+'26'!AC42+'24'!AC42+'28'!AC42+'27'!AC42+'29'!AC42+'31'!AC42+'30'!AC42</f>
        <v>0</v>
      </c>
      <c r="AD42" s="52">
        <f>+'1'!AD42+'3'!AD42+'2'!AD42+'6'!AD42+'5'!AD42+'4'!AD42+'8'!AD42+'7'!AD42+'10'!AD42+'9'!AD42+'11'!AD42+'12'!AD42+'13'!AD42+'15'!AD42+'14'!AD42+'16'!AD42+'17'!AD42+'19'!AD42+'20'!AD42+'22'!AD42+'18'!AD42+'21'!AD42+'25'!AD42+'23'!AD42+'26'!AD42+'24'!AD42+'28'!AD42+'27'!AD42+'29'!AD42+'31'!AD42+'30'!AD42</f>
        <v>0</v>
      </c>
      <c r="AE42" s="52">
        <f>+'1'!AE42+'3'!AE42+'2'!AE42+'6'!AE42+'5'!AE42+'4'!AE42+'8'!AE42+'7'!AE42+'10'!AE42+'9'!AE42+'11'!AE42+'12'!AE42+'13'!AE42+'15'!AE42+'14'!AE42+'16'!AE42+'17'!AE42+'19'!AE42+'20'!AE42+'22'!AE42+'18'!AE42+'21'!AE42+'25'!AE42+'23'!AE42+'26'!AE42+'24'!AE42+'28'!AE42+'27'!AE42+'29'!AE42+'31'!AE42+'30'!AE42</f>
        <v>0</v>
      </c>
      <c r="AF42" s="52">
        <f>+'1'!AF42+'3'!AF42+'2'!AF42+'6'!AF42+'5'!AF42+'4'!AF42+'8'!AF42+'7'!AF42+'10'!AF42+'9'!AF42+'11'!AF42+'12'!AF42+'13'!AF42+'15'!AF42+'14'!AF42+'16'!AF42+'17'!AF42+'19'!AF42+'20'!AF42+'22'!AF42+'18'!AF42+'21'!AF42+'25'!AF42+'23'!AF42+'26'!AF42+'24'!AF42+'28'!AF42+'27'!AF42+'29'!AF42+'31'!AF42+'30'!AF42</f>
        <v>0</v>
      </c>
      <c r="AG42" s="52">
        <f>+'1'!AG42+'3'!AG42+'2'!AG42+'6'!AG42+'5'!AG42+'4'!AG42+'8'!AG42+'7'!AG42+'10'!AG42+'9'!AG42+'11'!AG42+'12'!AG42+'13'!AG42+'15'!AG42+'14'!AG42+'16'!AG42+'17'!AG42+'19'!AG42+'20'!AG42+'22'!AG42+'18'!AG42+'21'!AG42+'25'!AG42+'23'!AG42+'26'!AG42+'24'!AG42+'28'!AG42+'27'!AG42+'29'!AG42+'31'!AG42+'30'!AG42</f>
        <v>0</v>
      </c>
      <c r="AH42" s="52">
        <f>+'1'!AH42+'3'!AH42+'2'!AH42+'6'!AH42+'5'!AH42+'4'!AH42+'8'!AH42+'7'!AH42+'10'!AH42+'9'!AH42+'11'!AH42+'12'!AH42+'13'!AH42+'15'!AH42+'14'!AH42+'16'!AH42+'17'!AH42+'19'!AH42+'20'!AH42+'22'!AH42+'18'!AH42+'21'!AH42+'25'!AH42+'23'!AH42+'26'!AH42+'24'!AH42+'28'!AH42+'27'!AH42+'29'!AH42+'31'!AH42+'30'!AH42</f>
        <v>0</v>
      </c>
      <c r="AI42" s="55">
        <f>+'1'!AI42+'3'!AI42+'2'!AI42+'6'!AI42+'5'!AI42+'4'!AI42+'8'!AI42+'7'!AI42+'10'!AI42+'9'!AI42+'11'!AI42+'12'!AI42+'13'!AI42+'15'!AI42+'14'!AI42+'16'!AI42+'17'!AI42+'19'!AI42+'20'!AI42+'22'!AI42+'18'!AI42+'21'!AI42+'25'!AI42+'23'!AI42+'26'!AI42+'24'!AI42+'28'!AI42+'27'!AI42+'29'!AI42+'31'!AI42+'30'!AI42</f>
        <v>0</v>
      </c>
      <c r="AJ42" s="58">
        <f>+'1'!AJ42+'3'!AJ42+'2'!AJ42+'6'!AJ42+'5'!AJ42+'4'!AJ42+'8'!AJ42+'7'!AJ42+'10'!AJ42+'9'!AJ42+'11'!AJ42+'12'!AJ42+'13'!AJ42+'15'!AJ42+'14'!AJ42+'16'!AJ42+'17'!AJ42+'19'!AJ42+'20'!AJ42+'22'!AJ42+'18'!AJ42+'21'!AJ42+'25'!AJ42+'23'!AJ42+'26'!AJ42+'24'!AJ42+'28'!AJ42+'27'!AJ42+'29'!AJ42+'31'!AJ42+'30'!AJ42</f>
        <v>0</v>
      </c>
      <c r="AK42" s="55">
        <f>+'1'!AK42+'3'!AK42+'2'!AK42+'6'!AK42+'5'!AK42+'4'!AK42+'8'!AK42+'7'!AK42+'10'!AK42+'9'!AK42+'11'!AK42+'12'!AK42+'13'!AK42+'15'!AK42+'14'!AK42+'16'!AK42+'17'!AK42+'19'!AK42+'20'!AK42+'22'!AK42+'18'!AK42+'21'!AK42+'25'!AK42+'23'!AK42+'26'!AK42+'24'!AK42+'28'!AK42+'27'!AK42+'29'!AK42+'31'!AK42+'30'!AK42</f>
        <v>0</v>
      </c>
      <c r="AL42" s="66">
        <f t="shared" si="6"/>
        <v>0</v>
      </c>
      <c r="AM42" s="28" t="str">
        <f t="shared" si="7"/>
        <v>OK</v>
      </c>
    </row>
    <row r="43" spans="1:39" customFormat="1" hidden="1">
      <c r="A43" s="17" t="s">
        <v>81</v>
      </c>
      <c r="B43" s="77">
        <v>10121</v>
      </c>
      <c r="C43" s="17" t="s">
        <v>59</v>
      </c>
      <c r="D43" s="69"/>
      <c r="E43" s="18"/>
      <c r="F43" s="18"/>
      <c r="G43" s="19"/>
      <c r="H43" s="20">
        <f>+'1'!H43+'3'!H43+'2'!H43+'6'!H43+'5'!H43+'4'!H43+'8'!H43+'7'!H43+'10'!H43+'9'!H43+'11'!H43+'12'!H43+'13'!H43+'15'!H43+'14'!H43+'16'!H43+'17'!H43+'19'!H43+'20'!H43+'22'!H43+'18'!H43+'21'!H43+'25'!H43+'23'!H43+'26'!H43+'24'!H43+'28'!H43+'27'!H43+'29'!H43+'31'!H43+'30'!H43</f>
        <v>0</v>
      </c>
      <c r="I43" s="21">
        <f>+'1'!I43+'3'!I43+'2'!I43+'6'!I43+'5'!I43+'4'!I43+'8'!I43+'7'!I43+'10'!I43+'9'!I43+'11'!I43+'12'!I43+'13'!I43+'15'!I43+'14'!I43+'16'!I43+'17'!I43+'19'!I43+'20'!I43+'22'!I43+'18'!I43+'21'!I43+'25'!I43+'23'!I43+'26'!I43+'24'!I43+'28'!I43+'27'!I43+'29'!I43+'31'!I43+'30'!I43</f>
        <v>0</v>
      </c>
      <c r="J43" s="21"/>
      <c r="K43" s="16"/>
      <c r="L43" s="21">
        <f>+'1'!L43+'3'!L43+'2'!L43+'6'!L43+'5'!L43+'4'!L43+'8'!L43+'7'!L43+'10'!L43+'9'!L43+'11'!L43+'12'!L43+'13'!L43+'15'!L43+'14'!L43+'16'!L43+'17'!L43+'19'!L43+'20'!L43+'22'!L43+'18'!L43+'21'!L43+'25'!L43+'23'!L43+'26'!L43+'24'!L43+'28'!L43+'27'!L43+'29'!L43+'31'!L43+'30'!L43</f>
        <v>0</v>
      </c>
      <c r="M43" s="21">
        <f>+'1'!M43+'3'!M43+'2'!M43+'6'!M43+'5'!M43+'4'!M43+'8'!M43+'7'!M43+'10'!M43+'9'!M43+'11'!M43+'12'!M43+'13'!M43+'15'!M43+'14'!M43+'16'!M43+'17'!M43+'19'!M43+'20'!M43+'22'!M43+'18'!M43+'21'!M43+'25'!M43+'23'!M43+'26'!M43+'24'!M43+'28'!M43+'27'!M43+'29'!M43+'31'!M43+'30'!M43</f>
        <v>0</v>
      </c>
      <c r="N43" s="21">
        <f>+'1'!N43+'3'!N43+'2'!N43+'6'!N43+'5'!N43+'4'!N43+'8'!N43+'7'!N43+'10'!N43+'9'!N43+'11'!N43+'12'!N43+'13'!N43+'15'!N43+'14'!N43+'16'!N43+'17'!N43+'19'!N43+'20'!N43+'22'!N43+'18'!N43+'21'!N43+'25'!N43+'23'!N43+'26'!N43+'24'!N43+'28'!N43+'27'!N43+'29'!N43+'31'!N43+'30'!N43</f>
        <v>0</v>
      </c>
      <c r="O43" s="21">
        <f>+'1'!O43+'3'!O43+'2'!O43+'6'!O43+'5'!O43+'4'!O43+'8'!O43+'7'!O43+'10'!O43+'9'!O43+'11'!O43+'12'!O43+'13'!O43+'15'!O43+'14'!O43+'16'!O43+'17'!O43+'19'!O43+'20'!O43+'22'!O43+'18'!O43+'21'!O43+'25'!O43+'23'!O43+'26'!O43+'24'!O43+'28'!O43+'27'!O43+'29'!O43+'31'!O43+'30'!O43</f>
        <v>0</v>
      </c>
      <c r="P43" s="21">
        <f>+'1'!P43+'3'!P43+'2'!P43+'6'!P43+'5'!P43+'4'!P43+'8'!P43+'7'!P43+'10'!P43+'9'!P43+'11'!P43+'12'!P43+'13'!P43+'15'!P43+'14'!P43+'16'!P43+'17'!P43+'19'!P43+'20'!P43+'22'!P43+'18'!P43+'21'!P43+'25'!P43+'23'!P43+'26'!P43+'24'!P43+'28'!P43+'27'!P43+'29'!P43+'31'!P43+'30'!P43</f>
        <v>0</v>
      </c>
      <c r="Q43" s="21">
        <f>+'1'!Q43+'3'!Q43+'2'!Q43+'6'!Q43+'5'!Q43+'4'!Q43+'8'!Q43+'7'!Q43+'10'!Q43+'9'!Q43+'11'!Q43+'12'!Q43+'13'!Q43+'15'!Q43+'14'!Q43+'16'!Q43+'17'!Q43+'19'!Q43+'20'!Q43+'22'!Q43+'18'!Q43+'21'!Q43+'25'!Q43+'23'!Q43+'26'!Q43+'24'!Q43+'28'!Q43+'27'!Q43+'29'!Q43+'31'!Q43+'30'!Q43</f>
        <v>0</v>
      </c>
      <c r="R43" s="21">
        <f>+'1'!R43+'3'!R43+'2'!R43+'6'!R43+'5'!R43+'4'!R43+'8'!R43+'7'!R43+'10'!R43+'9'!R43+'11'!R43+'12'!R43+'13'!R43+'15'!R43+'14'!R43+'16'!R43+'17'!R43+'19'!R43+'20'!R43+'22'!R43+'18'!R43+'21'!R43+'25'!R43+'23'!R43+'26'!R43+'24'!R43+'28'!R43+'27'!R43+'29'!R43+'31'!R43+'30'!R43</f>
        <v>0</v>
      </c>
      <c r="S43" s="21">
        <f>+'1'!S43+'3'!S43+'2'!S43+'6'!S43+'5'!S43+'4'!S43+'8'!S43+'7'!S43+'10'!S43+'9'!S43+'11'!S43+'12'!S43+'13'!S43+'15'!S43+'14'!S43+'16'!S43+'17'!S43+'19'!S43+'20'!S43+'22'!S43+'18'!S43+'21'!S43+'25'!S43+'23'!S43+'26'!S43+'24'!S43+'28'!S43+'27'!S43+'29'!S43+'31'!S43+'30'!S43</f>
        <v>0</v>
      </c>
      <c r="T43" s="42">
        <f>+'1'!T43+'3'!T43+'2'!T43+'6'!T43+'5'!T43+'4'!T43+'8'!T43+'7'!T43+'10'!T43+'9'!T43+'11'!T43+'12'!T43+'13'!T43+'15'!T43+'14'!T43+'16'!T43+'17'!T43+'19'!T43+'20'!T43+'22'!T43+'18'!T43+'21'!T43+'25'!T43+'23'!T43+'26'!T43+'24'!T43+'28'!T43+'27'!T43+'29'!T43+'31'!T43+'30'!T43</f>
        <v>0</v>
      </c>
      <c r="U43" s="51">
        <f>+'1'!U43+'3'!U43+'2'!U43+'6'!U43+'5'!U43+'4'!U43+'8'!U43+'7'!U43+'10'!U43+'9'!U43+'11'!U43+'12'!U43+'13'!U43+'15'!U43+'14'!U43+'16'!U43+'17'!U43+'19'!U43+'20'!U43+'22'!U43+'18'!U43+'21'!U43+'25'!U43+'23'!U43+'26'!U43+'24'!U43+'28'!U43+'27'!U43+'29'!U43+'31'!U43+'30'!U43</f>
        <v>0</v>
      </c>
      <c r="V43" s="51">
        <f>+'1'!V43+'3'!V43+'2'!V43+'6'!V43+'5'!V43+'4'!V43+'8'!V43+'7'!V43+'10'!V43+'9'!V43+'11'!V43+'12'!V43+'13'!V43+'15'!V43+'14'!V43+'16'!V43+'17'!V43+'19'!V43+'20'!V43+'22'!V43+'18'!V43+'21'!V43+'25'!V43+'23'!V43+'26'!V43+'24'!V43+'28'!V43+'27'!V43+'29'!V43+'31'!V43+'30'!V43</f>
        <v>0</v>
      </c>
      <c r="W43" s="51">
        <f>+'1'!W43+'3'!W43+'2'!W43+'6'!W43+'5'!W43+'4'!W43+'8'!W43+'7'!W43+'10'!W43+'9'!W43+'11'!W43+'12'!W43+'13'!W43+'15'!W43+'14'!W43+'16'!W43+'17'!W43+'19'!W43+'20'!W43+'22'!W43+'18'!W43+'21'!W43+'25'!W43+'23'!W43+'26'!W43+'24'!W43+'28'!W43+'27'!W43+'29'!W43+'31'!W43+'30'!W43</f>
        <v>0</v>
      </c>
      <c r="X43" s="51">
        <f>+'1'!X43+'3'!X43+'2'!X43+'6'!X43+'5'!X43+'4'!X43+'8'!X43+'7'!X43+'10'!X43+'9'!X43+'11'!X43+'12'!X43+'13'!X43+'15'!X43+'14'!X43+'16'!X43+'17'!X43+'19'!X43+'20'!X43+'22'!X43+'18'!X43+'21'!X43+'25'!X43+'23'!X43+'26'!X43+'24'!X43+'28'!X43+'27'!X43+'29'!X43+'31'!X43+'30'!X43</f>
        <v>0</v>
      </c>
      <c r="Y43" s="51">
        <f>+'1'!Y43+'3'!Y43+'2'!Y43+'6'!Y43+'5'!Y43+'4'!Y43+'8'!Y43+'7'!Y43+'10'!Y43+'9'!Y43+'11'!Y43+'12'!Y43+'13'!Y43+'15'!Y43+'14'!Y43+'16'!Y43+'17'!Y43+'19'!Y43+'20'!Y43+'22'!Y43+'18'!Y43+'21'!Y43+'25'!Y43+'23'!Y43+'26'!Y43+'24'!Y43+'28'!Y43+'27'!Y43+'29'!Y43+'31'!Y43+'30'!Y43</f>
        <v>0</v>
      </c>
      <c r="Z43" s="51">
        <f>+'1'!Z43+'3'!Z43+'2'!Z43+'6'!Z43+'5'!Z43+'4'!Z43+'8'!Z43+'7'!Z43+'10'!Z43+'9'!Z43+'11'!Z43+'12'!Z43+'13'!Z43+'15'!Z43+'14'!Z43+'16'!Z43+'17'!Z43+'19'!Z43+'20'!Z43+'22'!Z43+'18'!Z43+'21'!Z43+'25'!Z43+'23'!Z43+'26'!Z43+'24'!Z43+'28'!Z43+'27'!Z43+'29'!Z43+'31'!Z43+'30'!Z43</f>
        <v>0</v>
      </c>
      <c r="AA43" s="51">
        <f>+'1'!AA43+'3'!AA43+'2'!AA43+'6'!AA43+'5'!AA43+'4'!AA43+'8'!AA43+'7'!AA43+'10'!AA43+'9'!AA43+'11'!AA43+'12'!AA43+'13'!AA43+'15'!AA43+'14'!AA43+'16'!AA43+'17'!AA43+'19'!AA43+'20'!AA43+'22'!AA43+'18'!AA43+'21'!AA43+'25'!AA43+'23'!AA43+'26'!AA43+'24'!AA43+'28'!AA43+'27'!AA43+'29'!AA43+'31'!AA43+'30'!AA43</f>
        <v>0</v>
      </c>
      <c r="AB43" s="51">
        <f>+'1'!AB43+'3'!AB43+'2'!AB43+'6'!AB43+'5'!AB43+'4'!AB43+'8'!AB43+'7'!AB43+'10'!AB43+'9'!AB43+'11'!AB43+'12'!AB43+'13'!AB43+'15'!AB43+'14'!AB43+'16'!AB43+'17'!AB43+'19'!AB43+'20'!AB43+'22'!AB43+'18'!AB43+'21'!AB43+'25'!AB43+'23'!AB43+'26'!AB43+'24'!AB43+'28'!AB43+'27'!AB43+'29'!AB43+'31'!AB43+'30'!AB43</f>
        <v>0</v>
      </c>
      <c r="AC43" s="51">
        <f>+'1'!AC43+'3'!AC43+'2'!AC43+'6'!AC43+'5'!AC43+'4'!AC43+'8'!AC43+'7'!AC43+'10'!AC43+'9'!AC43+'11'!AC43+'12'!AC43+'13'!AC43+'15'!AC43+'14'!AC43+'16'!AC43+'17'!AC43+'19'!AC43+'20'!AC43+'22'!AC43+'18'!AC43+'21'!AC43+'25'!AC43+'23'!AC43+'26'!AC43+'24'!AC43+'28'!AC43+'27'!AC43+'29'!AC43+'31'!AC43+'30'!AC43</f>
        <v>0</v>
      </c>
      <c r="AD43" s="51">
        <f>+'1'!AD43+'3'!AD43+'2'!AD43+'6'!AD43+'5'!AD43+'4'!AD43+'8'!AD43+'7'!AD43+'10'!AD43+'9'!AD43+'11'!AD43+'12'!AD43+'13'!AD43+'15'!AD43+'14'!AD43+'16'!AD43+'17'!AD43+'19'!AD43+'20'!AD43+'22'!AD43+'18'!AD43+'21'!AD43+'25'!AD43+'23'!AD43+'26'!AD43+'24'!AD43+'28'!AD43+'27'!AD43+'29'!AD43+'31'!AD43+'30'!AD43</f>
        <v>0</v>
      </c>
      <c r="AE43" s="51">
        <f>+'1'!AE43+'3'!AE43+'2'!AE43+'6'!AE43+'5'!AE43+'4'!AE43+'8'!AE43+'7'!AE43+'10'!AE43+'9'!AE43+'11'!AE43+'12'!AE43+'13'!AE43+'15'!AE43+'14'!AE43+'16'!AE43+'17'!AE43+'19'!AE43+'20'!AE43+'22'!AE43+'18'!AE43+'21'!AE43+'25'!AE43+'23'!AE43+'26'!AE43+'24'!AE43+'28'!AE43+'27'!AE43+'29'!AE43+'31'!AE43+'30'!AE43</f>
        <v>0</v>
      </c>
      <c r="AF43" s="51">
        <f>+'1'!AF43+'3'!AF43+'2'!AF43+'6'!AF43+'5'!AF43+'4'!AF43+'8'!AF43+'7'!AF43+'10'!AF43+'9'!AF43+'11'!AF43+'12'!AF43+'13'!AF43+'15'!AF43+'14'!AF43+'16'!AF43+'17'!AF43+'19'!AF43+'20'!AF43+'22'!AF43+'18'!AF43+'21'!AF43+'25'!AF43+'23'!AF43+'26'!AF43+'24'!AF43+'28'!AF43+'27'!AF43+'29'!AF43+'31'!AF43+'30'!AF43</f>
        <v>0</v>
      </c>
      <c r="AG43" s="51">
        <f>+'1'!AG43+'3'!AG43+'2'!AG43+'6'!AG43+'5'!AG43+'4'!AG43+'8'!AG43+'7'!AG43+'10'!AG43+'9'!AG43+'11'!AG43+'12'!AG43+'13'!AG43+'15'!AG43+'14'!AG43+'16'!AG43+'17'!AG43+'19'!AG43+'20'!AG43+'22'!AG43+'18'!AG43+'21'!AG43+'25'!AG43+'23'!AG43+'26'!AG43+'24'!AG43+'28'!AG43+'27'!AG43+'29'!AG43+'31'!AG43+'30'!AG43</f>
        <v>0</v>
      </c>
      <c r="AH43" s="51">
        <f>+'1'!AH43+'3'!AH43+'2'!AH43+'6'!AH43+'5'!AH43+'4'!AH43+'8'!AH43+'7'!AH43+'10'!AH43+'9'!AH43+'11'!AH43+'12'!AH43+'13'!AH43+'15'!AH43+'14'!AH43+'16'!AH43+'17'!AH43+'19'!AH43+'20'!AH43+'22'!AH43+'18'!AH43+'21'!AH43+'25'!AH43+'23'!AH43+'26'!AH43+'24'!AH43+'28'!AH43+'27'!AH43+'29'!AH43+'31'!AH43+'30'!AH43</f>
        <v>0</v>
      </c>
      <c r="AI43" s="54">
        <f>+'1'!AI43+'3'!AI43+'2'!AI43+'6'!AI43+'5'!AI43+'4'!AI43+'8'!AI43+'7'!AI43+'10'!AI43+'9'!AI43+'11'!AI43+'12'!AI43+'13'!AI43+'15'!AI43+'14'!AI43+'16'!AI43+'17'!AI43+'19'!AI43+'20'!AI43+'22'!AI43+'18'!AI43+'21'!AI43+'25'!AI43+'23'!AI43+'26'!AI43+'24'!AI43+'28'!AI43+'27'!AI43+'29'!AI43+'31'!AI43+'30'!AI43</f>
        <v>0</v>
      </c>
      <c r="AJ43" s="57">
        <f>+'1'!AJ43+'3'!AJ43+'2'!AJ43+'6'!AJ43+'5'!AJ43+'4'!AJ43+'8'!AJ43+'7'!AJ43+'10'!AJ43+'9'!AJ43+'11'!AJ43+'12'!AJ43+'13'!AJ43+'15'!AJ43+'14'!AJ43+'16'!AJ43+'17'!AJ43+'19'!AJ43+'20'!AJ43+'22'!AJ43+'18'!AJ43+'21'!AJ43+'25'!AJ43+'23'!AJ43+'26'!AJ43+'24'!AJ43+'28'!AJ43+'27'!AJ43+'29'!AJ43+'31'!AJ43+'30'!AJ43</f>
        <v>0</v>
      </c>
      <c r="AK43" s="54">
        <f>+'1'!AK43+'3'!AK43+'2'!AK43+'6'!AK43+'5'!AK43+'4'!AK43+'8'!AK43+'7'!AK43+'10'!AK43+'9'!AK43+'11'!AK43+'12'!AK43+'13'!AK43+'15'!AK43+'14'!AK43+'16'!AK43+'17'!AK43+'19'!AK43+'20'!AK43+'22'!AK43+'18'!AK43+'21'!AK43+'25'!AK43+'23'!AK43+'26'!AK43+'24'!AK43+'28'!AK43+'27'!AK43+'29'!AK43+'31'!AK43+'30'!AK43</f>
        <v>0</v>
      </c>
      <c r="AL43" s="65">
        <f t="shared" si="6"/>
        <v>0</v>
      </c>
      <c r="AM43" s="22" t="str">
        <f t="shared" si="7"/>
        <v>OK</v>
      </c>
    </row>
    <row r="44" spans="1:39" customFormat="1" hidden="1">
      <c r="A44" s="68" t="s">
        <v>82</v>
      </c>
      <c r="B44" s="78">
        <v>10120</v>
      </c>
      <c r="C44" s="23" t="s">
        <v>59</v>
      </c>
      <c r="D44" s="24"/>
      <c r="E44" s="24"/>
      <c r="F44" s="24"/>
      <c r="G44" s="25"/>
      <c r="H44" s="26">
        <f>+'1'!H44+'3'!H44+'2'!H44+'6'!H44+'5'!H44+'4'!H44+'8'!H44+'7'!H44+'10'!H44+'9'!H44+'11'!H44+'12'!H44+'13'!H44+'15'!H44+'14'!H44+'16'!H44+'17'!H44+'19'!H44+'20'!H44+'22'!H44+'18'!H44+'21'!H44+'25'!H44+'23'!H44+'26'!H44+'24'!H44+'28'!H44+'27'!H44+'29'!H44+'31'!H44+'30'!H44</f>
        <v>0</v>
      </c>
      <c r="I44" s="27">
        <f>+'1'!I44+'3'!I44+'2'!I44+'6'!I44+'5'!I44+'4'!I44+'8'!I44+'7'!I44+'10'!I44+'9'!I44+'11'!I44+'12'!I44+'13'!I44+'15'!I44+'14'!I44+'16'!I44+'17'!I44+'19'!I44+'20'!I44+'22'!I44+'18'!I44+'21'!I44+'25'!I44+'23'!I44+'26'!I44+'24'!I44+'28'!I44+'27'!I44+'29'!I44+'31'!I44+'30'!I44</f>
        <v>0</v>
      </c>
      <c r="J44" s="27"/>
      <c r="K44" s="16"/>
      <c r="L44" s="27">
        <f>+'1'!L44+'3'!L44+'2'!L44+'6'!L44+'5'!L44+'4'!L44+'8'!L44+'7'!L44+'10'!L44+'9'!L44+'11'!L44+'12'!L44+'13'!L44+'15'!L44+'14'!L44+'16'!L44+'17'!L44+'19'!L44+'20'!L44+'22'!L44+'18'!L44+'21'!L44+'25'!L44+'23'!L44+'26'!L44+'24'!L44+'28'!L44+'27'!L44+'29'!L44+'31'!L44+'30'!L44</f>
        <v>0</v>
      </c>
      <c r="M44" s="27">
        <f>+'1'!M44+'3'!M44+'2'!M44+'6'!M44+'5'!M44+'4'!M44+'8'!M44+'7'!M44+'10'!M44+'9'!M44+'11'!M44+'12'!M44+'13'!M44+'15'!M44+'14'!M44+'16'!M44+'17'!M44+'19'!M44+'20'!M44+'22'!M44+'18'!M44+'21'!M44+'25'!M44+'23'!M44+'26'!M44+'24'!M44+'28'!M44+'27'!M44+'29'!M44+'31'!M44+'30'!M44</f>
        <v>0</v>
      </c>
      <c r="N44" s="27">
        <f>+'1'!N44+'3'!N44+'2'!N44+'6'!N44+'5'!N44+'4'!N44+'8'!N44+'7'!N44+'10'!N44+'9'!N44+'11'!N44+'12'!N44+'13'!N44+'15'!N44+'14'!N44+'16'!N44+'17'!N44+'19'!N44+'20'!N44+'22'!N44+'18'!N44+'21'!N44+'25'!N44+'23'!N44+'26'!N44+'24'!N44+'28'!N44+'27'!N44+'29'!N44+'31'!N44+'30'!N44</f>
        <v>0</v>
      </c>
      <c r="O44" s="27">
        <f>+'1'!O44+'3'!O44+'2'!O44+'6'!O44+'5'!O44+'4'!O44+'8'!O44+'7'!O44+'10'!O44+'9'!O44+'11'!O44+'12'!O44+'13'!O44+'15'!O44+'14'!O44+'16'!O44+'17'!O44+'19'!O44+'20'!O44+'22'!O44+'18'!O44+'21'!O44+'25'!O44+'23'!O44+'26'!O44+'24'!O44+'28'!O44+'27'!O44+'29'!O44+'31'!O44+'30'!O44</f>
        <v>0</v>
      </c>
      <c r="P44" s="27">
        <f>+'1'!P44+'3'!P44+'2'!P44+'6'!P44+'5'!P44+'4'!P44+'8'!P44+'7'!P44+'10'!P44+'9'!P44+'11'!P44+'12'!P44+'13'!P44+'15'!P44+'14'!P44+'16'!P44+'17'!P44+'19'!P44+'20'!P44+'22'!P44+'18'!P44+'21'!P44+'25'!P44+'23'!P44+'26'!P44+'24'!P44+'28'!P44+'27'!P44+'29'!P44+'31'!P44+'30'!P44</f>
        <v>0</v>
      </c>
      <c r="Q44" s="27">
        <f>+'1'!Q44+'3'!Q44+'2'!Q44+'6'!Q44+'5'!Q44+'4'!Q44+'8'!Q44+'7'!Q44+'10'!Q44+'9'!Q44+'11'!Q44+'12'!Q44+'13'!Q44+'15'!Q44+'14'!Q44+'16'!Q44+'17'!Q44+'19'!Q44+'20'!Q44+'22'!Q44+'18'!Q44+'21'!Q44+'25'!Q44+'23'!Q44+'26'!Q44+'24'!Q44+'28'!Q44+'27'!Q44+'29'!Q44+'31'!Q44+'30'!Q44</f>
        <v>0</v>
      </c>
      <c r="R44" s="27">
        <f>+'1'!R44+'3'!R44+'2'!R44+'6'!R44+'5'!R44+'4'!R44+'8'!R44+'7'!R44+'10'!R44+'9'!R44+'11'!R44+'12'!R44+'13'!R44+'15'!R44+'14'!R44+'16'!R44+'17'!R44+'19'!R44+'20'!R44+'22'!R44+'18'!R44+'21'!R44+'25'!R44+'23'!R44+'26'!R44+'24'!R44+'28'!R44+'27'!R44+'29'!R44+'31'!R44+'30'!R44</f>
        <v>0</v>
      </c>
      <c r="S44" s="27">
        <f>+'1'!S44+'3'!S44+'2'!S44+'6'!S44+'5'!S44+'4'!S44+'8'!S44+'7'!S44+'10'!S44+'9'!S44+'11'!S44+'12'!S44+'13'!S44+'15'!S44+'14'!S44+'16'!S44+'17'!S44+'19'!S44+'20'!S44+'22'!S44+'18'!S44+'21'!S44+'25'!S44+'23'!S44+'26'!S44+'24'!S44+'28'!S44+'27'!S44+'29'!S44+'31'!S44+'30'!S44</f>
        <v>0</v>
      </c>
      <c r="T44" s="43">
        <f>+'1'!T44+'3'!T44+'2'!T44+'6'!T44+'5'!T44+'4'!T44+'8'!T44+'7'!T44+'10'!T44+'9'!T44+'11'!T44+'12'!T44+'13'!T44+'15'!T44+'14'!T44+'16'!T44+'17'!T44+'19'!T44+'20'!T44+'22'!T44+'18'!T44+'21'!T44+'25'!T44+'23'!T44+'26'!T44+'24'!T44+'28'!T44+'27'!T44+'29'!T44+'31'!T44+'30'!T44</f>
        <v>0</v>
      </c>
      <c r="U44" s="52">
        <f>+'1'!U44+'3'!U44+'2'!U44+'6'!U44+'5'!U44+'4'!U44+'8'!U44+'7'!U44+'10'!U44+'9'!U44+'11'!U44+'12'!U44+'13'!U44+'15'!U44+'14'!U44+'16'!U44+'17'!U44+'19'!U44+'20'!U44+'22'!U44+'18'!U44+'21'!U44+'25'!U44+'23'!U44+'26'!U44+'24'!U44+'28'!U44+'27'!U44+'29'!U44+'31'!U44+'30'!U44</f>
        <v>0</v>
      </c>
      <c r="V44" s="52">
        <f>+'1'!V44+'3'!V44+'2'!V44+'6'!V44+'5'!V44+'4'!V44+'8'!V44+'7'!V44+'10'!V44+'9'!V44+'11'!V44+'12'!V44+'13'!V44+'15'!V44+'14'!V44+'16'!V44+'17'!V44+'19'!V44+'20'!V44+'22'!V44+'18'!V44+'21'!V44+'25'!V44+'23'!V44+'26'!V44+'24'!V44+'28'!V44+'27'!V44+'29'!V44+'31'!V44+'30'!V44</f>
        <v>0</v>
      </c>
      <c r="W44" s="52">
        <f>+'1'!W44+'3'!W44+'2'!W44+'6'!W44+'5'!W44+'4'!W44+'8'!W44+'7'!W44+'10'!W44+'9'!W44+'11'!W44+'12'!W44+'13'!W44+'15'!W44+'14'!W44+'16'!W44+'17'!W44+'19'!W44+'20'!W44+'22'!W44+'18'!W44+'21'!W44+'25'!W44+'23'!W44+'26'!W44+'24'!W44+'28'!W44+'27'!W44+'29'!W44+'31'!W44+'30'!W44</f>
        <v>0</v>
      </c>
      <c r="X44" s="52">
        <f>+'1'!X44+'3'!X44+'2'!X44+'6'!X44+'5'!X44+'4'!X44+'8'!X44+'7'!X44+'10'!X44+'9'!X44+'11'!X44+'12'!X44+'13'!X44+'15'!X44+'14'!X44+'16'!X44+'17'!X44+'19'!X44+'20'!X44+'22'!X44+'18'!X44+'21'!X44+'25'!X44+'23'!X44+'26'!X44+'24'!X44+'28'!X44+'27'!X44+'29'!X44+'31'!X44+'30'!X44</f>
        <v>0</v>
      </c>
      <c r="Y44" s="52">
        <f>+'1'!Y44+'3'!Y44+'2'!Y44+'6'!Y44+'5'!Y44+'4'!Y44+'8'!Y44+'7'!Y44+'10'!Y44+'9'!Y44+'11'!Y44+'12'!Y44+'13'!Y44+'15'!Y44+'14'!Y44+'16'!Y44+'17'!Y44+'19'!Y44+'20'!Y44+'22'!Y44+'18'!Y44+'21'!Y44+'25'!Y44+'23'!Y44+'26'!Y44+'24'!Y44+'28'!Y44+'27'!Y44+'29'!Y44+'31'!Y44+'30'!Y44</f>
        <v>0</v>
      </c>
      <c r="Z44" s="52">
        <f>+'1'!Z44+'3'!Z44+'2'!Z44+'6'!Z44+'5'!Z44+'4'!Z44+'8'!Z44+'7'!Z44+'10'!Z44+'9'!Z44+'11'!Z44+'12'!Z44+'13'!Z44+'15'!Z44+'14'!Z44+'16'!Z44+'17'!Z44+'19'!Z44+'20'!Z44+'22'!Z44+'18'!Z44+'21'!Z44+'25'!Z44+'23'!Z44+'26'!Z44+'24'!Z44+'28'!Z44+'27'!Z44+'29'!Z44+'31'!Z44+'30'!Z44</f>
        <v>0</v>
      </c>
      <c r="AA44" s="52">
        <f>+'1'!AA44+'3'!AA44+'2'!AA44+'6'!AA44+'5'!AA44+'4'!AA44+'8'!AA44+'7'!AA44+'10'!AA44+'9'!AA44+'11'!AA44+'12'!AA44+'13'!AA44+'15'!AA44+'14'!AA44+'16'!AA44+'17'!AA44+'19'!AA44+'20'!AA44+'22'!AA44+'18'!AA44+'21'!AA44+'25'!AA44+'23'!AA44+'26'!AA44+'24'!AA44+'28'!AA44+'27'!AA44+'29'!AA44+'31'!AA44+'30'!AA44</f>
        <v>0</v>
      </c>
      <c r="AB44" s="52">
        <f>+'1'!AB44+'3'!AB44+'2'!AB44+'6'!AB44+'5'!AB44+'4'!AB44+'8'!AB44+'7'!AB44+'10'!AB44+'9'!AB44+'11'!AB44+'12'!AB44+'13'!AB44+'15'!AB44+'14'!AB44+'16'!AB44+'17'!AB44+'19'!AB44+'20'!AB44+'22'!AB44+'18'!AB44+'21'!AB44+'25'!AB44+'23'!AB44+'26'!AB44+'24'!AB44+'28'!AB44+'27'!AB44+'29'!AB44+'31'!AB44+'30'!AB44</f>
        <v>0</v>
      </c>
      <c r="AC44" s="52">
        <f>+'1'!AC44+'3'!AC44+'2'!AC44+'6'!AC44+'5'!AC44+'4'!AC44+'8'!AC44+'7'!AC44+'10'!AC44+'9'!AC44+'11'!AC44+'12'!AC44+'13'!AC44+'15'!AC44+'14'!AC44+'16'!AC44+'17'!AC44+'19'!AC44+'20'!AC44+'22'!AC44+'18'!AC44+'21'!AC44+'25'!AC44+'23'!AC44+'26'!AC44+'24'!AC44+'28'!AC44+'27'!AC44+'29'!AC44+'31'!AC44+'30'!AC44</f>
        <v>0</v>
      </c>
      <c r="AD44" s="52">
        <f>+'1'!AD44+'3'!AD44+'2'!AD44+'6'!AD44+'5'!AD44+'4'!AD44+'8'!AD44+'7'!AD44+'10'!AD44+'9'!AD44+'11'!AD44+'12'!AD44+'13'!AD44+'15'!AD44+'14'!AD44+'16'!AD44+'17'!AD44+'19'!AD44+'20'!AD44+'22'!AD44+'18'!AD44+'21'!AD44+'25'!AD44+'23'!AD44+'26'!AD44+'24'!AD44+'28'!AD44+'27'!AD44+'29'!AD44+'31'!AD44+'30'!AD44</f>
        <v>0</v>
      </c>
      <c r="AE44" s="52">
        <f>+'1'!AE44+'3'!AE44+'2'!AE44+'6'!AE44+'5'!AE44+'4'!AE44+'8'!AE44+'7'!AE44+'10'!AE44+'9'!AE44+'11'!AE44+'12'!AE44+'13'!AE44+'15'!AE44+'14'!AE44+'16'!AE44+'17'!AE44+'19'!AE44+'20'!AE44+'22'!AE44+'18'!AE44+'21'!AE44+'25'!AE44+'23'!AE44+'26'!AE44+'24'!AE44+'28'!AE44+'27'!AE44+'29'!AE44+'31'!AE44+'30'!AE44</f>
        <v>0</v>
      </c>
      <c r="AF44" s="52">
        <f>+'1'!AF44+'3'!AF44+'2'!AF44+'6'!AF44+'5'!AF44+'4'!AF44+'8'!AF44+'7'!AF44+'10'!AF44+'9'!AF44+'11'!AF44+'12'!AF44+'13'!AF44+'15'!AF44+'14'!AF44+'16'!AF44+'17'!AF44+'19'!AF44+'20'!AF44+'22'!AF44+'18'!AF44+'21'!AF44+'25'!AF44+'23'!AF44+'26'!AF44+'24'!AF44+'28'!AF44+'27'!AF44+'29'!AF44+'31'!AF44+'30'!AF44</f>
        <v>0</v>
      </c>
      <c r="AG44" s="52">
        <f>+'1'!AG44+'3'!AG44+'2'!AG44+'6'!AG44+'5'!AG44+'4'!AG44+'8'!AG44+'7'!AG44+'10'!AG44+'9'!AG44+'11'!AG44+'12'!AG44+'13'!AG44+'15'!AG44+'14'!AG44+'16'!AG44+'17'!AG44+'19'!AG44+'20'!AG44+'22'!AG44+'18'!AG44+'21'!AG44+'25'!AG44+'23'!AG44+'26'!AG44+'24'!AG44+'28'!AG44+'27'!AG44+'29'!AG44+'31'!AG44+'30'!AG44</f>
        <v>0</v>
      </c>
      <c r="AH44" s="52">
        <f>+'1'!AH44+'3'!AH44+'2'!AH44+'6'!AH44+'5'!AH44+'4'!AH44+'8'!AH44+'7'!AH44+'10'!AH44+'9'!AH44+'11'!AH44+'12'!AH44+'13'!AH44+'15'!AH44+'14'!AH44+'16'!AH44+'17'!AH44+'19'!AH44+'20'!AH44+'22'!AH44+'18'!AH44+'21'!AH44+'25'!AH44+'23'!AH44+'26'!AH44+'24'!AH44+'28'!AH44+'27'!AH44+'29'!AH44+'31'!AH44+'30'!AH44</f>
        <v>0</v>
      </c>
      <c r="AI44" s="55">
        <f>+'1'!AI44+'3'!AI44+'2'!AI44+'6'!AI44+'5'!AI44+'4'!AI44+'8'!AI44+'7'!AI44+'10'!AI44+'9'!AI44+'11'!AI44+'12'!AI44+'13'!AI44+'15'!AI44+'14'!AI44+'16'!AI44+'17'!AI44+'19'!AI44+'20'!AI44+'22'!AI44+'18'!AI44+'21'!AI44+'25'!AI44+'23'!AI44+'26'!AI44+'24'!AI44+'28'!AI44+'27'!AI44+'29'!AI44+'31'!AI44+'30'!AI44</f>
        <v>0</v>
      </c>
      <c r="AJ44" s="58">
        <f>+'1'!AJ44+'3'!AJ44+'2'!AJ44+'6'!AJ44+'5'!AJ44+'4'!AJ44+'8'!AJ44+'7'!AJ44+'10'!AJ44+'9'!AJ44+'11'!AJ44+'12'!AJ44+'13'!AJ44+'15'!AJ44+'14'!AJ44+'16'!AJ44+'17'!AJ44+'19'!AJ44+'20'!AJ44+'22'!AJ44+'18'!AJ44+'21'!AJ44+'25'!AJ44+'23'!AJ44+'26'!AJ44+'24'!AJ44+'28'!AJ44+'27'!AJ44+'29'!AJ44+'31'!AJ44+'30'!AJ44</f>
        <v>0</v>
      </c>
      <c r="AK44" s="55">
        <f>+'1'!AK44+'3'!AK44+'2'!AK44+'6'!AK44+'5'!AK44+'4'!AK44+'8'!AK44+'7'!AK44+'10'!AK44+'9'!AK44+'11'!AK44+'12'!AK44+'13'!AK44+'15'!AK44+'14'!AK44+'16'!AK44+'17'!AK44+'19'!AK44+'20'!AK44+'22'!AK44+'18'!AK44+'21'!AK44+'25'!AK44+'23'!AK44+'26'!AK44+'24'!AK44+'28'!AK44+'27'!AK44+'29'!AK44+'31'!AK44+'30'!AK44</f>
        <v>0</v>
      </c>
      <c r="AL44" s="66">
        <f t="shared" si="6"/>
        <v>0</v>
      </c>
      <c r="AM44" s="28" t="str">
        <f t="shared" si="7"/>
        <v>OK</v>
      </c>
    </row>
    <row r="45" spans="1:39" customFormat="1">
      <c r="A45" s="17" t="s">
        <v>107</v>
      </c>
      <c r="B45" s="77">
        <v>13467</v>
      </c>
      <c r="C45" s="17" t="s">
        <v>87</v>
      </c>
      <c r="D45" s="69"/>
      <c r="E45" s="18"/>
      <c r="F45" s="18"/>
      <c r="G45" s="19"/>
      <c r="H45" s="20">
        <f>+'1'!H45+'3'!H45+'2'!H45+'6'!H45+'5'!H45+'4'!H45+'8'!H45+'7'!H45+'10'!H45+'9'!H45+'11'!H45+'12'!H45+'13'!H45+'15'!H45+'14'!H45+'16'!H45+'17'!H45+'19'!H45+'20'!H45+'22'!H45+'18'!H45+'21'!H45+'25'!H45+'23'!H45+'26'!H45+'24'!H45+'28'!H45+'27'!H45+'29'!H45+'31'!H45+'30'!H45</f>
        <v>12657</v>
      </c>
      <c r="I45" s="21">
        <f>+'1'!I45+'3'!I45+'2'!I45+'6'!I45+'5'!I45+'4'!I45+'8'!I45+'7'!I45+'10'!I45+'9'!I45+'11'!I45+'12'!I45+'13'!I45+'15'!I45+'14'!I45+'16'!I45+'17'!I45+'19'!I45+'20'!I45+'22'!I45+'18'!I45+'21'!I45+'25'!I45+'23'!I45+'26'!I45+'24'!I45+'28'!I45+'27'!I45+'29'!I45+'31'!I45+'30'!I45</f>
        <v>7</v>
      </c>
      <c r="J45" s="21"/>
      <c r="K45" s="16"/>
      <c r="L45" s="21">
        <f>+'1'!L45+'3'!L45+'2'!L45+'6'!L45+'5'!L45+'4'!L45+'8'!L45+'7'!L45+'10'!L45+'9'!L45+'11'!L45+'12'!L45+'13'!L45+'15'!L45+'14'!L45+'16'!L45+'17'!L45+'19'!L45+'20'!L45+'22'!L45+'18'!L45+'21'!L45+'25'!L45+'23'!L45+'26'!L45+'24'!L45+'28'!L45+'27'!L45+'29'!L45+'31'!L45+'30'!L45</f>
        <v>0</v>
      </c>
      <c r="M45" s="21">
        <f>+'1'!M45+'3'!M45+'2'!M45+'6'!M45+'5'!M45+'4'!M45+'8'!M45+'7'!M45+'10'!M45+'9'!M45+'11'!M45+'12'!M45+'13'!M45+'15'!M45+'14'!M45+'16'!M45+'17'!M45+'19'!M45+'20'!M45+'22'!M45+'18'!M45+'21'!M45+'25'!M45+'23'!M45+'26'!M45+'24'!M45+'28'!M45+'27'!M45+'29'!M45+'31'!M45+'30'!M45</f>
        <v>0</v>
      </c>
      <c r="N45" s="21">
        <f>+'1'!N45+'3'!N45+'2'!N45+'6'!N45+'5'!N45+'4'!N45+'8'!N45+'7'!N45+'10'!N45+'9'!N45+'11'!N45+'12'!N45+'13'!N45+'15'!N45+'14'!N45+'16'!N45+'17'!N45+'19'!N45+'20'!N45+'22'!N45+'18'!N45+'21'!N45+'25'!N45+'23'!N45+'26'!N45+'24'!N45+'28'!N45+'27'!N45+'29'!N45+'31'!N45+'30'!N45</f>
        <v>0</v>
      </c>
      <c r="O45" s="21">
        <f>+'1'!O45+'3'!O45+'2'!O45+'6'!O45+'5'!O45+'4'!O45+'8'!O45+'7'!O45+'10'!O45+'9'!O45+'11'!O45+'12'!O45+'13'!O45+'15'!O45+'14'!O45+'16'!O45+'17'!O45+'19'!O45+'20'!O45+'22'!O45+'18'!O45+'21'!O45+'25'!O45+'23'!O45+'26'!O45+'24'!O45+'28'!O45+'27'!O45+'29'!O45+'31'!O45+'30'!O45</f>
        <v>0</v>
      </c>
      <c r="P45" s="21">
        <f>+'1'!P45+'3'!P45+'2'!P45+'6'!P45+'5'!P45+'4'!P45+'8'!P45+'7'!P45+'10'!P45+'9'!P45+'11'!P45+'12'!P45+'13'!P45+'15'!P45+'14'!P45+'16'!P45+'17'!P45+'19'!P45+'20'!P45+'22'!P45+'18'!P45+'21'!P45+'25'!P45+'23'!P45+'26'!P45+'24'!P45+'28'!P45+'27'!P45+'29'!P45+'31'!P45+'30'!P45</f>
        <v>0</v>
      </c>
      <c r="Q45" s="21">
        <f>+'1'!Q45+'3'!Q45+'2'!Q45+'6'!Q45+'5'!Q45+'4'!Q45+'8'!Q45+'7'!Q45+'10'!Q45+'9'!Q45+'11'!Q45+'12'!Q45+'13'!Q45+'15'!Q45+'14'!Q45+'16'!Q45+'17'!Q45+'19'!Q45+'20'!Q45+'22'!Q45+'18'!Q45+'21'!Q45+'25'!Q45+'23'!Q45+'26'!Q45+'24'!Q45+'28'!Q45+'27'!Q45+'29'!Q45+'31'!Q45+'30'!Q45</f>
        <v>0</v>
      </c>
      <c r="R45" s="21">
        <f>+'1'!R45+'3'!R45+'2'!R45+'6'!R45+'5'!R45+'4'!R45+'8'!R45+'7'!R45+'10'!R45+'9'!R45+'11'!R45+'12'!R45+'13'!R45+'15'!R45+'14'!R45+'16'!R45+'17'!R45+'19'!R45+'20'!R45+'22'!R45+'18'!R45+'21'!R45+'25'!R45+'23'!R45+'26'!R45+'24'!R45+'28'!R45+'27'!R45+'29'!R45+'31'!R45+'30'!R45</f>
        <v>0</v>
      </c>
      <c r="S45" s="21">
        <f>+'1'!S45+'3'!S45+'2'!S45+'6'!S45+'5'!S45+'4'!S45+'8'!S45+'7'!S45+'10'!S45+'9'!S45+'11'!S45+'12'!S45+'13'!S45+'15'!S45+'14'!S45+'16'!S45+'17'!S45+'19'!S45+'20'!S45+'22'!S45+'18'!S45+'21'!S45+'25'!S45+'23'!S45+'26'!S45+'24'!S45+'28'!S45+'27'!S45+'29'!S45+'31'!S45+'30'!S45</f>
        <v>0</v>
      </c>
      <c r="T45" s="42">
        <f>+'1'!T45+'3'!T45+'2'!T45+'6'!T45+'5'!T45+'4'!T45+'8'!T45+'7'!T45+'10'!T45+'9'!T45+'11'!T45+'12'!T45+'13'!T45+'15'!T45+'14'!T45+'16'!T45+'17'!T45+'19'!T45+'20'!T45+'22'!T45+'18'!T45+'21'!T45+'25'!T45+'23'!T45+'26'!T45+'24'!T45+'28'!T45+'27'!T45+'29'!T45+'31'!T45+'30'!T45</f>
        <v>0</v>
      </c>
      <c r="U45" s="51">
        <f>+'1'!U45+'3'!U45+'2'!U45+'6'!U45+'5'!U45+'4'!U45+'8'!U45+'7'!U45+'10'!U45+'9'!U45+'11'!U45+'12'!U45+'13'!U45+'15'!U45+'14'!U45+'16'!U45+'17'!U45+'19'!U45+'20'!U45+'22'!U45+'18'!U45+'21'!U45+'25'!U45+'23'!U45+'26'!U45+'24'!U45+'28'!U45+'27'!U45+'29'!U45+'31'!U45+'30'!U45</f>
        <v>0</v>
      </c>
      <c r="V45" s="51">
        <f>+'1'!V45+'3'!V45+'2'!V45+'6'!V45+'5'!V45+'4'!V45+'8'!V45+'7'!V45+'10'!V45+'9'!V45+'11'!V45+'12'!V45+'13'!V45+'15'!V45+'14'!V45+'16'!V45+'17'!V45+'19'!V45+'20'!V45+'22'!V45+'18'!V45+'21'!V45+'25'!V45+'23'!V45+'26'!V45+'24'!V45+'28'!V45+'27'!V45+'29'!V45+'31'!V45+'30'!V45</f>
        <v>0</v>
      </c>
      <c r="W45" s="51">
        <f>+'1'!W45+'3'!W45+'2'!W45+'6'!W45+'5'!W45+'4'!W45+'8'!W45+'7'!W45+'10'!W45+'9'!W45+'11'!W45+'12'!W45+'13'!W45+'15'!W45+'14'!W45+'16'!W45+'17'!W45+'19'!W45+'20'!W45+'22'!W45+'18'!W45+'21'!W45+'25'!W45+'23'!W45+'26'!W45+'24'!W45+'28'!W45+'27'!W45+'29'!W45+'31'!W45+'30'!W45</f>
        <v>0</v>
      </c>
      <c r="X45" s="51">
        <f>+'1'!X45+'3'!X45+'2'!X45+'6'!X45+'5'!X45+'4'!X45+'8'!X45+'7'!X45+'10'!X45+'9'!X45+'11'!X45+'12'!X45+'13'!X45+'15'!X45+'14'!X45+'16'!X45+'17'!X45+'19'!X45+'20'!X45+'22'!X45+'18'!X45+'21'!X45+'25'!X45+'23'!X45+'26'!X45+'24'!X45+'28'!X45+'27'!X45+'29'!X45+'31'!X45+'30'!X45</f>
        <v>0</v>
      </c>
      <c r="Y45" s="51">
        <f>+'1'!Y45+'3'!Y45+'2'!Y45+'6'!Y45+'5'!Y45+'4'!Y45+'8'!Y45+'7'!Y45+'10'!Y45+'9'!Y45+'11'!Y45+'12'!Y45+'13'!Y45+'15'!Y45+'14'!Y45+'16'!Y45+'17'!Y45+'19'!Y45+'20'!Y45+'22'!Y45+'18'!Y45+'21'!Y45+'25'!Y45+'23'!Y45+'26'!Y45+'24'!Y45+'28'!Y45+'27'!Y45+'29'!Y45+'31'!Y45+'30'!Y45</f>
        <v>0</v>
      </c>
      <c r="Z45" s="51">
        <f>+'1'!Z45+'3'!Z45+'2'!Z45+'6'!Z45+'5'!Z45+'4'!Z45+'8'!Z45+'7'!Z45+'10'!Z45+'9'!Z45+'11'!Z45+'12'!Z45+'13'!Z45+'15'!Z45+'14'!Z45+'16'!Z45+'17'!Z45+'19'!Z45+'20'!Z45+'22'!Z45+'18'!Z45+'21'!Z45+'25'!Z45+'23'!Z45+'26'!Z45+'24'!Z45+'28'!Z45+'27'!Z45+'29'!Z45+'31'!Z45+'30'!Z45</f>
        <v>0</v>
      </c>
      <c r="AA45" s="51">
        <f>+'1'!AA45+'3'!AA45+'2'!AA45+'6'!AA45+'5'!AA45+'4'!AA45+'8'!AA45+'7'!AA45+'10'!AA45+'9'!AA45+'11'!AA45+'12'!AA45+'13'!AA45+'15'!AA45+'14'!AA45+'16'!AA45+'17'!AA45+'19'!AA45+'20'!AA45+'22'!AA45+'18'!AA45+'21'!AA45+'25'!AA45+'23'!AA45+'26'!AA45+'24'!AA45+'28'!AA45+'27'!AA45+'29'!AA45+'31'!AA45+'30'!AA45</f>
        <v>0</v>
      </c>
      <c r="AB45" s="51">
        <f>+'1'!AB45+'3'!AB45+'2'!AB45+'6'!AB45+'5'!AB45+'4'!AB45+'8'!AB45+'7'!AB45+'10'!AB45+'9'!AB45+'11'!AB45+'12'!AB45+'13'!AB45+'15'!AB45+'14'!AB45+'16'!AB45+'17'!AB45+'19'!AB45+'20'!AB45+'22'!AB45+'18'!AB45+'21'!AB45+'25'!AB45+'23'!AB45+'26'!AB45+'24'!AB45+'28'!AB45+'27'!AB45+'29'!AB45+'31'!AB45+'30'!AB45</f>
        <v>0</v>
      </c>
      <c r="AC45" s="51">
        <f>+'1'!AC45+'3'!AC45+'2'!AC45+'6'!AC45+'5'!AC45+'4'!AC45+'8'!AC45+'7'!AC45+'10'!AC45+'9'!AC45+'11'!AC45+'12'!AC45+'13'!AC45+'15'!AC45+'14'!AC45+'16'!AC45+'17'!AC45+'19'!AC45+'20'!AC45+'22'!AC45+'18'!AC45+'21'!AC45+'25'!AC45+'23'!AC45+'26'!AC45+'24'!AC45+'28'!AC45+'27'!AC45+'29'!AC45+'31'!AC45+'30'!AC45</f>
        <v>0</v>
      </c>
      <c r="AD45" s="51">
        <f>+'1'!AD45+'3'!AD45+'2'!AD45+'6'!AD45+'5'!AD45+'4'!AD45+'8'!AD45+'7'!AD45+'10'!AD45+'9'!AD45+'11'!AD45+'12'!AD45+'13'!AD45+'15'!AD45+'14'!AD45+'16'!AD45+'17'!AD45+'19'!AD45+'20'!AD45+'22'!AD45+'18'!AD45+'21'!AD45+'25'!AD45+'23'!AD45+'26'!AD45+'24'!AD45+'28'!AD45+'27'!AD45+'29'!AD45+'31'!AD45+'30'!AD45</f>
        <v>0</v>
      </c>
      <c r="AE45" s="51">
        <f>+'1'!AE45+'3'!AE45+'2'!AE45+'6'!AE45+'5'!AE45+'4'!AE45+'8'!AE45+'7'!AE45+'10'!AE45+'9'!AE45+'11'!AE45+'12'!AE45+'13'!AE45+'15'!AE45+'14'!AE45+'16'!AE45+'17'!AE45+'19'!AE45+'20'!AE45+'22'!AE45+'18'!AE45+'21'!AE45+'25'!AE45+'23'!AE45+'26'!AE45+'24'!AE45+'28'!AE45+'27'!AE45+'29'!AE45+'31'!AE45+'30'!AE45</f>
        <v>0</v>
      </c>
      <c r="AF45" s="51">
        <f>+'1'!AF45+'3'!AF45+'2'!AF45+'6'!AF45+'5'!AF45+'4'!AF45+'8'!AF45+'7'!AF45+'10'!AF45+'9'!AF45+'11'!AF45+'12'!AF45+'13'!AF45+'15'!AF45+'14'!AF45+'16'!AF45+'17'!AF45+'19'!AF45+'20'!AF45+'22'!AF45+'18'!AF45+'21'!AF45+'25'!AF45+'23'!AF45+'26'!AF45+'24'!AF45+'28'!AF45+'27'!AF45+'29'!AF45+'31'!AF45+'30'!AF45</f>
        <v>0</v>
      </c>
      <c r="AG45" s="51">
        <f>+'1'!AG45+'3'!AG45+'2'!AG45+'6'!AG45+'5'!AG45+'4'!AG45+'8'!AG45+'7'!AG45+'10'!AG45+'9'!AG45+'11'!AG45+'12'!AG45+'13'!AG45+'15'!AG45+'14'!AG45+'16'!AG45+'17'!AG45+'19'!AG45+'20'!AG45+'22'!AG45+'18'!AG45+'21'!AG45+'25'!AG45+'23'!AG45+'26'!AG45+'24'!AG45+'28'!AG45+'27'!AG45+'29'!AG45+'31'!AG45+'30'!AG45</f>
        <v>0</v>
      </c>
      <c r="AH45" s="51">
        <f>+'1'!AH45+'3'!AH45+'2'!AH45+'6'!AH45+'5'!AH45+'4'!AH45+'8'!AH45+'7'!AH45+'10'!AH45+'9'!AH45+'11'!AH45+'12'!AH45+'13'!AH45+'15'!AH45+'14'!AH45+'16'!AH45+'17'!AH45+'19'!AH45+'20'!AH45+'22'!AH45+'18'!AH45+'21'!AH45+'25'!AH45+'23'!AH45+'26'!AH45+'24'!AH45+'28'!AH45+'27'!AH45+'29'!AH45+'31'!AH45+'30'!AH45</f>
        <v>0</v>
      </c>
      <c r="AI45" s="54">
        <f>+'1'!AI45+'3'!AI45+'2'!AI45+'6'!AI45+'5'!AI45+'4'!AI45+'8'!AI45+'7'!AI45+'10'!AI45+'9'!AI45+'11'!AI45+'12'!AI45+'13'!AI45+'15'!AI45+'14'!AI45+'16'!AI45+'17'!AI45+'19'!AI45+'20'!AI45+'22'!AI45+'18'!AI45+'21'!AI45+'25'!AI45+'23'!AI45+'26'!AI45+'24'!AI45+'28'!AI45+'27'!AI45+'29'!AI45+'31'!AI45+'30'!AI45</f>
        <v>7</v>
      </c>
      <c r="AJ45" s="57">
        <f>+'1'!AJ45+'3'!AJ45+'2'!AJ45+'6'!AJ45+'5'!AJ45+'4'!AJ45+'8'!AJ45+'7'!AJ45+'10'!AJ45+'9'!AJ45+'11'!AJ45+'12'!AJ45+'13'!AJ45+'15'!AJ45+'14'!AJ45+'16'!AJ45+'17'!AJ45+'19'!AJ45+'20'!AJ45+'22'!AJ45+'18'!AJ45+'21'!AJ45+'25'!AJ45+'23'!AJ45+'26'!AJ45+'24'!AJ45+'28'!AJ45+'27'!AJ45+'29'!AJ45+'31'!AJ45+'30'!AJ45</f>
        <v>0</v>
      </c>
      <c r="AK45" s="54">
        <f>+'1'!AK45+'3'!AK45+'2'!AK45+'6'!AK45+'5'!AK45+'4'!AK45+'8'!AK45+'7'!AK45+'10'!AK45+'9'!AK45+'11'!AK45+'12'!AK45+'13'!AK45+'15'!AK45+'14'!AK45+'16'!AK45+'17'!AK45+'19'!AK45+'20'!AK45+'22'!AK45+'18'!AK45+'21'!AK45+'25'!AK45+'23'!AK45+'26'!AK45+'24'!AK45+'28'!AK45+'27'!AK45+'29'!AK45+'31'!AK45+'30'!AK45</f>
        <v>0</v>
      </c>
      <c r="AL45" s="65">
        <f t="shared" si="6"/>
        <v>7</v>
      </c>
      <c r="AM45" s="22" t="str">
        <f t="shared" si="7"/>
        <v>OK</v>
      </c>
    </row>
    <row r="46" spans="1:39" customFormat="1" hidden="1">
      <c r="A46" s="68" t="s">
        <v>111</v>
      </c>
      <c r="B46" s="78">
        <v>15948</v>
      </c>
      <c r="C46" s="23" t="s">
        <v>87</v>
      </c>
      <c r="D46" s="24"/>
      <c r="E46" s="24"/>
      <c r="F46" s="24"/>
      <c r="G46" s="25"/>
      <c r="H46" s="26">
        <f>+'1'!H46+'3'!H46+'2'!H46+'6'!H46+'5'!H46+'4'!H46+'8'!H46+'7'!H46+'10'!H46+'9'!H46+'11'!H46+'12'!H46+'13'!H46+'15'!H46+'14'!H46+'16'!H46+'17'!H46+'19'!H46+'20'!H46+'22'!H46+'18'!H46+'21'!H46+'25'!H46+'23'!H46+'26'!H46+'24'!H46+'28'!H46+'27'!H46+'29'!H46+'31'!H46+'30'!H46</f>
        <v>1223</v>
      </c>
      <c r="I46" s="27">
        <f>+'1'!I46+'3'!I46+'2'!I46+'6'!I46+'5'!I46+'4'!I46+'8'!I46+'7'!I46+'10'!I46+'9'!I46+'11'!I46+'12'!I46+'13'!I46+'15'!I46+'14'!I46+'16'!I46+'17'!I46+'19'!I46+'20'!I46+'22'!I46+'18'!I46+'21'!I46+'25'!I46+'23'!I46+'26'!I46+'24'!I46+'28'!I46+'27'!I46+'29'!I46+'31'!I46+'30'!I46</f>
        <v>2</v>
      </c>
      <c r="J46" s="27"/>
      <c r="K46" s="16"/>
      <c r="L46" s="27">
        <f>+'1'!L46+'3'!L46+'2'!L46+'6'!L46+'5'!L46+'4'!L46+'8'!L46+'7'!L46+'10'!L46+'9'!L46+'11'!L46+'12'!L46+'13'!L46+'15'!L46+'14'!L46+'16'!L46+'17'!L46+'19'!L46+'20'!L46+'22'!L46+'18'!L46+'21'!L46+'25'!L46+'23'!L46+'26'!L46+'24'!L46+'28'!L46+'27'!L46+'29'!L46+'31'!L46+'30'!L46</f>
        <v>0</v>
      </c>
      <c r="M46" s="27">
        <f>+'1'!M46+'3'!M46+'2'!M46+'6'!M46+'5'!M46+'4'!M46+'8'!M46+'7'!M46+'10'!M46+'9'!M46+'11'!M46+'12'!M46+'13'!M46+'15'!M46+'14'!M46+'16'!M46+'17'!M46+'19'!M46+'20'!M46+'22'!M46+'18'!M46+'21'!M46+'25'!M46+'23'!M46+'26'!M46+'24'!M46+'28'!M46+'27'!M46+'29'!M46+'31'!M46+'30'!M46</f>
        <v>0</v>
      </c>
      <c r="N46" s="27">
        <f>+'1'!N46+'3'!N46+'2'!N46+'6'!N46+'5'!N46+'4'!N46+'8'!N46+'7'!N46+'10'!N46+'9'!N46+'11'!N46+'12'!N46+'13'!N46+'15'!N46+'14'!N46+'16'!N46+'17'!N46+'19'!N46+'20'!N46+'22'!N46+'18'!N46+'21'!N46+'25'!N46+'23'!N46+'26'!N46+'24'!N46+'28'!N46+'27'!N46+'29'!N46+'31'!N46+'30'!N46</f>
        <v>0</v>
      </c>
      <c r="O46" s="27">
        <f>+'1'!O46+'3'!O46+'2'!O46+'6'!O46+'5'!O46+'4'!O46+'8'!O46+'7'!O46+'10'!O46+'9'!O46+'11'!O46+'12'!O46+'13'!O46+'15'!O46+'14'!O46+'16'!O46+'17'!O46+'19'!O46+'20'!O46+'22'!O46+'18'!O46+'21'!O46+'25'!O46+'23'!O46+'26'!O46+'24'!O46+'28'!O46+'27'!O46+'29'!O46+'31'!O46+'30'!O46</f>
        <v>0</v>
      </c>
      <c r="P46" s="27">
        <f>+'1'!P46+'3'!P46+'2'!P46+'6'!P46+'5'!P46+'4'!P46+'8'!P46+'7'!P46+'10'!P46+'9'!P46+'11'!P46+'12'!P46+'13'!P46+'15'!P46+'14'!P46+'16'!P46+'17'!P46+'19'!P46+'20'!P46+'22'!P46+'18'!P46+'21'!P46+'25'!P46+'23'!P46+'26'!P46+'24'!P46+'28'!P46+'27'!P46+'29'!P46+'31'!P46+'30'!P46</f>
        <v>0</v>
      </c>
      <c r="Q46" s="27">
        <f>+'1'!Q46+'3'!Q46+'2'!Q46+'6'!Q46+'5'!Q46+'4'!Q46+'8'!Q46+'7'!Q46+'10'!Q46+'9'!Q46+'11'!Q46+'12'!Q46+'13'!Q46+'15'!Q46+'14'!Q46+'16'!Q46+'17'!Q46+'19'!Q46+'20'!Q46+'22'!Q46+'18'!Q46+'21'!Q46+'25'!Q46+'23'!Q46+'26'!Q46+'24'!Q46+'28'!Q46+'27'!Q46+'29'!Q46+'31'!Q46+'30'!Q46</f>
        <v>0</v>
      </c>
      <c r="R46" s="27">
        <f>+'1'!R46+'3'!R46+'2'!R46+'6'!R46+'5'!R46+'4'!R46+'8'!R46+'7'!R46+'10'!R46+'9'!R46+'11'!R46+'12'!R46+'13'!R46+'15'!R46+'14'!R46+'16'!R46+'17'!R46+'19'!R46+'20'!R46+'22'!R46+'18'!R46+'21'!R46+'25'!R46+'23'!R46+'26'!R46+'24'!R46+'28'!R46+'27'!R46+'29'!R46+'31'!R46+'30'!R46</f>
        <v>0</v>
      </c>
      <c r="S46" s="27">
        <f>+'1'!S46+'3'!S46+'2'!S46+'6'!S46+'5'!S46+'4'!S46+'8'!S46+'7'!S46+'10'!S46+'9'!S46+'11'!S46+'12'!S46+'13'!S46+'15'!S46+'14'!S46+'16'!S46+'17'!S46+'19'!S46+'20'!S46+'22'!S46+'18'!S46+'21'!S46+'25'!S46+'23'!S46+'26'!S46+'24'!S46+'28'!S46+'27'!S46+'29'!S46+'31'!S46+'30'!S46</f>
        <v>0</v>
      </c>
      <c r="T46" s="43">
        <f>+'1'!T46+'3'!T46+'2'!T46+'6'!T46+'5'!T46+'4'!T46+'8'!T46+'7'!T46+'10'!T46+'9'!T46+'11'!T46+'12'!T46+'13'!T46+'15'!T46+'14'!T46+'16'!T46+'17'!T46+'19'!T46+'20'!T46+'22'!T46+'18'!T46+'21'!T46+'25'!T46+'23'!T46+'26'!T46+'24'!T46+'28'!T46+'27'!T46+'29'!T46+'31'!T46+'30'!T46</f>
        <v>0</v>
      </c>
      <c r="U46" s="52">
        <f>+'1'!U46+'3'!U46+'2'!U46+'6'!U46+'5'!U46+'4'!U46+'8'!U46+'7'!U46+'10'!U46+'9'!U46+'11'!U46+'12'!U46+'13'!U46+'15'!U46+'14'!U46+'16'!U46+'17'!U46+'19'!U46+'20'!U46+'22'!U46+'18'!U46+'21'!U46+'25'!U46+'23'!U46+'26'!U46+'24'!U46+'28'!U46+'27'!U46+'29'!U46+'31'!U46+'30'!U46</f>
        <v>0</v>
      </c>
      <c r="V46" s="52">
        <f>+'1'!V46+'3'!V46+'2'!V46+'6'!V46+'5'!V46+'4'!V46+'8'!V46+'7'!V46+'10'!V46+'9'!V46+'11'!V46+'12'!V46+'13'!V46+'15'!V46+'14'!V46+'16'!V46+'17'!V46+'19'!V46+'20'!V46+'22'!V46+'18'!V46+'21'!V46+'25'!V46+'23'!V46+'26'!V46+'24'!V46+'28'!V46+'27'!V46+'29'!V46+'31'!V46+'30'!V46</f>
        <v>0</v>
      </c>
      <c r="W46" s="52">
        <f>+'1'!W46+'3'!W46+'2'!W46+'6'!W46+'5'!W46+'4'!W46+'8'!W46+'7'!W46+'10'!W46+'9'!W46+'11'!W46+'12'!W46+'13'!W46+'15'!W46+'14'!W46+'16'!W46+'17'!W46+'19'!W46+'20'!W46+'22'!W46+'18'!W46+'21'!W46+'25'!W46+'23'!W46+'26'!W46+'24'!W46+'28'!W46+'27'!W46+'29'!W46+'31'!W46+'30'!W46</f>
        <v>0</v>
      </c>
      <c r="X46" s="52">
        <f>+'1'!X46+'3'!X46+'2'!X46+'6'!X46+'5'!X46+'4'!X46+'8'!X46+'7'!X46+'10'!X46+'9'!X46+'11'!X46+'12'!X46+'13'!X46+'15'!X46+'14'!X46+'16'!X46+'17'!X46+'19'!X46+'20'!X46+'22'!X46+'18'!X46+'21'!X46+'25'!X46+'23'!X46+'26'!X46+'24'!X46+'28'!X46+'27'!X46+'29'!X46+'31'!X46+'30'!X46</f>
        <v>0</v>
      </c>
      <c r="Y46" s="52">
        <f>+'1'!Y46+'3'!Y46+'2'!Y46+'6'!Y46+'5'!Y46+'4'!Y46+'8'!Y46+'7'!Y46+'10'!Y46+'9'!Y46+'11'!Y46+'12'!Y46+'13'!Y46+'15'!Y46+'14'!Y46+'16'!Y46+'17'!Y46+'19'!Y46+'20'!Y46+'22'!Y46+'18'!Y46+'21'!Y46+'25'!Y46+'23'!Y46+'26'!Y46+'24'!Y46+'28'!Y46+'27'!Y46+'29'!Y46+'31'!Y46+'30'!Y46</f>
        <v>0</v>
      </c>
      <c r="Z46" s="52">
        <f>+'1'!Z46+'3'!Z46+'2'!Z46+'6'!Z46+'5'!Z46+'4'!Z46+'8'!Z46+'7'!Z46+'10'!Z46+'9'!Z46+'11'!Z46+'12'!Z46+'13'!Z46+'15'!Z46+'14'!Z46+'16'!Z46+'17'!Z46+'19'!Z46+'20'!Z46+'22'!Z46+'18'!Z46+'21'!Z46+'25'!Z46+'23'!Z46+'26'!Z46+'24'!Z46+'28'!Z46+'27'!Z46+'29'!Z46+'31'!Z46+'30'!Z46</f>
        <v>0</v>
      </c>
      <c r="AA46" s="52">
        <f>+'1'!AA46+'3'!AA46+'2'!AA46+'6'!AA46+'5'!AA46+'4'!AA46+'8'!AA46+'7'!AA46+'10'!AA46+'9'!AA46+'11'!AA46+'12'!AA46+'13'!AA46+'15'!AA46+'14'!AA46+'16'!AA46+'17'!AA46+'19'!AA46+'20'!AA46+'22'!AA46+'18'!AA46+'21'!AA46+'25'!AA46+'23'!AA46+'26'!AA46+'24'!AA46+'28'!AA46+'27'!AA46+'29'!AA46+'31'!AA46+'30'!AA46</f>
        <v>0</v>
      </c>
      <c r="AB46" s="52">
        <f>+'1'!AB46+'3'!AB46+'2'!AB46+'6'!AB46+'5'!AB46+'4'!AB46+'8'!AB46+'7'!AB46+'10'!AB46+'9'!AB46+'11'!AB46+'12'!AB46+'13'!AB46+'15'!AB46+'14'!AB46+'16'!AB46+'17'!AB46+'19'!AB46+'20'!AB46+'22'!AB46+'18'!AB46+'21'!AB46+'25'!AB46+'23'!AB46+'26'!AB46+'24'!AB46+'28'!AB46+'27'!AB46+'29'!AB46+'31'!AB46+'30'!AB46</f>
        <v>0</v>
      </c>
      <c r="AC46" s="52">
        <f>+'1'!AC46+'3'!AC46+'2'!AC46+'6'!AC46+'5'!AC46+'4'!AC46+'8'!AC46+'7'!AC46+'10'!AC46+'9'!AC46+'11'!AC46+'12'!AC46+'13'!AC46+'15'!AC46+'14'!AC46+'16'!AC46+'17'!AC46+'19'!AC46+'20'!AC46+'22'!AC46+'18'!AC46+'21'!AC46+'25'!AC46+'23'!AC46+'26'!AC46+'24'!AC46+'28'!AC46+'27'!AC46+'29'!AC46+'31'!AC46+'30'!AC46</f>
        <v>0</v>
      </c>
      <c r="AD46" s="52">
        <f>+'1'!AD46+'3'!AD46+'2'!AD46+'6'!AD46+'5'!AD46+'4'!AD46+'8'!AD46+'7'!AD46+'10'!AD46+'9'!AD46+'11'!AD46+'12'!AD46+'13'!AD46+'15'!AD46+'14'!AD46+'16'!AD46+'17'!AD46+'19'!AD46+'20'!AD46+'22'!AD46+'18'!AD46+'21'!AD46+'25'!AD46+'23'!AD46+'26'!AD46+'24'!AD46+'28'!AD46+'27'!AD46+'29'!AD46+'31'!AD46+'30'!AD46</f>
        <v>0</v>
      </c>
      <c r="AE46" s="52">
        <f>+'1'!AE46+'3'!AE46+'2'!AE46+'6'!AE46+'5'!AE46+'4'!AE46+'8'!AE46+'7'!AE46+'10'!AE46+'9'!AE46+'11'!AE46+'12'!AE46+'13'!AE46+'15'!AE46+'14'!AE46+'16'!AE46+'17'!AE46+'19'!AE46+'20'!AE46+'22'!AE46+'18'!AE46+'21'!AE46+'25'!AE46+'23'!AE46+'26'!AE46+'24'!AE46+'28'!AE46+'27'!AE46+'29'!AE46+'31'!AE46+'30'!AE46</f>
        <v>0</v>
      </c>
      <c r="AF46" s="52">
        <f>+'1'!AF46+'3'!AF46+'2'!AF46+'6'!AF46+'5'!AF46+'4'!AF46+'8'!AF46+'7'!AF46+'10'!AF46+'9'!AF46+'11'!AF46+'12'!AF46+'13'!AF46+'15'!AF46+'14'!AF46+'16'!AF46+'17'!AF46+'19'!AF46+'20'!AF46+'22'!AF46+'18'!AF46+'21'!AF46+'25'!AF46+'23'!AF46+'26'!AF46+'24'!AF46+'28'!AF46+'27'!AF46+'29'!AF46+'31'!AF46+'30'!AF46</f>
        <v>0</v>
      </c>
      <c r="AG46" s="52">
        <f>+'1'!AG46+'3'!AG46+'2'!AG46+'6'!AG46+'5'!AG46+'4'!AG46+'8'!AG46+'7'!AG46+'10'!AG46+'9'!AG46+'11'!AG46+'12'!AG46+'13'!AG46+'15'!AG46+'14'!AG46+'16'!AG46+'17'!AG46+'19'!AG46+'20'!AG46+'22'!AG46+'18'!AG46+'21'!AG46+'25'!AG46+'23'!AG46+'26'!AG46+'24'!AG46+'28'!AG46+'27'!AG46+'29'!AG46+'31'!AG46+'30'!AG46</f>
        <v>2</v>
      </c>
      <c r="AH46" s="52">
        <f>+'1'!AH46+'3'!AH46+'2'!AH46+'6'!AH46+'5'!AH46+'4'!AH46+'8'!AH46+'7'!AH46+'10'!AH46+'9'!AH46+'11'!AH46+'12'!AH46+'13'!AH46+'15'!AH46+'14'!AH46+'16'!AH46+'17'!AH46+'19'!AH46+'20'!AH46+'22'!AH46+'18'!AH46+'21'!AH46+'25'!AH46+'23'!AH46+'26'!AH46+'24'!AH46+'28'!AH46+'27'!AH46+'29'!AH46+'31'!AH46+'30'!AH46</f>
        <v>0</v>
      </c>
      <c r="AI46" s="55">
        <f>+'1'!AI46+'3'!AI46+'2'!AI46+'6'!AI46+'5'!AI46+'4'!AI46+'8'!AI46+'7'!AI46+'10'!AI46+'9'!AI46+'11'!AI46+'12'!AI46+'13'!AI46+'15'!AI46+'14'!AI46+'16'!AI46+'17'!AI46+'19'!AI46+'20'!AI46+'22'!AI46+'18'!AI46+'21'!AI46+'25'!AI46+'23'!AI46+'26'!AI46+'24'!AI46+'28'!AI46+'27'!AI46+'29'!AI46+'31'!AI46+'30'!AI46</f>
        <v>0</v>
      </c>
      <c r="AJ46" s="58">
        <f>+'1'!AJ46+'3'!AJ46+'2'!AJ46+'6'!AJ46+'5'!AJ46+'4'!AJ46+'8'!AJ46+'7'!AJ46+'10'!AJ46+'9'!AJ46+'11'!AJ46+'12'!AJ46+'13'!AJ46+'15'!AJ46+'14'!AJ46+'16'!AJ46+'17'!AJ46+'19'!AJ46+'20'!AJ46+'22'!AJ46+'18'!AJ46+'21'!AJ46+'25'!AJ46+'23'!AJ46+'26'!AJ46+'24'!AJ46+'28'!AJ46+'27'!AJ46+'29'!AJ46+'31'!AJ46+'30'!AJ46</f>
        <v>0</v>
      </c>
      <c r="AK46" s="55">
        <f>+'1'!AK46+'3'!AK46+'2'!AK46+'6'!AK46+'5'!AK46+'4'!AK46+'8'!AK46+'7'!AK46+'10'!AK46+'9'!AK46+'11'!AK46+'12'!AK46+'13'!AK46+'15'!AK46+'14'!AK46+'16'!AK46+'17'!AK46+'19'!AK46+'20'!AK46+'22'!AK46+'18'!AK46+'21'!AK46+'25'!AK46+'23'!AK46+'26'!AK46+'24'!AK46+'28'!AK46+'27'!AK46+'29'!AK46+'31'!AK46+'30'!AK46</f>
        <v>0</v>
      </c>
      <c r="AL46" s="66">
        <f t="shared" si="6"/>
        <v>2</v>
      </c>
      <c r="AM46" s="28" t="str">
        <f t="shared" si="7"/>
        <v>OK</v>
      </c>
    </row>
    <row r="47" spans="1:39" customFormat="1" hidden="1">
      <c r="A47" s="17" t="s">
        <v>106</v>
      </c>
      <c r="B47" s="77">
        <v>13466</v>
      </c>
      <c r="C47" s="17" t="s">
        <v>87</v>
      </c>
      <c r="D47" s="69"/>
      <c r="E47" s="18"/>
      <c r="F47" s="18"/>
      <c r="G47" s="19"/>
      <c r="H47" s="20">
        <f>+'1'!H47+'3'!H47+'2'!H47+'6'!H47+'5'!H47+'4'!H47+'8'!H47+'7'!H47+'10'!H47+'9'!H47+'11'!H47+'12'!H47+'13'!H47+'15'!H47+'14'!H47+'16'!H47+'17'!H47+'19'!H47+'20'!H47+'22'!H47+'18'!H47+'21'!H47+'25'!H47+'23'!H47+'26'!H47+'24'!H47+'28'!H47+'27'!H47+'29'!H47+'31'!H47+'30'!H47</f>
        <v>0</v>
      </c>
      <c r="I47" s="21">
        <f>+'1'!I47+'3'!I47+'2'!I47+'6'!I47+'5'!I47+'4'!I47+'8'!I47+'7'!I47+'10'!I47+'9'!I47+'11'!I47+'12'!I47+'13'!I47+'15'!I47+'14'!I47+'16'!I47+'17'!I47+'19'!I47+'20'!I47+'22'!I47+'18'!I47+'21'!I47+'25'!I47+'23'!I47+'26'!I47+'24'!I47+'28'!I47+'27'!I47+'29'!I47+'31'!I47+'30'!I47</f>
        <v>0</v>
      </c>
      <c r="J47" s="21"/>
      <c r="K47" s="16"/>
      <c r="L47" s="21">
        <f>+'1'!L47+'3'!L47+'2'!L47+'6'!L47+'5'!L47+'4'!L47+'8'!L47+'7'!L47+'10'!L47+'9'!L47+'11'!L47+'12'!L47+'13'!L47+'15'!L47+'14'!L47+'16'!L47+'17'!L47+'19'!L47+'20'!L47+'22'!L47+'18'!L47+'21'!L47+'25'!L47+'23'!L47+'26'!L47+'24'!L47+'28'!L47+'27'!L47+'29'!L47+'31'!L47+'30'!L47</f>
        <v>0</v>
      </c>
      <c r="M47" s="21">
        <f>+'1'!M47+'3'!M47+'2'!M47+'6'!M47+'5'!M47+'4'!M47+'8'!M47+'7'!M47+'10'!M47+'9'!M47+'11'!M47+'12'!M47+'13'!M47+'15'!M47+'14'!M47+'16'!M47+'17'!M47+'19'!M47+'20'!M47+'22'!M47+'18'!M47+'21'!M47+'25'!M47+'23'!M47+'26'!M47+'24'!M47+'28'!M47+'27'!M47+'29'!M47+'31'!M47+'30'!M47</f>
        <v>0</v>
      </c>
      <c r="N47" s="21">
        <f>+'1'!N47+'3'!N47+'2'!N47+'6'!N47+'5'!N47+'4'!N47+'8'!N47+'7'!N47+'10'!N47+'9'!N47+'11'!N47+'12'!N47+'13'!N47+'15'!N47+'14'!N47+'16'!N47+'17'!N47+'19'!N47+'20'!N47+'22'!N47+'18'!N47+'21'!N47+'25'!N47+'23'!N47+'26'!N47+'24'!N47+'28'!N47+'27'!N47+'29'!N47+'31'!N47+'30'!N47</f>
        <v>0</v>
      </c>
      <c r="O47" s="21">
        <f>+'1'!O47+'3'!O47+'2'!O47+'6'!O47+'5'!O47+'4'!O47+'8'!O47+'7'!O47+'10'!O47+'9'!O47+'11'!O47+'12'!O47+'13'!O47+'15'!O47+'14'!O47+'16'!O47+'17'!O47+'19'!O47+'20'!O47+'22'!O47+'18'!O47+'21'!O47+'25'!O47+'23'!O47+'26'!O47+'24'!O47+'28'!O47+'27'!O47+'29'!O47+'31'!O47+'30'!O47</f>
        <v>0</v>
      </c>
      <c r="P47" s="21">
        <f>+'1'!P47+'3'!P47+'2'!P47+'6'!P47+'5'!P47+'4'!P47+'8'!P47+'7'!P47+'10'!P47+'9'!P47+'11'!P47+'12'!P47+'13'!P47+'15'!P47+'14'!P47+'16'!P47+'17'!P47+'19'!P47+'20'!P47+'22'!P47+'18'!P47+'21'!P47+'25'!P47+'23'!P47+'26'!P47+'24'!P47+'28'!P47+'27'!P47+'29'!P47+'31'!P47+'30'!P47</f>
        <v>0</v>
      </c>
      <c r="Q47" s="21">
        <f>+'1'!Q47+'3'!Q47+'2'!Q47+'6'!Q47+'5'!Q47+'4'!Q47+'8'!Q47+'7'!Q47+'10'!Q47+'9'!Q47+'11'!Q47+'12'!Q47+'13'!Q47+'15'!Q47+'14'!Q47+'16'!Q47+'17'!Q47+'19'!Q47+'20'!Q47+'22'!Q47+'18'!Q47+'21'!Q47+'25'!Q47+'23'!Q47+'26'!Q47+'24'!Q47+'28'!Q47+'27'!Q47+'29'!Q47+'31'!Q47+'30'!Q47</f>
        <v>0</v>
      </c>
      <c r="R47" s="21">
        <f>+'1'!R47+'3'!R47+'2'!R47+'6'!R47+'5'!R47+'4'!R47+'8'!R47+'7'!R47+'10'!R47+'9'!R47+'11'!R47+'12'!R47+'13'!R47+'15'!R47+'14'!R47+'16'!R47+'17'!R47+'19'!R47+'20'!R47+'22'!R47+'18'!R47+'21'!R47+'25'!R47+'23'!R47+'26'!R47+'24'!R47+'28'!R47+'27'!R47+'29'!R47+'31'!R47+'30'!R47</f>
        <v>0</v>
      </c>
      <c r="S47" s="21">
        <f>+'1'!S47+'3'!S47+'2'!S47+'6'!S47+'5'!S47+'4'!S47+'8'!S47+'7'!S47+'10'!S47+'9'!S47+'11'!S47+'12'!S47+'13'!S47+'15'!S47+'14'!S47+'16'!S47+'17'!S47+'19'!S47+'20'!S47+'22'!S47+'18'!S47+'21'!S47+'25'!S47+'23'!S47+'26'!S47+'24'!S47+'28'!S47+'27'!S47+'29'!S47+'31'!S47+'30'!S47</f>
        <v>0</v>
      </c>
      <c r="T47" s="42">
        <f>+'1'!T47+'3'!T47+'2'!T47+'6'!T47+'5'!T47+'4'!T47+'8'!T47+'7'!T47+'10'!T47+'9'!T47+'11'!T47+'12'!T47+'13'!T47+'15'!T47+'14'!T47+'16'!T47+'17'!T47+'19'!T47+'20'!T47+'22'!T47+'18'!T47+'21'!T47+'25'!T47+'23'!T47+'26'!T47+'24'!T47+'28'!T47+'27'!T47+'29'!T47+'31'!T47+'30'!T47</f>
        <v>0</v>
      </c>
      <c r="U47" s="51">
        <f>+'1'!U47+'3'!U47+'2'!U47+'6'!U47+'5'!U47+'4'!U47+'8'!U47+'7'!U47+'10'!U47+'9'!U47+'11'!U47+'12'!U47+'13'!U47+'15'!U47+'14'!U47+'16'!U47+'17'!U47+'19'!U47+'20'!U47+'22'!U47+'18'!U47+'21'!U47+'25'!U47+'23'!U47+'26'!U47+'24'!U47+'28'!U47+'27'!U47+'29'!U47+'31'!U47+'30'!U47</f>
        <v>0</v>
      </c>
      <c r="V47" s="51">
        <f>+'1'!V47+'3'!V47+'2'!V47+'6'!V47+'5'!V47+'4'!V47+'8'!V47+'7'!V47+'10'!V47+'9'!V47+'11'!V47+'12'!V47+'13'!V47+'15'!V47+'14'!V47+'16'!V47+'17'!V47+'19'!V47+'20'!V47+'22'!V47+'18'!V47+'21'!V47+'25'!V47+'23'!V47+'26'!V47+'24'!V47+'28'!V47+'27'!V47+'29'!V47+'31'!V47+'30'!V47</f>
        <v>0</v>
      </c>
      <c r="W47" s="51">
        <f>+'1'!W47+'3'!W47+'2'!W47+'6'!W47+'5'!W47+'4'!W47+'8'!W47+'7'!W47+'10'!W47+'9'!W47+'11'!W47+'12'!W47+'13'!W47+'15'!W47+'14'!W47+'16'!W47+'17'!W47+'19'!W47+'20'!W47+'22'!W47+'18'!W47+'21'!W47+'25'!W47+'23'!W47+'26'!W47+'24'!W47+'28'!W47+'27'!W47+'29'!W47+'31'!W47+'30'!W47</f>
        <v>0</v>
      </c>
      <c r="X47" s="51">
        <f>+'1'!X47+'3'!X47+'2'!X47+'6'!X47+'5'!X47+'4'!X47+'8'!X47+'7'!X47+'10'!X47+'9'!X47+'11'!X47+'12'!X47+'13'!X47+'15'!X47+'14'!X47+'16'!X47+'17'!X47+'19'!X47+'20'!X47+'22'!X47+'18'!X47+'21'!X47+'25'!X47+'23'!X47+'26'!X47+'24'!X47+'28'!X47+'27'!X47+'29'!X47+'31'!X47+'30'!X47</f>
        <v>0</v>
      </c>
      <c r="Y47" s="51">
        <f>+'1'!Y47+'3'!Y47+'2'!Y47+'6'!Y47+'5'!Y47+'4'!Y47+'8'!Y47+'7'!Y47+'10'!Y47+'9'!Y47+'11'!Y47+'12'!Y47+'13'!Y47+'15'!Y47+'14'!Y47+'16'!Y47+'17'!Y47+'19'!Y47+'20'!Y47+'22'!Y47+'18'!Y47+'21'!Y47+'25'!Y47+'23'!Y47+'26'!Y47+'24'!Y47+'28'!Y47+'27'!Y47+'29'!Y47+'31'!Y47+'30'!Y47</f>
        <v>0</v>
      </c>
      <c r="Z47" s="51">
        <f>+'1'!Z47+'3'!Z47+'2'!Z47+'6'!Z47+'5'!Z47+'4'!Z47+'8'!Z47+'7'!Z47+'10'!Z47+'9'!Z47+'11'!Z47+'12'!Z47+'13'!Z47+'15'!Z47+'14'!Z47+'16'!Z47+'17'!Z47+'19'!Z47+'20'!Z47+'22'!Z47+'18'!Z47+'21'!Z47+'25'!Z47+'23'!Z47+'26'!Z47+'24'!Z47+'28'!Z47+'27'!Z47+'29'!Z47+'31'!Z47+'30'!Z47</f>
        <v>0</v>
      </c>
      <c r="AA47" s="51">
        <f>+'1'!AA47+'3'!AA47+'2'!AA47+'6'!AA47+'5'!AA47+'4'!AA47+'8'!AA47+'7'!AA47+'10'!AA47+'9'!AA47+'11'!AA47+'12'!AA47+'13'!AA47+'15'!AA47+'14'!AA47+'16'!AA47+'17'!AA47+'19'!AA47+'20'!AA47+'22'!AA47+'18'!AA47+'21'!AA47+'25'!AA47+'23'!AA47+'26'!AA47+'24'!AA47+'28'!AA47+'27'!AA47+'29'!AA47+'31'!AA47+'30'!AA47</f>
        <v>0</v>
      </c>
      <c r="AB47" s="51">
        <f>+'1'!AB47+'3'!AB47+'2'!AB47+'6'!AB47+'5'!AB47+'4'!AB47+'8'!AB47+'7'!AB47+'10'!AB47+'9'!AB47+'11'!AB47+'12'!AB47+'13'!AB47+'15'!AB47+'14'!AB47+'16'!AB47+'17'!AB47+'19'!AB47+'20'!AB47+'22'!AB47+'18'!AB47+'21'!AB47+'25'!AB47+'23'!AB47+'26'!AB47+'24'!AB47+'28'!AB47+'27'!AB47+'29'!AB47+'31'!AB47+'30'!AB47</f>
        <v>0</v>
      </c>
      <c r="AC47" s="51">
        <f>+'1'!AC47+'3'!AC47+'2'!AC47+'6'!AC47+'5'!AC47+'4'!AC47+'8'!AC47+'7'!AC47+'10'!AC47+'9'!AC47+'11'!AC47+'12'!AC47+'13'!AC47+'15'!AC47+'14'!AC47+'16'!AC47+'17'!AC47+'19'!AC47+'20'!AC47+'22'!AC47+'18'!AC47+'21'!AC47+'25'!AC47+'23'!AC47+'26'!AC47+'24'!AC47+'28'!AC47+'27'!AC47+'29'!AC47+'31'!AC47+'30'!AC47</f>
        <v>0</v>
      </c>
      <c r="AD47" s="51">
        <f>+'1'!AD47+'3'!AD47+'2'!AD47+'6'!AD47+'5'!AD47+'4'!AD47+'8'!AD47+'7'!AD47+'10'!AD47+'9'!AD47+'11'!AD47+'12'!AD47+'13'!AD47+'15'!AD47+'14'!AD47+'16'!AD47+'17'!AD47+'19'!AD47+'20'!AD47+'22'!AD47+'18'!AD47+'21'!AD47+'25'!AD47+'23'!AD47+'26'!AD47+'24'!AD47+'28'!AD47+'27'!AD47+'29'!AD47+'31'!AD47+'30'!AD47</f>
        <v>0</v>
      </c>
      <c r="AE47" s="51">
        <f>+'1'!AE47+'3'!AE47+'2'!AE47+'6'!AE47+'5'!AE47+'4'!AE47+'8'!AE47+'7'!AE47+'10'!AE47+'9'!AE47+'11'!AE47+'12'!AE47+'13'!AE47+'15'!AE47+'14'!AE47+'16'!AE47+'17'!AE47+'19'!AE47+'20'!AE47+'22'!AE47+'18'!AE47+'21'!AE47+'25'!AE47+'23'!AE47+'26'!AE47+'24'!AE47+'28'!AE47+'27'!AE47+'29'!AE47+'31'!AE47+'30'!AE47</f>
        <v>0</v>
      </c>
      <c r="AF47" s="51">
        <f>+'1'!AF47+'3'!AF47+'2'!AF47+'6'!AF47+'5'!AF47+'4'!AF47+'8'!AF47+'7'!AF47+'10'!AF47+'9'!AF47+'11'!AF47+'12'!AF47+'13'!AF47+'15'!AF47+'14'!AF47+'16'!AF47+'17'!AF47+'19'!AF47+'20'!AF47+'22'!AF47+'18'!AF47+'21'!AF47+'25'!AF47+'23'!AF47+'26'!AF47+'24'!AF47+'28'!AF47+'27'!AF47+'29'!AF47+'31'!AF47+'30'!AF47</f>
        <v>0</v>
      </c>
      <c r="AG47" s="51">
        <f>+'1'!AG47+'3'!AG47+'2'!AG47+'6'!AG47+'5'!AG47+'4'!AG47+'8'!AG47+'7'!AG47+'10'!AG47+'9'!AG47+'11'!AG47+'12'!AG47+'13'!AG47+'15'!AG47+'14'!AG47+'16'!AG47+'17'!AG47+'19'!AG47+'20'!AG47+'22'!AG47+'18'!AG47+'21'!AG47+'25'!AG47+'23'!AG47+'26'!AG47+'24'!AG47+'28'!AG47+'27'!AG47+'29'!AG47+'31'!AG47+'30'!AG47</f>
        <v>0</v>
      </c>
      <c r="AH47" s="51">
        <f>+'1'!AH47+'3'!AH47+'2'!AH47+'6'!AH47+'5'!AH47+'4'!AH47+'8'!AH47+'7'!AH47+'10'!AH47+'9'!AH47+'11'!AH47+'12'!AH47+'13'!AH47+'15'!AH47+'14'!AH47+'16'!AH47+'17'!AH47+'19'!AH47+'20'!AH47+'22'!AH47+'18'!AH47+'21'!AH47+'25'!AH47+'23'!AH47+'26'!AH47+'24'!AH47+'28'!AH47+'27'!AH47+'29'!AH47+'31'!AH47+'30'!AH47</f>
        <v>0</v>
      </c>
      <c r="AI47" s="54">
        <f>+'1'!AI47+'3'!AI47+'2'!AI47+'6'!AI47+'5'!AI47+'4'!AI47+'8'!AI47+'7'!AI47+'10'!AI47+'9'!AI47+'11'!AI47+'12'!AI47+'13'!AI47+'15'!AI47+'14'!AI47+'16'!AI47+'17'!AI47+'19'!AI47+'20'!AI47+'22'!AI47+'18'!AI47+'21'!AI47+'25'!AI47+'23'!AI47+'26'!AI47+'24'!AI47+'28'!AI47+'27'!AI47+'29'!AI47+'31'!AI47+'30'!AI47</f>
        <v>0</v>
      </c>
      <c r="AJ47" s="57">
        <f>+'1'!AJ47+'3'!AJ47+'2'!AJ47+'6'!AJ47+'5'!AJ47+'4'!AJ47+'8'!AJ47+'7'!AJ47+'10'!AJ47+'9'!AJ47+'11'!AJ47+'12'!AJ47+'13'!AJ47+'15'!AJ47+'14'!AJ47+'16'!AJ47+'17'!AJ47+'19'!AJ47+'20'!AJ47+'22'!AJ47+'18'!AJ47+'21'!AJ47+'25'!AJ47+'23'!AJ47+'26'!AJ47+'24'!AJ47+'28'!AJ47+'27'!AJ47+'29'!AJ47+'31'!AJ47+'30'!AJ47</f>
        <v>0</v>
      </c>
      <c r="AK47" s="54">
        <f>+'1'!AK47+'3'!AK47+'2'!AK47+'6'!AK47+'5'!AK47+'4'!AK47+'8'!AK47+'7'!AK47+'10'!AK47+'9'!AK47+'11'!AK47+'12'!AK47+'13'!AK47+'15'!AK47+'14'!AK47+'16'!AK47+'17'!AK47+'19'!AK47+'20'!AK47+'22'!AK47+'18'!AK47+'21'!AK47+'25'!AK47+'23'!AK47+'26'!AK47+'24'!AK47+'28'!AK47+'27'!AK47+'29'!AK47+'31'!AK47+'30'!AK47</f>
        <v>0</v>
      </c>
      <c r="AL47" s="65">
        <f t="shared" si="6"/>
        <v>0</v>
      </c>
      <c r="AM47" s="22" t="str">
        <f t="shared" si="7"/>
        <v>OK</v>
      </c>
    </row>
    <row r="48" spans="1:39" customFormat="1">
      <c r="A48" s="68" t="s">
        <v>121</v>
      </c>
      <c r="B48" s="78">
        <v>16598</v>
      </c>
      <c r="C48" s="23" t="s">
        <v>87</v>
      </c>
      <c r="D48" s="24"/>
      <c r="E48" s="24"/>
      <c r="F48" s="24"/>
      <c r="G48" s="25"/>
      <c r="H48" s="26">
        <f>+'1'!H48+'3'!H48+'2'!H48+'6'!H48+'5'!H48+'4'!H48+'8'!H48+'7'!H48+'10'!H48+'9'!H48+'11'!H48+'12'!H48+'13'!H48+'15'!H48+'14'!H48+'16'!H48+'17'!H48+'19'!H48+'20'!H48+'22'!H48+'18'!H48+'21'!H48+'25'!H48+'23'!H48+'26'!H48+'24'!H48+'28'!H48+'27'!H48+'29'!H48+'31'!H48+'30'!H48</f>
        <v>17631</v>
      </c>
      <c r="I48" s="27">
        <f>+'1'!I48+'3'!I48+'2'!I48+'6'!I48+'5'!I48+'4'!I48+'8'!I48+'7'!I48+'10'!I48+'9'!I48+'11'!I48+'12'!I48+'13'!I48+'15'!I48+'14'!I48+'16'!I48+'17'!I48+'19'!I48+'20'!I48+'22'!I48+'18'!I48+'21'!I48+'25'!I48+'23'!I48+'26'!I48+'24'!I48+'28'!I48+'27'!I48+'29'!I48+'31'!I48+'30'!I48</f>
        <v>6</v>
      </c>
      <c r="J48" s="27"/>
      <c r="K48" s="16"/>
      <c r="L48" s="27">
        <f>+'1'!L48+'3'!L48+'2'!L48+'6'!L48+'5'!L48+'4'!L48+'8'!L48+'7'!L48+'10'!L48+'9'!L48+'11'!L48+'12'!L48+'13'!L48+'15'!L48+'14'!L48+'16'!L48+'17'!L48+'19'!L48+'20'!L48+'22'!L48+'18'!L48+'21'!L48+'25'!L48+'23'!L48+'26'!L48+'24'!L48+'28'!L48+'27'!L48+'29'!L48+'31'!L48+'30'!L48</f>
        <v>0</v>
      </c>
      <c r="M48" s="27">
        <f>+'1'!M48+'3'!M48+'2'!M48+'6'!M48+'5'!M48+'4'!M48+'8'!M48+'7'!M48+'10'!M48+'9'!M48+'11'!M48+'12'!M48+'13'!M48+'15'!M48+'14'!M48+'16'!M48+'17'!M48+'19'!M48+'20'!M48+'22'!M48+'18'!M48+'21'!M48+'25'!M48+'23'!M48+'26'!M48+'24'!M48+'28'!M48+'27'!M48+'29'!M48+'31'!M48+'30'!M48</f>
        <v>0</v>
      </c>
      <c r="N48" s="27">
        <f>+'1'!N48+'3'!N48+'2'!N48+'6'!N48+'5'!N48+'4'!N48+'8'!N48+'7'!N48+'10'!N48+'9'!N48+'11'!N48+'12'!N48+'13'!N48+'15'!N48+'14'!N48+'16'!N48+'17'!N48+'19'!N48+'20'!N48+'22'!N48+'18'!N48+'21'!N48+'25'!N48+'23'!N48+'26'!N48+'24'!N48+'28'!N48+'27'!N48+'29'!N48+'31'!N48+'30'!N48</f>
        <v>0</v>
      </c>
      <c r="O48" s="27">
        <f>+'1'!O48+'3'!O48+'2'!O48+'6'!O48+'5'!O48+'4'!O48+'8'!O48+'7'!O48+'10'!O48+'9'!O48+'11'!O48+'12'!O48+'13'!O48+'15'!O48+'14'!O48+'16'!O48+'17'!O48+'19'!O48+'20'!O48+'22'!O48+'18'!O48+'21'!O48+'25'!O48+'23'!O48+'26'!O48+'24'!O48+'28'!O48+'27'!O48+'29'!O48+'31'!O48+'30'!O48</f>
        <v>0</v>
      </c>
      <c r="P48" s="27">
        <f>+'1'!P48+'3'!P48+'2'!P48+'6'!P48+'5'!P48+'4'!P48+'8'!P48+'7'!P48+'10'!P48+'9'!P48+'11'!P48+'12'!P48+'13'!P48+'15'!P48+'14'!P48+'16'!P48+'17'!P48+'19'!P48+'20'!P48+'22'!P48+'18'!P48+'21'!P48+'25'!P48+'23'!P48+'26'!P48+'24'!P48+'28'!P48+'27'!P48+'29'!P48+'31'!P48+'30'!P48</f>
        <v>0</v>
      </c>
      <c r="Q48" s="27">
        <f>+'1'!Q48+'3'!Q48+'2'!Q48+'6'!Q48+'5'!Q48+'4'!Q48+'8'!Q48+'7'!Q48+'10'!Q48+'9'!Q48+'11'!Q48+'12'!Q48+'13'!Q48+'15'!Q48+'14'!Q48+'16'!Q48+'17'!Q48+'19'!Q48+'20'!Q48+'22'!Q48+'18'!Q48+'21'!Q48+'25'!Q48+'23'!Q48+'26'!Q48+'24'!Q48+'28'!Q48+'27'!Q48+'29'!Q48+'31'!Q48+'30'!Q48</f>
        <v>0</v>
      </c>
      <c r="R48" s="27">
        <f>+'1'!R48+'3'!R48+'2'!R48+'6'!R48+'5'!R48+'4'!R48+'8'!R48+'7'!R48+'10'!R48+'9'!R48+'11'!R48+'12'!R48+'13'!R48+'15'!R48+'14'!R48+'16'!R48+'17'!R48+'19'!R48+'20'!R48+'22'!R48+'18'!R48+'21'!R48+'25'!R48+'23'!R48+'26'!R48+'24'!R48+'28'!R48+'27'!R48+'29'!R48+'31'!R48+'30'!R48</f>
        <v>0</v>
      </c>
      <c r="S48" s="27">
        <f>+'1'!S48+'3'!S48+'2'!S48+'6'!S48+'5'!S48+'4'!S48+'8'!S48+'7'!S48+'10'!S48+'9'!S48+'11'!S48+'12'!S48+'13'!S48+'15'!S48+'14'!S48+'16'!S48+'17'!S48+'19'!S48+'20'!S48+'22'!S48+'18'!S48+'21'!S48+'25'!S48+'23'!S48+'26'!S48+'24'!S48+'28'!S48+'27'!S48+'29'!S48+'31'!S48+'30'!S48</f>
        <v>0</v>
      </c>
      <c r="T48" s="43">
        <f>+'1'!T48+'3'!T48+'2'!T48+'6'!T48+'5'!T48+'4'!T48+'8'!T48+'7'!T48+'10'!T48+'9'!T48+'11'!T48+'12'!T48+'13'!T48+'15'!T48+'14'!T48+'16'!T48+'17'!T48+'19'!T48+'20'!T48+'22'!T48+'18'!T48+'21'!T48+'25'!T48+'23'!T48+'26'!T48+'24'!T48+'28'!T48+'27'!T48+'29'!T48+'31'!T48+'30'!T48</f>
        <v>0</v>
      </c>
      <c r="U48" s="52">
        <f>+'1'!U48+'3'!U48+'2'!U48+'6'!U48+'5'!U48+'4'!U48+'8'!U48+'7'!U48+'10'!U48+'9'!U48+'11'!U48+'12'!U48+'13'!U48+'15'!U48+'14'!U48+'16'!U48+'17'!U48+'19'!U48+'20'!U48+'22'!U48+'18'!U48+'21'!U48+'25'!U48+'23'!U48+'26'!U48+'24'!U48+'28'!U48+'27'!U48+'29'!U48+'31'!U48+'30'!U48</f>
        <v>0</v>
      </c>
      <c r="V48" s="52">
        <f>+'1'!V48+'3'!V48+'2'!V48+'6'!V48+'5'!V48+'4'!V48+'8'!V48+'7'!V48+'10'!V48+'9'!V48+'11'!V48+'12'!V48+'13'!V48+'15'!V48+'14'!V48+'16'!V48+'17'!V48+'19'!V48+'20'!V48+'22'!V48+'18'!V48+'21'!V48+'25'!V48+'23'!V48+'26'!V48+'24'!V48+'28'!V48+'27'!V48+'29'!V48+'31'!V48+'30'!V48</f>
        <v>0</v>
      </c>
      <c r="W48" s="52">
        <f>+'1'!W48+'3'!W48+'2'!W48+'6'!W48+'5'!W48+'4'!W48+'8'!W48+'7'!W48+'10'!W48+'9'!W48+'11'!W48+'12'!W48+'13'!W48+'15'!W48+'14'!W48+'16'!W48+'17'!W48+'19'!W48+'20'!W48+'22'!W48+'18'!W48+'21'!W48+'25'!W48+'23'!W48+'26'!W48+'24'!W48+'28'!W48+'27'!W48+'29'!W48+'31'!W48+'30'!W48</f>
        <v>0</v>
      </c>
      <c r="X48" s="52">
        <f>+'1'!X48+'3'!X48+'2'!X48+'6'!X48+'5'!X48+'4'!X48+'8'!X48+'7'!X48+'10'!X48+'9'!X48+'11'!X48+'12'!X48+'13'!X48+'15'!X48+'14'!X48+'16'!X48+'17'!X48+'19'!X48+'20'!X48+'22'!X48+'18'!X48+'21'!X48+'25'!X48+'23'!X48+'26'!X48+'24'!X48+'28'!X48+'27'!X48+'29'!X48+'31'!X48+'30'!X48</f>
        <v>0</v>
      </c>
      <c r="Y48" s="52">
        <f>+'1'!Y48+'3'!Y48+'2'!Y48+'6'!Y48+'5'!Y48+'4'!Y48+'8'!Y48+'7'!Y48+'10'!Y48+'9'!Y48+'11'!Y48+'12'!Y48+'13'!Y48+'15'!Y48+'14'!Y48+'16'!Y48+'17'!Y48+'19'!Y48+'20'!Y48+'22'!Y48+'18'!Y48+'21'!Y48+'25'!Y48+'23'!Y48+'26'!Y48+'24'!Y48+'28'!Y48+'27'!Y48+'29'!Y48+'31'!Y48+'30'!Y48</f>
        <v>0</v>
      </c>
      <c r="Z48" s="52">
        <f>+'1'!Z48+'3'!Z48+'2'!Z48+'6'!Z48+'5'!Z48+'4'!Z48+'8'!Z48+'7'!Z48+'10'!Z48+'9'!Z48+'11'!Z48+'12'!Z48+'13'!Z48+'15'!Z48+'14'!Z48+'16'!Z48+'17'!Z48+'19'!Z48+'20'!Z48+'22'!Z48+'18'!Z48+'21'!Z48+'25'!Z48+'23'!Z48+'26'!Z48+'24'!Z48+'28'!Z48+'27'!Z48+'29'!Z48+'31'!Z48+'30'!Z48</f>
        <v>0</v>
      </c>
      <c r="AA48" s="52">
        <f>+'1'!AA48+'3'!AA48+'2'!AA48+'6'!AA48+'5'!AA48+'4'!AA48+'8'!AA48+'7'!AA48+'10'!AA48+'9'!AA48+'11'!AA48+'12'!AA48+'13'!AA48+'15'!AA48+'14'!AA48+'16'!AA48+'17'!AA48+'19'!AA48+'20'!AA48+'22'!AA48+'18'!AA48+'21'!AA48+'25'!AA48+'23'!AA48+'26'!AA48+'24'!AA48+'28'!AA48+'27'!AA48+'29'!AA48+'31'!AA48+'30'!AA48</f>
        <v>0</v>
      </c>
      <c r="AB48" s="52">
        <f>+'1'!AB48+'3'!AB48+'2'!AB48+'6'!AB48+'5'!AB48+'4'!AB48+'8'!AB48+'7'!AB48+'10'!AB48+'9'!AB48+'11'!AB48+'12'!AB48+'13'!AB48+'15'!AB48+'14'!AB48+'16'!AB48+'17'!AB48+'19'!AB48+'20'!AB48+'22'!AB48+'18'!AB48+'21'!AB48+'25'!AB48+'23'!AB48+'26'!AB48+'24'!AB48+'28'!AB48+'27'!AB48+'29'!AB48+'31'!AB48+'30'!AB48</f>
        <v>0</v>
      </c>
      <c r="AC48" s="52">
        <f>+'1'!AC48+'3'!AC48+'2'!AC48+'6'!AC48+'5'!AC48+'4'!AC48+'8'!AC48+'7'!AC48+'10'!AC48+'9'!AC48+'11'!AC48+'12'!AC48+'13'!AC48+'15'!AC48+'14'!AC48+'16'!AC48+'17'!AC48+'19'!AC48+'20'!AC48+'22'!AC48+'18'!AC48+'21'!AC48+'25'!AC48+'23'!AC48+'26'!AC48+'24'!AC48+'28'!AC48+'27'!AC48+'29'!AC48+'31'!AC48+'30'!AC48</f>
        <v>0</v>
      </c>
      <c r="AD48" s="52">
        <f>+'1'!AD48+'3'!AD48+'2'!AD48+'6'!AD48+'5'!AD48+'4'!AD48+'8'!AD48+'7'!AD48+'10'!AD48+'9'!AD48+'11'!AD48+'12'!AD48+'13'!AD48+'15'!AD48+'14'!AD48+'16'!AD48+'17'!AD48+'19'!AD48+'20'!AD48+'22'!AD48+'18'!AD48+'21'!AD48+'25'!AD48+'23'!AD48+'26'!AD48+'24'!AD48+'28'!AD48+'27'!AD48+'29'!AD48+'31'!AD48+'30'!AD48</f>
        <v>0</v>
      </c>
      <c r="AE48" s="52">
        <f>+'1'!AE48+'3'!AE48+'2'!AE48+'6'!AE48+'5'!AE48+'4'!AE48+'8'!AE48+'7'!AE48+'10'!AE48+'9'!AE48+'11'!AE48+'12'!AE48+'13'!AE48+'15'!AE48+'14'!AE48+'16'!AE48+'17'!AE48+'19'!AE48+'20'!AE48+'22'!AE48+'18'!AE48+'21'!AE48+'25'!AE48+'23'!AE48+'26'!AE48+'24'!AE48+'28'!AE48+'27'!AE48+'29'!AE48+'31'!AE48+'30'!AE48</f>
        <v>0</v>
      </c>
      <c r="AF48" s="52">
        <f>+'1'!AF48+'3'!AF48+'2'!AF48+'6'!AF48+'5'!AF48+'4'!AF48+'8'!AF48+'7'!AF48+'10'!AF48+'9'!AF48+'11'!AF48+'12'!AF48+'13'!AF48+'15'!AF48+'14'!AF48+'16'!AF48+'17'!AF48+'19'!AF48+'20'!AF48+'22'!AF48+'18'!AF48+'21'!AF48+'25'!AF48+'23'!AF48+'26'!AF48+'24'!AF48+'28'!AF48+'27'!AF48+'29'!AF48+'31'!AF48+'30'!AF48</f>
        <v>0</v>
      </c>
      <c r="AG48" s="52">
        <f>+'1'!AG48+'3'!AG48+'2'!AG48+'6'!AG48+'5'!AG48+'4'!AG48+'8'!AG48+'7'!AG48+'10'!AG48+'9'!AG48+'11'!AG48+'12'!AG48+'13'!AG48+'15'!AG48+'14'!AG48+'16'!AG48+'17'!AG48+'19'!AG48+'20'!AG48+'22'!AG48+'18'!AG48+'21'!AG48+'25'!AG48+'23'!AG48+'26'!AG48+'24'!AG48+'28'!AG48+'27'!AG48+'29'!AG48+'31'!AG48+'30'!AG48</f>
        <v>0</v>
      </c>
      <c r="AH48" s="52">
        <f>+'1'!AH48+'3'!AH48+'2'!AH48+'6'!AH48+'5'!AH48+'4'!AH48+'8'!AH48+'7'!AH48+'10'!AH48+'9'!AH48+'11'!AH48+'12'!AH48+'13'!AH48+'15'!AH48+'14'!AH48+'16'!AH48+'17'!AH48+'19'!AH48+'20'!AH48+'22'!AH48+'18'!AH48+'21'!AH48+'25'!AH48+'23'!AH48+'26'!AH48+'24'!AH48+'28'!AH48+'27'!AH48+'29'!AH48+'31'!AH48+'30'!AH48</f>
        <v>0</v>
      </c>
      <c r="AI48" s="55">
        <f>+'1'!AI48+'3'!AI48+'2'!AI48+'6'!AI48+'5'!AI48+'4'!AI48+'8'!AI48+'7'!AI48+'10'!AI48+'9'!AI48+'11'!AI48+'12'!AI48+'13'!AI48+'15'!AI48+'14'!AI48+'16'!AI48+'17'!AI48+'19'!AI48+'20'!AI48+'22'!AI48+'18'!AI48+'21'!AI48+'25'!AI48+'23'!AI48+'26'!AI48+'24'!AI48+'28'!AI48+'27'!AI48+'29'!AI48+'31'!AI48+'30'!AI48</f>
        <v>6</v>
      </c>
      <c r="AJ48" s="58">
        <f>+'1'!AJ48+'3'!AJ48+'2'!AJ48+'6'!AJ48+'5'!AJ48+'4'!AJ48+'8'!AJ48+'7'!AJ48+'10'!AJ48+'9'!AJ48+'11'!AJ48+'12'!AJ48+'13'!AJ48+'15'!AJ48+'14'!AJ48+'16'!AJ48+'17'!AJ48+'19'!AJ48+'20'!AJ48+'22'!AJ48+'18'!AJ48+'21'!AJ48+'25'!AJ48+'23'!AJ48+'26'!AJ48+'24'!AJ48+'28'!AJ48+'27'!AJ48+'29'!AJ48+'31'!AJ48+'30'!AJ48</f>
        <v>0</v>
      </c>
      <c r="AK48" s="55">
        <f>+'1'!AK48+'3'!AK48+'2'!AK48+'6'!AK48+'5'!AK48+'4'!AK48+'8'!AK48+'7'!AK48+'10'!AK48+'9'!AK48+'11'!AK48+'12'!AK48+'13'!AK48+'15'!AK48+'14'!AK48+'16'!AK48+'17'!AK48+'19'!AK48+'20'!AK48+'22'!AK48+'18'!AK48+'21'!AK48+'25'!AK48+'23'!AK48+'26'!AK48+'24'!AK48+'28'!AK48+'27'!AK48+'29'!AK48+'31'!AK48+'30'!AK48</f>
        <v>0</v>
      </c>
      <c r="AL48" s="66">
        <f t="shared" si="6"/>
        <v>6</v>
      </c>
      <c r="AM48" s="28" t="str">
        <f t="shared" si="7"/>
        <v>OK</v>
      </c>
    </row>
    <row r="49" spans="1:39" customFormat="1" hidden="1">
      <c r="A49" s="17" t="s">
        <v>97</v>
      </c>
      <c r="B49" s="77">
        <v>11815</v>
      </c>
      <c r="C49" s="17" t="s">
        <v>83</v>
      </c>
      <c r="D49" s="69"/>
      <c r="E49" s="18"/>
      <c r="F49" s="18"/>
      <c r="G49" s="19"/>
      <c r="H49" s="20">
        <f>+'1'!H49+'3'!H49+'2'!H49+'6'!H49+'5'!H49+'4'!H49+'8'!H49+'7'!H49+'10'!H49+'9'!H49+'11'!H49+'12'!H49+'13'!H49+'15'!H49+'14'!H49+'16'!H49+'17'!H49+'19'!H49+'20'!H49+'22'!H49+'18'!H49+'21'!H49+'25'!H49+'23'!H49+'26'!H49+'24'!H49+'28'!H49+'27'!H49+'29'!H49+'31'!H49+'30'!H49</f>
        <v>0</v>
      </c>
      <c r="I49" s="21">
        <f>+'1'!I49+'3'!I49+'2'!I49+'6'!I49+'5'!I49+'4'!I49+'8'!I49+'7'!I49+'10'!I49+'9'!I49+'11'!I49+'12'!I49+'13'!I49+'15'!I49+'14'!I49+'16'!I49+'17'!I49+'19'!I49+'20'!I49+'22'!I49+'18'!I49+'21'!I49+'25'!I49+'23'!I49+'26'!I49+'24'!I49+'28'!I49+'27'!I49+'29'!I49+'31'!I49+'30'!I49</f>
        <v>0</v>
      </c>
      <c r="J49" s="21"/>
      <c r="K49" s="16"/>
      <c r="L49" s="21">
        <f>+'1'!L49+'3'!L49+'2'!L49+'6'!L49+'5'!L49+'4'!L49+'8'!L49+'7'!L49+'10'!L49+'9'!L49+'11'!L49+'12'!L49+'13'!L49+'15'!L49+'14'!L49+'16'!L49+'17'!L49+'19'!L49+'20'!L49+'22'!L49+'18'!L49+'21'!L49+'25'!L49+'23'!L49+'26'!L49+'24'!L49+'28'!L49+'27'!L49+'29'!L49+'31'!L49+'30'!L49</f>
        <v>0</v>
      </c>
      <c r="M49" s="21">
        <f>+'1'!M49+'3'!M49+'2'!M49+'6'!M49+'5'!M49+'4'!M49+'8'!M49+'7'!M49+'10'!M49+'9'!M49+'11'!M49+'12'!M49+'13'!M49+'15'!M49+'14'!M49+'16'!M49+'17'!M49+'19'!M49+'20'!M49+'22'!M49+'18'!M49+'21'!M49+'25'!M49+'23'!M49+'26'!M49+'24'!M49+'28'!M49+'27'!M49+'29'!M49+'31'!M49+'30'!M49</f>
        <v>0</v>
      </c>
      <c r="N49" s="21">
        <f>+'1'!N49+'3'!N49+'2'!N49+'6'!N49+'5'!N49+'4'!N49+'8'!N49+'7'!N49+'10'!N49+'9'!N49+'11'!N49+'12'!N49+'13'!N49+'15'!N49+'14'!N49+'16'!N49+'17'!N49+'19'!N49+'20'!N49+'22'!N49+'18'!N49+'21'!N49+'25'!N49+'23'!N49+'26'!N49+'24'!N49+'28'!N49+'27'!N49+'29'!N49+'31'!N49+'30'!N49</f>
        <v>0</v>
      </c>
      <c r="O49" s="21">
        <f>+'1'!O49+'3'!O49+'2'!O49+'6'!O49+'5'!O49+'4'!O49+'8'!O49+'7'!O49+'10'!O49+'9'!O49+'11'!O49+'12'!O49+'13'!O49+'15'!O49+'14'!O49+'16'!O49+'17'!O49+'19'!O49+'20'!O49+'22'!O49+'18'!O49+'21'!O49+'25'!O49+'23'!O49+'26'!O49+'24'!O49+'28'!O49+'27'!O49+'29'!O49+'31'!O49+'30'!O49</f>
        <v>0</v>
      </c>
      <c r="P49" s="21">
        <f>+'1'!P49+'3'!P49+'2'!P49+'6'!P49+'5'!P49+'4'!P49+'8'!P49+'7'!P49+'10'!P49+'9'!P49+'11'!P49+'12'!P49+'13'!P49+'15'!P49+'14'!P49+'16'!P49+'17'!P49+'19'!P49+'20'!P49+'22'!P49+'18'!P49+'21'!P49+'25'!P49+'23'!P49+'26'!P49+'24'!P49+'28'!P49+'27'!P49+'29'!P49+'31'!P49+'30'!P49</f>
        <v>0</v>
      </c>
      <c r="Q49" s="21">
        <f>+'1'!Q49+'3'!Q49+'2'!Q49+'6'!Q49+'5'!Q49+'4'!Q49+'8'!Q49+'7'!Q49+'10'!Q49+'9'!Q49+'11'!Q49+'12'!Q49+'13'!Q49+'15'!Q49+'14'!Q49+'16'!Q49+'17'!Q49+'19'!Q49+'20'!Q49+'22'!Q49+'18'!Q49+'21'!Q49+'25'!Q49+'23'!Q49+'26'!Q49+'24'!Q49+'28'!Q49+'27'!Q49+'29'!Q49+'31'!Q49+'30'!Q49</f>
        <v>0</v>
      </c>
      <c r="R49" s="21">
        <f>+'1'!R49+'3'!R49+'2'!R49+'6'!R49+'5'!R49+'4'!R49+'8'!R49+'7'!R49+'10'!R49+'9'!R49+'11'!R49+'12'!R49+'13'!R49+'15'!R49+'14'!R49+'16'!R49+'17'!R49+'19'!R49+'20'!R49+'22'!R49+'18'!R49+'21'!R49+'25'!R49+'23'!R49+'26'!R49+'24'!R49+'28'!R49+'27'!R49+'29'!R49+'31'!R49+'30'!R49</f>
        <v>0</v>
      </c>
      <c r="S49" s="21">
        <f>+'1'!S49+'3'!S49+'2'!S49+'6'!S49+'5'!S49+'4'!S49+'8'!S49+'7'!S49+'10'!S49+'9'!S49+'11'!S49+'12'!S49+'13'!S49+'15'!S49+'14'!S49+'16'!S49+'17'!S49+'19'!S49+'20'!S49+'22'!S49+'18'!S49+'21'!S49+'25'!S49+'23'!S49+'26'!S49+'24'!S49+'28'!S49+'27'!S49+'29'!S49+'31'!S49+'30'!S49</f>
        <v>0</v>
      </c>
      <c r="T49" s="42">
        <f>+'1'!T49+'3'!T49+'2'!T49+'6'!T49+'5'!T49+'4'!T49+'8'!T49+'7'!T49+'10'!T49+'9'!T49+'11'!T49+'12'!T49+'13'!T49+'15'!T49+'14'!T49+'16'!T49+'17'!T49+'19'!T49+'20'!T49+'22'!T49+'18'!T49+'21'!T49+'25'!T49+'23'!T49+'26'!T49+'24'!T49+'28'!T49+'27'!T49+'29'!T49+'31'!T49+'30'!T49</f>
        <v>0</v>
      </c>
      <c r="U49" s="51">
        <f>+'1'!U49+'3'!U49+'2'!U49+'6'!U49+'5'!U49+'4'!U49+'8'!U49+'7'!U49+'10'!U49+'9'!U49+'11'!U49+'12'!U49+'13'!U49+'15'!U49+'14'!U49+'16'!U49+'17'!U49+'19'!U49+'20'!U49+'22'!U49+'18'!U49+'21'!U49+'25'!U49+'23'!U49+'26'!U49+'24'!U49+'28'!U49+'27'!U49+'29'!U49+'31'!U49+'30'!U49</f>
        <v>0</v>
      </c>
      <c r="V49" s="51">
        <f>+'1'!V49+'3'!V49+'2'!V49+'6'!V49+'5'!V49+'4'!V49+'8'!V49+'7'!V49+'10'!V49+'9'!V49+'11'!V49+'12'!V49+'13'!V49+'15'!V49+'14'!V49+'16'!V49+'17'!V49+'19'!V49+'20'!V49+'22'!V49+'18'!V49+'21'!V49+'25'!V49+'23'!V49+'26'!V49+'24'!V49+'28'!V49+'27'!V49+'29'!V49+'31'!V49+'30'!V49</f>
        <v>0</v>
      </c>
      <c r="W49" s="51">
        <f>+'1'!W49+'3'!W49+'2'!W49+'6'!W49+'5'!W49+'4'!W49+'8'!W49+'7'!W49+'10'!W49+'9'!W49+'11'!W49+'12'!W49+'13'!W49+'15'!W49+'14'!W49+'16'!W49+'17'!W49+'19'!W49+'20'!W49+'22'!W49+'18'!W49+'21'!W49+'25'!W49+'23'!W49+'26'!W49+'24'!W49+'28'!W49+'27'!W49+'29'!W49+'31'!W49+'30'!W49</f>
        <v>0</v>
      </c>
      <c r="X49" s="51">
        <f>+'1'!X49+'3'!X49+'2'!X49+'6'!X49+'5'!X49+'4'!X49+'8'!X49+'7'!X49+'10'!X49+'9'!X49+'11'!X49+'12'!X49+'13'!X49+'15'!X49+'14'!X49+'16'!X49+'17'!X49+'19'!X49+'20'!X49+'22'!X49+'18'!X49+'21'!X49+'25'!X49+'23'!X49+'26'!X49+'24'!X49+'28'!X49+'27'!X49+'29'!X49+'31'!X49+'30'!X49</f>
        <v>0</v>
      </c>
      <c r="Y49" s="51">
        <f>+'1'!Y49+'3'!Y49+'2'!Y49+'6'!Y49+'5'!Y49+'4'!Y49+'8'!Y49+'7'!Y49+'10'!Y49+'9'!Y49+'11'!Y49+'12'!Y49+'13'!Y49+'15'!Y49+'14'!Y49+'16'!Y49+'17'!Y49+'19'!Y49+'20'!Y49+'22'!Y49+'18'!Y49+'21'!Y49+'25'!Y49+'23'!Y49+'26'!Y49+'24'!Y49+'28'!Y49+'27'!Y49+'29'!Y49+'31'!Y49+'30'!Y49</f>
        <v>0</v>
      </c>
      <c r="Z49" s="51">
        <f>+'1'!Z49+'3'!Z49+'2'!Z49+'6'!Z49+'5'!Z49+'4'!Z49+'8'!Z49+'7'!Z49+'10'!Z49+'9'!Z49+'11'!Z49+'12'!Z49+'13'!Z49+'15'!Z49+'14'!Z49+'16'!Z49+'17'!Z49+'19'!Z49+'20'!Z49+'22'!Z49+'18'!Z49+'21'!Z49+'25'!Z49+'23'!Z49+'26'!Z49+'24'!Z49+'28'!Z49+'27'!Z49+'29'!Z49+'31'!Z49+'30'!Z49</f>
        <v>0</v>
      </c>
      <c r="AA49" s="51">
        <f>+'1'!AA49+'3'!AA49+'2'!AA49+'6'!AA49+'5'!AA49+'4'!AA49+'8'!AA49+'7'!AA49+'10'!AA49+'9'!AA49+'11'!AA49+'12'!AA49+'13'!AA49+'15'!AA49+'14'!AA49+'16'!AA49+'17'!AA49+'19'!AA49+'20'!AA49+'22'!AA49+'18'!AA49+'21'!AA49+'25'!AA49+'23'!AA49+'26'!AA49+'24'!AA49+'28'!AA49+'27'!AA49+'29'!AA49+'31'!AA49+'30'!AA49</f>
        <v>0</v>
      </c>
      <c r="AB49" s="51">
        <f>+'1'!AB49+'3'!AB49+'2'!AB49+'6'!AB49+'5'!AB49+'4'!AB49+'8'!AB49+'7'!AB49+'10'!AB49+'9'!AB49+'11'!AB49+'12'!AB49+'13'!AB49+'15'!AB49+'14'!AB49+'16'!AB49+'17'!AB49+'19'!AB49+'20'!AB49+'22'!AB49+'18'!AB49+'21'!AB49+'25'!AB49+'23'!AB49+'26'!AB49+'24'!AB49+'28'!AB49+'27'!AB49+'29'!AB49+'31'!AB49+'30'!AB49</f>
        <v>0</v>
      </c>
      <c r="AC49" s="51">
        <f>+'1'!AC49+'3'!AC49+'2'!AC49+'6'!AC49+'5'!AC49+'4'!AC49+'8'!AC49+'7'!AC49+'10'!AC49+'9'!AC49+'11'!AC49+'12'!AC49+'13'!AC49+'15'!AC49+'14'!AC49+'16'!AC49+'17'!AC49+'19'!AC49+'20'!AC49+'22'!AC49+'18'!AC49+'21'!AC49+'25'!AC49+'23'!AC49+'26'!AC49+'24'!AC49+'28'!AC49+'27'!AC49+'29'!AC49+'31'!AC49+'30'!AC49</f>
        <v>0</v>
      </c>
      <c r="AD49" s="51">
        <f>+'1'!AD49+'3'!AD49+'2'!AD49+'6'!AD49+'5'!AD49+'4'!AD49+'8'!AD49+'7'!AD49+'10'!AD49+'9'!AD49+'11'!AD49+'12'!AD49+'13'!AD49+'15'!AD49+'14'!AD49+'16'!AD49+'17'!AD49+'19'!AD49+'20'!AD49+'22'!AD49+'18'!AD49+'21'!AD49+'25'!AD49+'23'!AD49+'26'!AD49+'24'!AD49+'28'!AD49+'27'!AD49+'29'!AD49+'31'!AD49+'30'!AD49</f>
        <v>0</v>
      </c>
      <c r="AE49" s="51">
        <f>+'1'!AE49+'3'!AE49+'2'!AE49+'6'!AE49+'5'!AE49+'4'!AE49+'8'!AE49+'7'!AE49+'10'!AE49+'9'!AE49+'11'!AE49+'12'!AE49+'13'!AE49+'15'!AE49+'14'!AE49+'16'!AE49+'17'!AE49+'19'!AE49+'20'!AE49+'22'!AE49+'18'!AE49+'21'!AE49+'25'!AE49+'23'!AE49+'26'!AE49+'24'!AE49+'28'!AE49+'27'!AE49+'29'!AE49+'31'!AE49+'30'!AE49</f>
        <v>0</v>
      </c>
      <c r="AF49" s="51">
        <f>+'1'!AF49+'3'!AF49+'2'!AF49+'6'!AF49+'5'!AF49+'4'!AF49+'8'!AF49+'7'!AF49+'10'!AF49+'9'!AF49+'11'!AF49+'12'!AF49+'13'!AF49+'15'!AF49+'14'!AF49+'16'!AF49+'17'!AF49+'19'!AF49+'20'!AF49+'22'!AF49+'18'!AF49+'21'!AF49+'25'!AF49+'23'!AF49+'26'!AF49+'24'!AF49+'28'!AF49+'27'!AF49+'29'!AF49+'31'!AF49+'30'!AF49</f>
        <v>0</v>
      </c>
      <c r="AG49" s="51">
        <f>+'1'!AG49+'3'!AG49+'2'!AG49+'6'!AG49+'5'!AG49+'4'!AG49+'8'!AG49+'7'!AG49+'10'!AG49+'9'!AG49+'11'!AG49+'12'!AG49+'13'!AG49+'15'!AG49+'14'!AG49+'16'!AG49+'17'!AG49+'19'!AG49+'20'!AG49+'22'!AG49+'18'!AG49+'21'!AG49+'25'!AG49+'23'!AG49+'26'!AG49+'24'!AG49+'28'!AG49+'27'!AG49+'29'!AG49+'31'!AG49+'30'!AG49</f>
        <v>0</v>
      </c>
      <c r="AH49" s="51">
        <f>+'1'!AH49+'3'!AH49+'2'!AH49+'6'!AH49+'5'!AH49+'4'!AH49+'8'!AH49+'7'!AH49+'10'!AH49+'9'!AH49+'11'!AH49+'12'!AH49+'13'!AH49+'15'!AH49+'14'!AH49+'16'!AH49+'17'!AH49+'19'!AH49+'20'!AH49+'22'!AH49+'18'!AH49+'21'!AH49+'25'!AH49+'23'!AH49+'26'!AH49+'24'!AH49+'28'!AH49+'27'!AH49+'29'!AH49+'31'!AH49+'30'!AH49</f>
        <v>0</v>
      </c>
      <c r="AI49" s="54">
        <f>+'1'!AI49+'3'!AI49+'2'!AI49+'6'!AI49+'5'!AI49+'4'!AI49+'8'!AI49+'7'!AI49+'10'!AI49+'9'!AI49+'11'!AI49+'12'!AI49+'13'!AI49+'15'!AI49+'14'!AI49+'16'!AI49+'17'!AI49+'19'!AI49+'20'!AI49+'22'!AI49+'18'!AI49+'21'!AI49+'25'!AI49+'23'!AI49+'26'!AI49+'24'!AI49+'28'!AI49+'27'!AI49+'29'!AI49+'31'!AI49+'30'!AI49</f>
        <v>0</v>
      </c>
      <c r="AJ49" s="57">
        <f>+'1'!AJ49+'3'!AJ49+'2'!AJ49+'6'!AJ49+'5'!AJ49+'4'!AJ49+'8'!AJ49+'7'!AJ49+'10'!AJ49+'9'!AJ49+'11'!AJ49+'12'!AJ49+'13'!AJ49+'15'!AJ49+'14'!AJ49+'16'!AJ49+'17'!AJ49+'19'!AJ49+'20'!AJ49+'22'!AJ49+'18'!AJ49+'21'!AJ49+'25'!AJ49+'23'!AJ49+'26'!AJ49+'24'!AJ49+'28'!AJ49+'27'!AJ49+'29'!AJ49+'31'!AJ49+'30'!AJ49</f>
        <v>0</v>
      </c>
      <c r="AK49" s="54">
        <f>+'1'!AK49+'3'!AK49+'2'!AK49+'6'!AK49+'5'!AK49+'4'!AK49+'8'!AK49+'7'!AK49+'10'!AK49+'9'!AK49+'11'!AK49+'12'!AK49+'13'!AK49+'15'!AK49+'14'!AK49+'16'!AK49+'17'!AK49+'19'!AK49+'20'!AK49+'22'!AK49+'18'!AK49+'21'!AK49+'25'!AK49+'23'!AK49+'26'!AK49+'24'!AK49+'28'!AK49+'27'!AK49+'29'!AK49+'31'!AK49+'30'!AK49</f>
        <v>0</v>
      </c>
      <c r="AL49" s="65">
        <f t="shared" si="6"/>
        <v>0</v>
      </c>
      <c r="AM49" s="22" t="str">
        <f t="shared" si="7"/>
        <v>OK</v>
      </c>
    </row>
    <row r="50" spans="1:39" customFormat="1" hidden="1">
      <c r="A50" s="68" t="s">
        <v>98</v>
      </c>
      <c r="B50" s="78">
        <v>11823</v>
      </c>
      <c r="C50" s="23" t="s">
        <v>83</v>
      </c>
      <c r="D50" s="24"/>
      <c r="E50" s="24"/>
      <c r="F50" s="24"/>
      <c r="G50" s="25"/>
      <c r="H50" s="26">
        <f>+'1'!H50+'3'!H50+'2'!H50+'6'!H50+'5'!H50+'4'!H50+'8'!H50+'7'!H50+'10'!H50+'9'!H50+'11'!H50+'12'!H50+'13'!H50+'15'!H50+'14'!H50+'16'!H50+'17'!H50+'19'!H50+'20'!H50+'22'!H50+'18'!H50+'21'!H50+'25'!H50+'23'!H50+'26'!H50+'24'!H50+'28'!H50+'27'!H50+'29'!H50+'31'!H50+'30'!H50</f>
        <v>0</v>
      </c>
      <c r="I50" s="27">
        <f>+'1'!I50+'3'!I50+'2'!I50+'6'!I50+'5'!I50+'4'!I50+'8'!I50+'7'!I50+'10'!I50+'9'!I50+'11'!I50+'12'!I50+'13'!I50+'15'!I50+'14'!I50+'16'!I50+'17'!I50+'19'!I50+'20'!I50+'22'!I50+'18'!I50+'21'!I50+'25'!I50+'23'!I50+'26'!I50+'24'!I50+'28'!I50+'27'!I50+'29'!I50+'31'!I50+'30'!I50</f>
        <v>0</v>
      </c>
      <c r="J50" s="27"/>
      <c r="K50" s="16"/>
      <c r="L50" s="27">
        <f>+'1'!L50+'3'!L50+'2'!L50+'6'!L50+'5'!L50+'4'!L50+'8'!L50+'7'!L50+'10'!L50+'9'!L50+'11'!L50+'12'!L50+'13'!L50+'15'!L50+'14'!L50+'16'!L50+'17'!L50+'19'!L50+'20'!L50+'22'!L50+'18'!L50+'21'!L50+'25'!L50+'23'!L50+'26'!L50+'24'!L50+'28'!L50+'27'!L50+'29'!L50+'31'!L50+'30'!L50</f>
        <v>0</v>
      </c>
      <c r="M50" s="27">
        <f>+'1'!M50+'3'!M50+'2'!M50+'6'!M50+'5'!M50+'4'!M50+'8'!M50+'7'!M50+'10'!M50+'9'!M50+'11'!M50+'12'!M50+'13'!M50+'15'!M50+'14'!M50+'16'!M50+'17'!M50+'19'!M50+'20'!M50+'22'!M50+'18'!M50+'21'!M50+'25'!M50+'23'!M50+'26'!M50+'24'!M50+'28'!M50+'27'!M50+'29'!M50+'31'!M50+'30'!M50</f>
        <v>0</v>
      </c>
      <c r="N50" s="27">
        <f>+'1'!N50+'3'!N50+'2'!N50+'6'!N50+'5'!N50+'4'!N50+'8'!N50+'7'!N50+'10'!N50+'9'!N50+'11'!N50+'12'!N50+'13'!N50+'15'!N50+'14'!N50+'16'!N50+'17'!N50+'19'!N50+'20'!N50+'22'!N50+'18'!N50+'21'!N50+'25'!N50+'23'!N50+'26'!N50+'24'!N50+'28'!N50+'27'!N50+'29'!N50+'31'!N50+'30'!N50</f>
        <v>0</v>
      </c>
      <c r="O50" s="27">
        <f>+'1'!O50+'3'!O50+'2'!O50+'6'!O50+'5'!O50+'4'!O50+'8'!O50+'7'!O50+'10'!O50+'9'!O50+'11'!O50+'12'!O50+'13'!O50+'15'!O50+'14'!O50+'16'!O50+'17'!O50+'19'!O50+'20'!O50+'22'!O50+'18'!O50+'21'!O50+'25'!O50+'23'!O50+'26'!O50+'24'!O50+'28'!O50+'27'!O50+'29'!O50+'31'!O50+'30'!O50</f>
        <v>0</v>
      </c>
      <c r="P50" s="27">
        <f>+'1'!P50+'3'!P50+'2'!P50+'6'!P50+'5'!P50+'4'!P50+'8'!P50+'7'!P50+'10'!P50+'9'!P50+'11'!P50+'12'!P50+'13'!P50+'15'!P50+'14'!P50+'16'!P50+'17'!P50+'19'!P50+'20'!P50+'22'!P50+'18'!P50+'21'!P50+'25'!P50+'23'!P50+'26'!P50+'24'!P50+'28'!P50+'27'!P50+'29'!P50+'31'!P50+'30'!P50</f>
        <v>0</v>
      </c>
      <c r="Q50" s="27">
        <f>+'1'!Q50+'3'!Q50+'2'!Q50+'6'!Q50+'5'!Q50+'4'!Q50+'8'!Q50+'7'!Q50+'10'!Q50+'9'!Q50+'11'!Q50+'12'!Q50+'13'!Q50+'15'!Q50+'14'!Q50+'16'!Q50+'17'!Q50+'19'!Q50+'20'!Q50+'22'!Q50+'18'!Q50+'21'!Q50+'25'!Q50+'23'!Q50+'26'!Q50+'24'!Q50+'28'!Q50+'27'!Q50+'29'!Q50+'31'!Q50+'30'!Q50</f>
        <v>0</v>
      </c>
      <c r="R50" s="27">
        <f>+'1'!R50+'3'!R50+'2'!R50+'6'!R50+'5'!R50+'4'!R50+'8'!R50+'7'!R50+'10'!R50+'9'!R50+'11'!R50+'12'!R50+'13'!R50+'15'!R50+'14'!R50+'16'!R50+'17'!R50+'19'!R50+'20'!R50+'22'!R50+'18'!R50+'21'!R50+'25'!R50+'23'!R50+'26'!R50+'24'!R50+'28'!R50+'27'!R50+'29'!R50+'31'!R50+'30'!R50</f>
        <v>0</v>
      </c>
      <c r="S50" s="27">
        <f>+'1'!S50+'3'!S50+'2'!S50+'6'!S50+'5'!S50+'4'!S50+'8'!S50+'7'!S50+'10'!S50+'9'!S50+'11'!S50+'12'!S50+'13'!S50+'15'!S50+'14'!S50+'16'!S50+'17'!S50+'19'!S50+'20'!S50+'22'!S50+'18'!S50+'21'!S50+'25'!S50+'23'!S50+'26'!S50+'24'!S50+'28'!S50+'27'!S50+'29'!S50+'31'!S50+'30'!S50</f>
        <v>0</v>
      </c>
      <c r="T50" s="43">
        <f>+'1'!T50+'3'!T50+'2'!T50+'6'!T50+'5'!T50+'4'!T50+'8'!T50+'7'!T50+'10'!T50+'9'!T50+'11'!T50+'12'!T50+'13'!T50+'15'!T50+'14'!T50+'16'!T50+'17'!T50+'19'!T50+'20'!T50+'22'!T50+'18'!T50+'21'!T50+'25'!T50+'23'!T50+'26'!T50+'24'!T50+'28'!T50+'27'!T50+'29'!T50+'31'!T50+'30'!T50</f>
        <v>0</v>
      </c>
      <c r="U50" s="52">
        <f>+'1'!U50+'3'!U50+'2'!U50+'6'!U50+'5'!U50+'4'!U50+'8'!U50+'7'!U50+'10'!U50+'9'!U50+'11'!U50+'12'!U50+'13'!U50+'15'!U50+'14'!U50+'16'!U50+'17'!U50+'19'!U50+'20'!U50+'22'!U50+'18'!U50+'21'!U50+'25'!U50+'23'!U50+'26'!U50+'24'!U50+'28'!U50+'27'!U50+'29'!U50+'31'!U50+'30'!U50</f>
        <v>0</v>
      </c>
      <c r="V50" s="52">
        <f>+'1'!V50+'3'!V50+'2'!V50+'6'!V50+'5'!V50+'4'!V50+'8'!V50+'7'!V50+'10'!V50+'9'!V50+'11'!V50+'12'!V50+'13'!V50+'15'!V50+'14'!V50+'16'!V50+'17'!V50+'19'!V50+'20'!V50+'22'!V50+'18'!V50+'21'!V50+'25'!V50+'23'!V50+'26'!V50+'24'!V50+'28'!V50+'27'!V50+'29'!V50+'31'!V50+'30'!V50</f>
        <v>0</v>
      </c>
      <c r="W50" s="52">
        <f>+'1'!W50+'3'!W50+'2'!W50+'6'!W50+'5'!W50+'4'!W50+'8'!W50+'7'!W50+'10'!W50+'9'!W50+'11'!W50+'12'!W50+'13'!W50+'15'!W50+'14'!W50+'16'!W50+'17'!W50+'19'!W50+'20'!W50+'22'!W50+'18'!W50+'21'!W50+'25'!W50+'23'!W50+'26'!W50+'24'!W50+'28'!W50+'27'!W50+'29'!W50+'31'!W50+'30'!W50</f>
        <v>0</v>
      </c>
      <c r="X50" s="52">
        <f>+'1'!X50+'3'!X50+'2'!X50+'6'!X50+'5'!X50+'4'!X50+'8'!X50+'7'!X50+'10'!X50+'9'!X50+'11'!X50+'12'!X50+'13'!X50+'15'!X50+'14'!X50+'16'!X50+'17'!X50+'19'!X50+'20'!X50+'22'!X50+'18'!X50+'21'!X50+'25'!X50+'23'!X50+'26'!X50+'24'!X50+'28'!X50+'27'!X50+'29'!X50+'31'!X50+'30'!X50</f>
        <v>0</v>
      </c>
      <c r="Y50" s="52">
        <f>+'1'!Y50+'3'!Y50+'2'!Y50+'6'!Y50+'5'!Y50+'4'!Y50+'8'!Y50+'7'!Y50+'10'!Y50+'9'!Y50+'11'!Y50+'12'!Y50+'13'!Y50+'15'!Y50+'14'!Y50+'16'!Y50+'17'!Y50+'19'!Y50+'20'!Y50+'22'!Y50+'18'!Y50+'21'!Y50+'25'!Y50+'23'!Y50+'26'!Y50+'24'!Y50+'28'!Y50+'27'!Y50+'29'!Y50+'31'!Y50+'30'!Y50</f>
        <v>0</v>
      </c>
      <c r="Z50" s="52">
        <f>+'1'!Z50+'3'!Z50+'2'!Z50+'6'!Z50+'5'!Z50+'4'!Z50+'8'!Z50+'7'!Z50+'10'!Z50+'9'!Z50+'11'!Z50+'12'!Z50+'13'!Z50+'15'!Z50+'14'!Z50+'16'!Z50+'17'!Z50+'19'!Z50+'20'!Z50+'22'!Z50+'18'!Z50+'21'!Z50+'25'!Z50+'23'!Z50+'26'!Z50+'24'!Z50+'28'!Z50+'27'!Z50+'29'!Z50+'31'!Z50+'30'!Z50</f>
        <v>0</v>
      </c>
      <c r="AA50" s="52">
        <f>+'1'!AA50+'3'!AA50+'2'!AA50+'6'!AA50+'5'!AA50+'4'!AA50+'8'!AA50+'7'!AA50+'10'!AA50+'9'!AA50+'11'!AA50+'12'!AA50+'13'!AA50+'15'!AA50+'14'!AA50+'16'!AA50+'17'!AA50+'19'!AA50+'20'!AA50+'22'!AA50+'18'!AA50+'21'!AA50+'25'!AA50+'23'!AA50+'26'!AA50+'24'!AA50+'28'!AA50+'27'!AA50+'29'!AA50+'31'!AA50+'30'!AA50</f>
        <v>0</v>
      </c>
      <c r="AB50" s="52">
        <f>+'1'!AB50+'3'!AB50+'2'!AB50+'6'!AB50+'5'!AB50+'4'!AB50+'8'!AB50+'7'!AB50+'10'!AB50+'9'!AB50+'11'!AB50+'12'!AB50+'13'!AB50+'15'!AB50+'14'!AB50+'16'!AB50+'17'!AB50+'19'!AB50+'20'!AB50+'22'!AB50+'18'!AB50+'21'!AB50+'25'!AB50+'23'!AB50+'26'!AB50+'24'!AB50+'28'!AB50+'27'!AB50+'29'!AB50+'31'!AB50+'30'!AB50</f>
        <v>0</v>
      </c>
      <c r="AC50" s="52">
        <f>+'1'!AC50+'3'!AC50+'2'!AC50+'6'!AC50+'5'!AC50+'4'!AC50+'8'!AC50+'7'!AC50+'10'!AC50+'9'!AC50+'11'!AC50+'12'!AC50+'13'!AC50+'15'!AC50+'14'!AC50+'16'!AC50+'17'!AC50+'19'!AC50+'20'!AC50+'22'!AC50+'18'!AC50+'21'!AC50+'25'!AC50+'23'!AC50+'26'!AC50+'24'!AC50+'28'!AC50+'27'!AC50+'29'!AC50+'31'!AC50+'30'!AC50</f>
        <v>0</v>
      </c>
      <c r="AD50" s="52">
        <f>+'1'!AD50+'3'!AD50+'2'!AD50+'6'!AD50+'5'!AD50+'4'!AD50+'8'!AD50+'7'!AD50+'10'!AD50+'9'!AD50+'11'!AD50+'12'!AD50+'13'!AD50+'15'!AD50+'14'!AD50+'16'!AD50+'17'!AD50+'19'!AD50+'20'!AD50+'22'!AD50+'18'!AD50+'21'!AD50+'25'!AD50+'23'!AD50+'26'!AD50+'24'!AD50+'28'!AD50+'27'!AD50+'29'!AD50+'31'!AD50+'30'!AD50</f>
        <v>0</v>
      </c>
      <c r="AE50" s="52">
        <f>+'1'!AE50+'3'!AE50+'2'!AE50+'6'!AE50+'5'!AE50+'4'!AE50+'8'!AE50+'7'!AE50+'10'!AE50+'9'!AE50+'11'!AE50+'12'!AE50+'13'!AE50+'15'!AE50+'14'!AE50+'16'!AE50+'17'!AE50+'19'!AE50+'20'!AE50+'22'!AE50+'18'!AE50+'21'!AE50+'25'!AE50+'23'!AE50+'26'!AE50+'24'!AE50+'28'!AE50+'27'!AE50+'29'!AE50+'31'!AE50+'30'!AE50</f>
        <v>0</v>
      </c>
      <c r="AF50" s="52">
        <f>+'1'!AF50+'3'!AF50+'2'!AF50+'6'!AF50+'5'!AF50+'4'!AF50+'8'!AF50+'7'!AF50+'10'!AF50+'9'!AF50+'11'!AF50+'12'!AF50+'13'!AF50+'15'!AF50+'14'!AF50+'16'!AF50+'17'!AF50+'19'!AF50+'20'!AF50+'22'!AF50+'18'!AF50+'21'!AF50+'25'!AF50+'23'!AF50+'26'!AF50+'24'!AF50+'28'!AF50+'27'!AF50+'29'!AF50+'31'!AF50+'30'!AF50</f>
        <v>0</v>
      </c>
      <c r="AG50" s="52">
        <f>+'1'!AG50+'3'!AG50+'2'!AG50+'6'!AG50+'5'!AG50+'4'!AG50+'8'!AG50+'7'!AG50+'10'!AG50+'9'!AG50+'11'!AG50+'12'!AG50+'13'!AG50+'15'!AG50+'14'!AG50+'16'!AG50+'17'!AG50+'19'!AG50+'20'!AG50+'22'!AG50+'18'!AG50+'21'!AG50+'25'!AG50+'23'!AG50+'26'!AG50+'24'!AG50+'28'!AG50+'27'!AG50+'29'!AG50+'31'!AG50+'30'!AG50</f>
        <v>0</v>
      </c>
      <c r="AH50" s="52">
        <f>+'1'!AH50+'3'!AH50+'2'!AH50+'6'!AH50+'5'!AH50+'4'!AH50+'8'!AH50+'7'!AH50+'10'!AH50+'9'!AH50+'11'!AH50+'12'!AH50+'13'!AH50+'15'!AH50+'14'!AH50+'16'!AH50+'17'!AH50+'19'!AH50+'20'!AH50+'22'!AH50+'18'!AH50+'21'!AH50+'25'!AH50+'23'!AH50+'26'!AH50+'24'!AH50+'28'!AH50+'27'!AH50+'29'!AH50+'31'!AH50+'30'!AH50</f>
        <v>0</v>
      </c>
      <c r="AI50" s="55">
        <f>+'1'!AI50+'3'!AI50+'2'!AI50+'6'!AI50+'5'!AI50+'4'!AI50+'8'!AI50+'7'!AI50+'10'!AI50+'9'!AI50+'11'!AI50+'12'!AI50+'13'!AI50+'15'!AI50+'14'!AI50+'16'!AI50+'17'!AI50+'19'!AI50+'20'!AI50+'22'!AI50+'18'!AI50+'21'!AI50+'25'!AI50+'23'!AI50+'26'!AI50+'24'!AI50+'28'!AI50+'27'!AI50+'29'!AI50+'31'!AI50+'30'!AI50</f>
        <v>0</v>
      </c>
      <c r="AJ50" s="58">
        <f>+'1'!AJ50+'3'!AJ50+'2'!AJ50+'6'!AJ50+'5'!AJ50+'4'!AJ50+'8'!AJ50+'7'!AJ50+'10'!AJ50+'9'!AJ50+'11'!AJ50+'12'!AJ50+'13'!AJ50+'15'!AJ50+'14'!AJ50+'16'!AJ50+'17'!AJ50+'19'!AJ50+'20'!AJ50+'22'!AJ50+'18'!AJ50+'21'!AJ50+'25'!AJ50+'23'!AJ50+'26'!AJ50+'24'!AJ50+'28'!AJ50+'27'!AJ50+'29'!AJ50+'31'!AJ50+'30'!AJ50</f>
        <v>0</v>
      </c>
      <c r="AK50" s="55">
        <f>+'1'!AK50+'3'!AK50+'2'!AK50+'6'!AK50+'5'!AK50+'4'!AK50+'8'!AK50+'7'!AK50+'10'!AK50+'9'!AK50+'11'!AK50+'12'!AK50+'13'!AK50+'15'!AK50+'14'!AK50+'16'!AK50+'17'!AK50+'19'!AK50+'20'!AK50+'22'!AK50+'18'!AK50+'21'!AK50+'25'!AK50+'23'!AK50+'26'!AK50+'24'!AK50+'28'!AK50+'27'!AK50+'29'!AK50+'31'!AK50+'30'!AK50</f>
        <v>0</v>
      </c>
      <c r="AL50" s="66">
        <f t="shared" si="6"/>
        <v>0</v>
      </c>
      <c r="AM50" s="28" t="str">
        <f t="shared" si="7"/>
        <v>OK</v>
      </c>
    </row>
    <row r="51" spans="1:39" customFormat="1" hidden="1">
      <c r="A51" s="17" t="s">
        <v>99</v>
      </c>
      <c r="B51" s="79">
        <v>11824</v>
      </c>
      <c r="C51" s="17" t="s">
        <v>83</v>
      </c>
      <c r="D51" s="69"/>
      <c r="E51" s="18"/>
      <c r="F51" s="18"/>
      <c r="G51" s="19"/>
      <c r="H51" s="20">
        <f>+'1'!H51+'3'!H51+'2'!H51+'6'!H51+'5'!H51+'4'!H51+'8'!H51+'7'!H51+'10'!H51+'9'!H51+'11'!H51+'12'!H51+'13'!H51+'15'!H51+'14'!H51+'16'!H51+'17'!H51+'19'!H51+'20'!H51+'22'!H51+'18'!H51+'21'!H51+'25'!H51+'23'!H51+'26'!H51+'24'!H51+'28'!H51+'27'!H51+'29'!H51+'31'!H51+'30'!H51</f>
        <v>0</v>
      </c>
      <c r="I51" s="21">
        <f>+'1'!I51+'3'!I51+'2'!I51+'6'!I51+'5'!I51+'4'!I51+'8'!I51+'7'!I51+'10'!I51+'9'!I51+'11'!I51+'12'!I51+'13'!I51+'15'!I51+'14'!I51+'16'!I51+'17'!I51+'19'!I51+'20'!I51+'22'!I51+'18'!I51+'21'!I51+'25'!I51+'23'!I51+'26'!I51+'24'!I51+'28'!I51+'27'!I51+'29'!I51+'31'!I51+'30'!I51</f>
        <v>0</v>
      </c>
      <c r="J51" s="21"/>
      <c r="K51" s="16"/>
      <c r="L51" s="21">
        <f>+'1'!L51+'3'!L51+'2'!L51+'6'!L51+'5'!L51+'4'!L51+'8'!L51+'7'!L51+'10'!L51+'9'!L51+'11'!L51+'12'!L51+'13'!L51+'15'!L51+'14'!L51+'16'!L51+'17'!L51+'19'!L51+'20'!L51+'22'!L51+'18'!L51+'21'!L51+'25'!L51+'23'!L51+'26'!L51+'24'!L51+'28'!L51+'27'!L51+'29'!L51+'31'!L51+'30'!L51</f>
        <v>0</v>
      </c>
      <c r="M51" s="21">
        <f>+'1'!M51+'3'!M51+'2'!M51+'6'!M51+'5'!M51+'4'!M51+'8'!M51+'7'!M51+'10'!M51+'9'!M51+'11'!M51+'12'!M51+'13'!M51+'15'!M51+'14'!M51+'16'!M51+'17'!M51+'19'!M51+'20'!M51+'22'!M51+'18'!M51+'21'!M51+'25'!M51+'23'!M51+'26'!M51+'24'!M51+'28'!M51+'27'!M51+'29'!M51+'31'!M51+'30'!M51</f>
        <v>0</v>
      </c>
      <c r="N51" s="21">
        <f>+'1'!N51+'3'!N51+'2'!N51+'6'!N51+'5'!N51+'4'!N51+'8'!N51+'7'!N51+'10'!N51+'9'!N51+'11'!N51+'12'!N51+'13'!N51+'15'!N51+'14'!N51+'16'!N51+'17'!N51+'19'!N51+'20'!N51+'22'!N51+'18'!N51+'21'!N51+'25'!N51+'23'!N51+'26'!N51+'24'!N51+'28'!N51+'27'!N51+'29'!N51+'31'!N51+'30'!N51</f>
        <v>0</v>
      </c>
      <c r="O51" s="21">
        <f>+'1'!O51+'3'!O51+'2'!O51+'6'!O51+'5'!O51+'4'!O51+'8'!O51+'7'!O51+'10'!O51+'9'!O51+'11'!O51+'12'!O51+'13'!O51+'15'!O51+'14'!O51+'16'!O51+'17'!O51+'19'!O51+'20'!O51+'22'!O51+'18'!O51+'21'!O51+'25'!O51+'23'!O51+'26'!O51+'24'!O51+'28'!O51+'27'!O51+'29'!O51+'31'!O51+'30'!O51</f>
        <v>0</v>
      </c>
      <c r="P51" s="21">
        <f>+'1'!P51+'3'!P51+'2'!P51+'6'!P51+'5'!P51+'4'!P51+'8'!P51+'7'!P51+'10'!P51+'9'!P51+'11'!P51+'12'!P51+'13'!P51+'15'!P51+'14'!P51+'16'!P51+'17'!P51+'19'!P51+'20'!P51+'22'!P51+'18'!P51+'21'!P51+'25'!P51+'23'!P51+'26'!P51+'24'!P51+'28'!P51+'27'!P51+'29'!P51+'31'!P51+'30'!P51</f>
        <v>0</v>
      </c>
      <c r="Q51" s="21">
        <f>+'1'!Q51+'3'!Q51+'2'!Q51+'6'!Q51+'5'!Q51+'4'!Q51+'8'!Q51+'7'!Q51+'10'!Q51+'9'!Q51+'11'!Q51+'12'!Q51+'13'!Q51+'15'!Q51+'14'!Q51+'16'!Q51+'17'!Q51+'19'!Q51+'20'!Q51+'22'!Q51+'18'!Q51+'21'!Q51+'25'!Q51+'23'!Q51+'26'!Q51+'24'!Q51+'28'!Q51+'27'!Q51+'29'!Q51+'31'!Q51+'30'!Q51</f>
        <v>0</v>
      </c>
      <c r="R51" s="21">
        <f>+'1'!R51+'3'!R51+'2'!R51+'6'!R51+'5'!R51+'4'!R51+'8'!R51+'7'!R51+'10'!R51+'9'!R51+'11'!R51+'12'!R51+'13'!R51+'15'!R51+'14'!R51+'16'!R51+'17'!R51+'19'!R51+'20'!R51+'22'!R51+'18'!R51+'21'!R51+'25'!R51+'23'!R51+'26'!R51+'24'!R51+'28'!R51+'27'!R51+'29'!R51+'31'!R51+'30'!R51</f>
        <v>0</v>
      </c>
      <c r="S51" s="21">
        <f>+'1'!S51+'3'!S51+'2'!S51+'6'!S51+'5'!S51+'4'!S51+'8'!S51+'7'!S51+'10'!S51+'9'!S51+'11'!S51+'12'!S51+'13'!S51+'15'!S51+'14'!S51+'16'!S51+'17'!S51+'19'!S51+'20'!S51+'22'!S51+'18'!S51+'21'!S51+'25'!S51+'23'!S51+'26'!S51+'24'!S51+'28'!S51+'27'!S51+'29'!S51+'31'!S51+'30'!S51</f>
        <v>0</v>
      </c>
      <c r="T51" s="42">
        <f>+'1'!T51+'3'!T51+'2'!T51+'6'!T51+'5'!T51+'4'!T51+'8'!T51+'7'!T51+'10'!T51+'9'!T51+'11'!T51+'12'!T51+'13'!T51+'15'!T51+'14'!T51+'16'!T51+'17'!T51+'19'!T51+'20'!T51+'22'!T51+'18'!T51+'21'!T51+'25'!T51+'23'!T51+'26'!T51+'24'!T51+'28'!T51+'27'!T51+'29'!T51+'31'!T51+'30'!T51</f>
        <v>0</v>
      </c>
      <c r="U51" s="51">
        <f>+'1'!U51+'3'!U51+'2'!U51+'6'!U51+'5'!U51+'4'!U51+'8'!U51+'7'!U51+'10'!U51+'9'!U51+'11'!U51+'12'!U51+'13'!U51+'15'!U51+'14'!U51+'16'!U51+'17'!U51+'19'!U51+'20'!U51+'22'!U51+'18'!U51+'21'!U51+'25'!U51+'23'!U51+'26'!U51+'24'!U51+'28'!U51+'27'!U51+'29'!U51+'31'!U51+'30'!U51</f>
        <v>0</v>
      </c>
      <c r="V51" s="51">
        <f>+'1'!V51+'3'!V51+'2'!V51+'6'!V51+'5'!V51+'4'!V51+'8'!V51+'7'!V51+'10'!V51+'9'!V51+'11'!V51+'12'!V51+'13'!V51+'15'!V51+'14'!V51+'16'!V51+'17'!V51+'19'!V51+'20'!V51+'22'!V51+'18'!V51+'21'!V51+'25'!V51+'23'!V51+'26'!V51+'24'!V51+'28'!V51+'27'!V51+'29'!V51+'31'!V51+'30'!V51</f>
        <v>0</v>
      </c>
      <c r="W51" s="51">
        <f>+'1'!W51+'3'!W51+'2'!W51+'6'!W51+'5'!W51+'4'!W51+'8'!W51+'7'!W51+'10'!W51+'9'!W51+'11'!W51+'12'!W51+'13'!W51+'15'!W51+'14'!W51+'16'!W51+'17'!W51+'19'!W51+'20'!W51+'22'!W51+'18'!W51+'21'!W51+'25'!W51+'23'!W51+'26'!W51+'24'!W51+'28'!W51+'27'!W51+'29'!W51+'31'!W51+'30'!W51</f>
        <v>0</v>
      </c>
      <c r="X51" s="51">
        <f>+'1'!X51+'3'!X51+'2'!X51+'6'!X51+'5'!X51+'4'!X51+'8'!X51+'7'!X51+'10'!X51+'9'!X51+'11'!X51+'12'!X51+'13'!X51+'15'!X51+'14'!X51+'16'!X51+'17'!X51+'19'!X51+'20'!X51+'22'!X51+'18'!X51+'21'!X51+'25'!X51+'23'!X51+'26'!X51+'24'!X51+'28'!X51+'27'!X51+'29'!X51+'31'!X51+'30'!X51</f>
        <v>0</v>
      </c>
      <c r="Y51" s="51">
        <f>+'1'!Y51+'3'!Y51+'2'!Y51+'6'!Y51+'5'!Y51+'4'!Y51+'8'!Y51+'7'!Y51+'10'!Y51+'9'!Y51+'11'!Y51+'12'!Y51+'13'!Y51+'15'!Y51+'14'!Y51+'16'!Y51+'17'!Y51+'19'!Y51+'20'!Y51+'22'!Y51+'18'!Y51+'21'!Y51+'25'!Y51+'23'!Y51+'26'!Y51+'24'!Y51+'28'!Y51+'27'!Y51+'29'!Y51+'31'!Y51+'30'!Y51</f>
        <v>0</v>
      </c>
      <c r="Z51" s="51">
        <f>+'1'!Z51+'3'!Z51+'2'!Z51+'6'!Z51+'5'!Z51+'4'!Z51+'8'!Z51+'7'!Z51+'10'!Z51+'9'!Z51+'11'!Z51+'12'!Z51+'13'!Z51+'15'!Z51+'14'!Z51+'16'!Z51+'17'!Z51+'19'!Z51+'20'!Z51+'22'!Z51+'18'!Z51+'21'!Z51+'25'!Z51+'23'!Z51+'26'!Z51+'24'!Z51+'28'!Z51+'27'!Z51+'29'!Z51+'31'!Z51+'30'!Z51</f>
        <v>0</v>
      </c>
      <c r="AA51" s="51">
        <f>+'1'!AA51+'3'!AA51+'2'!AA51+'6'!AA51+'5'!AA51+'4'!AA51+'8'!AA51+'7'!AA51+'10'!AA51+'9'!AA51+'11'!AA51+'12'!AA51+'13'!AA51+'15'!AA51+'14'!AA51+'16'!AA51+'17'!AA51+'19'!AA51+'20'!AA51+'22'!AA51+'18'!AA51+'21'!AA51+'25'!AA51+'23'!AA51+'26'!AA51+'24'!AA51+'28'!AA51+'27'!AA51+'29'!AA51+'31'!AA51+'30'!AA51</f>
        <v>0</v>
      </c>
      <c r="AB51" s="51">
        <f>+'1'!AB51+'3'!AB51+'2'!AB51+'6'!AB51+'5'!AB51+'4'!AB51+'8'!AB51+'7'!AB51+'10'!AB51+'9'!AB51+'11'!AB51+'12'!AB51+'13'!AB51+'15'!AB51+'14'!AB51+'16'!AB51+'17'!AB51+'19'!AB51+'20'!AB51+'22'!AB51+'18'!AB51+'21'!AB51+'25'!AB51+'23'!AB51+'26'!AB51+'24'!AB51+'28'!AB51+'27'!AB51+'29'!AB51+'31'!AB51+'30'!AB51</f>
        <v>0</v>
      </c>
      <c r="AC51" s="51">
        <f>+'1'!AC51+'3'!AC51+'2'!AC51+'6'!AC51+'5'!AC51+'4'!AC51+'8'!AC51+'7'!AC51+'10'!AC51+'9'!AC51+'11'!AC51+'12'!AC51+'13'!AC51+'15'!AC51+'14'!AC51+'16'!AC51+'17'!AC51+'19'!AC51+'20'!AC51+'22'!AC51+'18'!AC51+'21'!AC51+'25'!AC51+'23'!AC51+'26'!AC51+'24'!AC51+'28'!AC51+'27'!AC51+'29'!AC51+'31'!AC51+'30'!AC51</f>
        <v>0</v>
      </c>
      <c r="AD51" s="51">
        <f>+'1'!AD51+'3'!AD51+'2'!AD51+'6'!AD51+'5'!AD51+'4'!AD51+'8'!AD51+'7'!AD51+'10'!AD51+'9'!AD51+'11'!AD51+'12'!AD51+'13'!AD51+'15'!AD51+'14'!AD51+'16'!AD51+'17'!AD51+'19'!AD51+'20'!AD51+'22'!AD51+'18'!AD51+'21'!AD51+'25'!AD51+'23'!AD51+'26'!AD51+'24'!AD51+'28'!AD51+'27'!AD51+'29'!AD51+'31'!AD51+'30'!AD51</f>
        <v>0</v>
      </c>
      <c r="AE51" s="51">
        <f>+'1'!AE51+'3'!AE51+'2'!AE51+'6'!AE51+'5'!AE51+'4'!AE51+'8'!AE51+'7'!AE51+'10'!AE51+'9'!AE51+'11'!AE51+'12'!AE51+'13'!AE51+'15'!AE51+'14'!AE51+'16'!AE51+'17'!AE51+'19'!AE51+'20'!AE51+'22'!AE51+'18'!AE51+'21'!AE51+'25'!AE51+'23'!AE51+'26'!AE51+'24'!AE51+'28'!AE51+'27'!AE51+'29'!AE51+'31'!AE51+'30'!AE51</f>
        <v>0</v>
      </c>
      <c r="AF51" s="51">
        <f>+'1'!AF51+'3'!AF51+'2'!AF51+'6'!AF51+'5'!AF51+'4'!AF51+'8'!AF51+'7'!AF51+'10'!AF51+'9'!AF51+'11'!AF51+'12'!AF51+'13'!AF51+'15'!AF51+'14'!AF51+'16'!AF51+'17'!AF51+'19'!AF51+'20'!AF51+'22'!AF51+'18'!AF51+'21'!AF51+'25'!AF51+'23'!AF51+'26'!AF51+'24'!AF51+'28'!AF51+'27'!AF51+'29'!AF51+'31'!AF51+'30'!AF51</f>
        <v>0</v>
      </c>
      <c r="AG51" s="51">
        <f>+'1'!AG51+'3'!AG51+'2'!AG51+'6'!AG51+'5'!AG51+'4'!AG51+'8'!AG51+'7'!AG51+'10'!AG51+'9'!AG51+'11'!AG51+'12'!AG51+'13'!AG51+'15'!AG51+'14'!AG51+'16'!AG51+'17'!AG51+'19'!AG51+'20'!AG51+'22'!AG51+'18'!AG51+'21'!AG51+'25'!AG51+'23'!AG51+'26'!AG51+'24'!AG51+'28'!AG51+'27'!AG51+'29'!AG51+'31'!AG51+'30'!AG51</f>
        <v>0</v>
      </c>
      <c r="AH51" s="51">
        <f>+'1'!AH51+'3'!AH51+'2'!AH51+'6'!AH51+'5'!AH51+'4'!AH51+'8'!AH51+'7'!AH51+'10'!AH51+'9'!AH51+'11'!AH51+'12'!AH51+'13'!AH51+'15'!AH51+'14'!AH51+'16'!AH51+'17'!AH51+'19'!AH51+'20'!AH51+'22'!AH51+'18'!AH51+'21'!AH51+'25'!AH51+'23'!AH51+'26'!AH51+'24'!AH51+'28'!AH51+'27'!AH51+'29'!AH51+'31'!AH51+'30'!AH51</f>
        <v>0</v>
      </c>
      <c r="AI51" s="54">
        <f>+'1'!AI51+'3'!AI51+'2'!AI51+'6'!AI51+'5'!AI51+'4'!AI51+'8'!AI51+'7'!AI51+'10'!AI51+'9'!AI51+'11'!AI51+'12'!AI51+'13'!AI51+'15'!AI51+'14'!AI51+'16'!AI51+'17'!AI51+'19'!AI51+'20'!AI51+'22'!AI51+'18'!AI51+'21'!AI51+'25'!AI51+'23'!AI51+'26'!AI51+'24'!AI51+'28'!AI51+'27'!AI51+'29'!AI51+'31'!AI51+'30'!AI51</f>
        <v>0</v>
      </c>
      <c r="AJ51" s="57">
        <f>+'1'!AJ51+'3'!AJ51+'2'!AJ51+'6'!AJ51+'5'!AJ51+'4'!AJ51+'8'!AJ51+'7'!AJ51+'10'!AJ51+'9'!AJ51+'11'!AJ51+'12'!AJ51+'13'!AJ51+'15'!AJ51+'14'!AJ51+'16'!AJ51+'17'!AJ51+'19'!AJ51+'20'!AJ51+'22'!AJ51+'18'!AJ51+'21'!AJ51+'25'!AJ51+'23'!AJ51+'26'!AJ51+'24'!AJ51+'28'!AJ51+'27'!AJ51+'29'!AJ51+'31'!AJ51+'30'!AJ51</f>
        <v>0</v>
      </c>
      <c r="AK51" s="54">
        <f>+'1'!AK51+'3'!AK51+'2'!AK51+'6'!AK51+'5'!AK51+'4'!AK51+'8'!AK51+'7'!AK51+'10'!AK51+'9'!AK51+'11'!AK51+'12'!AK51+'13'!AK51+'15'!AK51+'14'!AK51+'16'!AK51+'17'!AK51+'19'!AK51+'20'!AK51+'22'!AK51+'18'!AK51+'21'!AK51+'25'!AK51+'23'!AK51+'26'!AK51+'24'!AK51+'28'!AK51+'27'!AK51+'29'!AK51+'31'!AK51+'30'!AK51</f>
        <v>0</v>
      </c>
      <c r="AL51" s="65">
        <f t="shared" si="6"/>
        <v>0</v>
      </c>
      <c r="AM51" s="22" t="str">
        <f t="shared" si="7"/>
        <v>OK</v>
      </c>
    </row>
    <row r="52" spans="1:39" customFormat="1" hidden="1">
      <c r="A52" s="68" t="s">
        <v>100</v>
      </c>
      <c r="B52" s="78">
        <v>11825</v>
      </c>
      <c r="C52" s="23" t="s">
        <v>83</v>
      </c>
      <c r="D52" s="24"/>
      <c r="E52" s="24"/>
      <c r="F52" s="24"/>
      <c r="G52" s="25"/>
      <c r="H52" s="26">
        <f>+'1'!H52+'3'!H52+'2'!H52+'6'!H52+'5'!H52+'4'!H52+'8'!H52+'7'!H52+'10'!H52+'9'!H52+'11'!H52+'12'!H52+'13'!H52+'15'!H52+'14'!H52+'16'!H52+'17'!H52+'19'!H52+'20'!H52+'22'!H52+'18'!H52+'21'!H52+'25'!H52+'23'!H52+'26'!H52+'24'!H52+'28'!H52+'27'!H52+'29'!H52+'31'!H52+'30'!H52</f>
        <v>0</v>
      </c>
      <c r="I52" s="27">
        <f>+'1'!I52+'3'!I52+'2'!I52+'6'!I52+'5'!I52+'4'!I52+'8'!I52+'7'!I52+'10'!I52+'9'!I52+'11'!I52+'12'!I52+'13'!I52+'15'!I52+'14'!I52+'16'!I52+'17'!I52+'19'!I52+'20'!I52+'22'!I52+'18'!I52+'21'!I52+'25'!I52+'23'!I52+'26'!I52+'24'!I52+'28'!I52+'27'!I52+'29'!I52+'31'!I52+'30'!I52</f>
        <v>0</v>
      </c>
      <c r="J52" s="27"/>
      <c r="K52" s="16"/>
      <c r="L52" s="27">
        <f>+'1'!L52+'3'!L52+'2'!L52+'6'!L52+'5'!L52+'4'!L52+'8'!L52+'7'!L52+'10'!L52+'9'!L52+'11'!L52+'12'!L52+'13'!L52+'15'!L52+'14'!L52+'16'!L52+'17'!L52+'19'!L52+'20'!L52+'22'!L52+'18'!L52+'21'!L52+'25'!L52+'23'!L52+'26'!L52+'24'!L52+'28'!L52+'27'!L52+'29'!L52+'31'!L52+'30'!L52</f>
        <v>0</v>
      </c>
      <c r="M52" s="27">
        <f>+'1'!M52+'3'!M52+'2'!M52+'6'!M52+'5'!M52+'4'!M52+'8'!M52+'7'!M52+'10'!M52+'9'!M52+'11'!M52+'12'!M52+'13'!M52+'15'!M52+'14'!M52+'16'!M52+'17'!M52+'19'!M52+'20'!M52+'22'!M52+'18'!M52+'21'!M52+'25'!M52+'23'!M52+'26'!M52+'24'!M52+'28'!M52+'27'!M52+'29'!M52+'31'!M52+'30'!M52</f>
        <v>0</v>
      </c>
      <c r="N52" s="27">
        <f>+'1'!N52+'3'!N52+'2'!N52+'6'!N52+'5'!N52+'4'!N52+'8'!N52+'7'!N52+'10'!N52+'9'!N52+'11'!N52+'12'!N52+'13'!N52+'15'!N52+'14'!N52+'16'!N52+'17'!N52+'19'!N52+'20'!N52+'22'!N52+'18'!N52+'21'!N52+'25'!N52+'23'!N52+'26'!N52+'24'!N52+'28'!N52+'27'!N52+'29'!N52+'31'!N52+'30'!N52</f>
        <v>0</v>
      </c>
      <c r="O52" s="27">
        <f>+'1'!O52+'3'!O52+'2'!O52+'6'!O52+'5'!O52+'4'!O52+'8'!O52+'7'!O52+'10'!O52+'9'!O52+'11'!O52+'12'!O52+'13'!O52+'15'!O52+'14'!O52+'16'!O52+'17'!O52+'19'!O52+'20'!O52+'22'!O52+'18'!O52+'21'!O52+'25'!O52+'23'!O52+'26'!O52+'24'!O52+'28'!O52+'27'!O52+'29'!O52+'31'!O52+'30'!O52</f>
        <v>0</v>
      </c>
      <c r="P52" s="27">
        <f>+'1'!P52+'3'!P52+'2'!P52+'6'!P52+'5'!P52+'4'!P52+'8'!P52+'7'!P52+'10'!P52+'9'!P52+'11'!P52+'12'!P52+'13'!P52+'15'!P52+'14'!P52+'16'!P52+'17'!P52+'19'!P52+'20'!P52+'22'!P52+'18'!P52+'21'!P52+'25'!P52+'23'!P52+'26'!P52+'24'!P52+'28'!P52+'27'!P52+'29'!P52+'31'!P52+'30'!P52</f>
        <v>0</v>
      </c>
      <c r="Q52" s="27">
        <f>+'1'!Q52+'3'!Q52+'2'!Q52+'6'!Q52+'5'!Q52+'4'!Q52+'8'!Q52+'7'!Q52+'10'!Q52+'9'!Q52+'11'!Q52+'12'!Q52+'13'!Q52+'15'!Q52+'14'!Q52+'16'!Q52+'17'!Q52+'19'!Q52+'20'!Q52+'22'!Q52+'18'!Q52+'21'!Q52+'25'!Q52+'23'!Q52+'26'!Q52+'24'!Q52+'28'!Q52+'27'!Q52+'29'!Q52+'31'!Q52+'30'!Q52</f>
        <v>0</v>
      </c>
      <c r="R52" s="27">
        <f>+'1'!R52+'3'!R52+'2'!R52+'6'!R52+'5'!R52+'4'!R52+'8'!R52+'7'!R52+'10'!R52+'9'!R52+'11'!R52+'12'!R52+'13'!R52+'15'!R52+'14'!R52+'16'!R52+'17'!R52+'19'!R52+'20'!R52+'22'!R52+'18'!R52+'21'!R52+'25'!R52+'23'!R52+'26'!R52+'24'!R52+'28'!R52+'27'!R52+'29'!R52+'31'!R52+'30'!R52</f>
        <v>0</v>
      </c>
      <c r="S52" s="27">
        <f>+'1'!S52+'3'!S52+'2'!S52+'6'!S52+'5'!S52+'4'!S52+'8'!S52+'7'!S52+'10'!S52+'9'!S52+'11'!S52+'12'!S52+'13'!S52+'15'!S52+'14'!S52+'16'!S52+'17'!S52+'19'!S52+'20'!S52+'22'!S52+'18'!S52+'21'!S52+'25'!S52+'23'!S52+'26'!S52+'24'!S52+'28'!S52+'27'!S52+'29'!S52+'31'!S52+'30'!S52</f>
        <v>0</v>
      </c>
      <c r="T52" s="43">
        <f>+'1'!T52+'3'!T52+'2'!T52+'6'!T52+'5'!T52+'4'!T52+'8'!T52+'7'!T52+'10'!T52+'9'!T52+'11'!T52+'12'!T52+'13'!T52+'15'!T52+'14'!T52+'16'!T52+'17'!T52+'19'!T52+'20'!T52+'22'!T52+'18'!T52+'21'!T52+'25'!T52+'23'!T52+'26'!T52+'24'!T52+'28'!T52+'27'!T52+'29'!T52+'31'!T52+'30'!T52</f>
        <v>0</v>
      </c>
      <c r="U52" s="52">
        <f>+'1'!U52+'3'!U52+'2'!U52+'6'!U52+'5'!U52+'4'!U52+'8'!U52+'7'!U52+'10'!U52+'9'!U52+'11'!U52+'12'!U52+'13'!U52+'15'!U52+'14'!U52+'16'!U52+'17'!U52+'19'!U52+'20'!U52+'22'!U52+'18'!U52+'21'!U52+'25'!U52+'23'!U52+'26'!U52+'24'!U52+'28'!U52+'27'!U52+'29'!U52+'31'!U52+'30'!U52</f>
        <v>0</v>
      </c>
      <c r="V52" s="52">
        <f>+'1'!V52+'3'!V52+'2'!V52+'6'!V52+'5'!V52+'4'!V52+'8'!V52+'7'!V52+'10'!V52+'9'!V52+'11'!V52+'12'!V52+'13'!V52+'15'!V52+'14'!V52+'16'!V52+'17'!V52+'19'!V52+'20'!V52+'22'!V52+'18'!V52+'21'!V52+'25'!V52+'23'!V52+'26'!V52+'24'!V52+'28'!V52+'27'!V52+'29'!V52+'31'!V52+'30'!V52</f>
        <v>0</v>
      </c>
      <c r="W52" s="52">
        <f>+'1'!W52+'3'!W52+'2'!W52+'6'!W52+'5'!W52+'4'!W52+'8'!W52+'7'!W52+'10'!W52+'9'!W52+'11'!W52+'12'!W52+'13'!W52+'15'!W52+'14'!W52+'16'!W52+'17'!W52+'19'!W52+'20'!W52+'22'!W52+'18'!W52+'21'!W52+'25'!W52+'23'!W52+'26'!W52+'24'!W52+'28'!W52+'27'!W52+'29'!W52+'31'!W52+'30'!W52</f>
        <v>0</v>
      </c>
      <c r="X52" s="52">
        <f>+'1'!X52+'3'!X52+'2'!X52+'6'!X52+'5'!X52+'4'!X52+'8'!X52+'7'!X52+'10'!X52+'9'!X52+'11'!X52+'12'!X52+'13'!X52+'15'!X52+'14'!X52+'16'!X52+'17'!X52+'19'!X52+'20'!X52+'22'!X52+'18'!X52+'21'!X52+'25'!X52+'23'!X52+'26'!X52+'24'!X52+'28'!X52+'27'!X52+'29'!X52+'31'!X52+'30'!X52</f>
        <v>0</v>
      </c>
      <c r="Y52" s="52">
        <f>+'1'!Y52+'3'!Y52+'2'!Y52+'6'!Y52+'5'!Y52+'4'!Y52+'8'!Y52+'7'!Y52+'10'!Y52+'9'!Y52+'11'!Y52+'12'!Y52+'13'!Y52+'15'!Y52+'14'!Y52+'16'!Y52+'17'!Y52+'19'!Y52+'20'!Y52+'22'!Y52+'18'!Y52+'21'!Y52+'25'!Y52+'23'!Y52+'26'!Y52+'24'!Y52+'28'!Y52+'27'!Y52+'29'!Y52+'31'!Y52+'30'!Y52</f>
        <v>0</v>
      </c>
      <c r="Z52" s="52">
        <f>+'1'!Z52+'3'!Z52+'2'!Z52+'6'!Z52+'5'!Z52+'4'!Z52+'8'!Z52+'7'!Z52+'10'!Z52+'9'!Z52+'11'!Z52+'12'!Z52+'13'!Z52+'15'!Z52+'14'!Z52+'16'!Z52+'17'!Z52+'19'!Z52+'20'!Z52+'22'!Z52+'18'!Z52+'21'!Z52+'25'!Z52+'23'!Z52+'26'!Z52+'24'!Z52+'28'!Z52+'27'!Z52+'29'!Z52+'31'!Z52+'30'!Z52</f>
        <v>0</v>
      </c>
      <c r="AA52" s="52">
        <f>+'1'!AA52+'3'!AA52+'2'!AA52+'6'!AA52+'5'!AA52+'4'!AA52+'8'!AA52+'7'!AA52+'10'!AA52+'9'!AA52+'11'!AA52+'12'!AA52+'13'!AA52+'15'!AA52+'14'!AA52+'16'!AA52+'17'!AA52+'19'!AA52+'20'!AA52+'22'!AA52+'18'!AA52+'21'!AA52+'25'!AA52+'23'!AA52+'26'!AA52+'24'!AA52+'28'!AA52+'27'!AA52+'29'!AA52+'31'!AA52+'30'!AA52</f>
        <v>0</v>
      </c>
      <c r="AB52" s="52">
        <f>+'1'!AB52+'3'!AB52+'2'!AB52+'6'!AB52+'5'!AB52+'4'!AB52+'8'!AB52+'7'!AB52+'10'!AB52+'9'!AB52+'11'!AB52+'12'!AB52+'13'!AB52+'15'!AB52+'14'!AB52+'16'!AB52+'17'!AB52+'19'!AB52+'20'!AB52+'22'!AB52+'18'!AB52+'21'!AB52+'25'!AB52+'23'!AB52+'26'!AB52+'24'!AB52+'28'!AB52+'27'!AB52+'29'!AB52+'31'!AB52+'30'!AB52</f>
        <v>0</v>
      </c>
      <c r="AC52" s="52">
        <f>+'1'!AC52+'3'!AC52+'2'!AC52+'6'!AC52+'5'!AC52+'4'!AC52+'8'!AC52+'7'!AC52+'10'!AC52+'9'!AC52+'11'!AC52+'12'!AC52+'13'!AC52+'15'!AC52+'14'!AC52+'16'!AC52+'17'!AC52+'19'!AC52+'20'!AC52+'22'!AC52+'18'!AC52+'21'!AC52+'25'!AC52+'23'!AC52+'26'!AC52+'24'!AC52+'28'!AC52+'27'!AC52+'29'!AC52+'31'!AC52+'30'!AC52</f>
        <v>0</v>
      </c>
      <c r="AD52" s="52">
        <f>+'1'!AD52+'3'!AD52+'2'!AD52+'6'!AD52+'5'!AD52+'4'!AD52+'8'!AD52+'7'!AD52+'10'!AD52+'9'!AD52+'11'!AD52+'12'!AD52+'13'!AD52+'15'!AD52+'14'!AD52+'16'!AD52+'17'!AD52+'19'!AD52+'20'!AD52+'22'!AD52+'18'!AD52+'21'!AD52+'25'!AD52+'23'!AD52+'26'!AD52+'24'!AD52+'28'!AD52+'27'!AD52+'29'!AD52+'31'!AD52+'30'!AD52</f>
        <v>0</v>
      </c>
      <c r="AE52" s="52">
        <f>+'1'!AE52+'3'!AE52+'2'!AE52+'6'!AE52+'5'!AE52+'4'!AE52+'8'!AE52+'7'!AE52+'10'!AE52+'9'!AE52+'11'!AE52+'12'!AE52+'13'!AE52+'15'!AE52+'14'!AE52+'16'!AE52+'17'!AE52+'19'!AE52+'20'!AE52+'22'!AE52+'18'!AE52+'21'!AE52+'25'!AE52+'23'!AE52+'26'!AE52+'24'!AE52+'28'!AE52+'27'!AE52+'29'!AE52+'31'!AE52+'30'!AE52</f>
        <v>0</v>
      </c>
      <c r="AF52" s="52">
        <f>+'1'!AF52+'3'!AF52+'2'!AF52+'6'!AF52+'5'!AF52+'4'!AF52+'8'!AF52+'7'!AF52+'10'!AF52+'9'!AF52+'11'!AF52+'12'!AF52+'13'!AF52+'15'!AF52+'14'!AF52+'16'!AF52+'17'!AF52+'19'!AF52+'20'!AF52+'22'!AF52+'18'!AF52+'21'!AF52+'25'!AF52+'23'!AF52+'26'!AF52+'24'!AF52+'28'!AF52+'27'!AF52+'29'!AF52+'31'!AF52+'30'!AF52</f>
        <v>0</v>
      </c>
      <c r="AG52" s="52">
        <f>+'1'!AG52+'3'!AG52+'2'!AG52+'6'!AG52+'5'!AG52+'4'!AG52+'8'!AG52+'7'!AG52+'10'!AG52+'9'!AG52+'11'!AG52+'12'!AG52+'13'!AG52+'15'!AG52+'14'!AG52+'16'!AG52+'17'!AG52+'19'!AG52+'20'!AG52+'22'!AG52+'18'!AG52+'21'!AG52+'25'!AG52+'23'!AG52+'26'!AG52+'24'!AG52+'28'!AG52+'27'!AG52+'29'!AG52+'31'!AG52+'30'!AG52</f>
        <v>0</v>
      </c>
      <c r="AH52" s="52">
        <f>+'1'!AH52+'3'!AH52+'2'!AH52+'6'!AH52+'5'!AH52+'4'!AH52+'8'!AH52+'7'!AH52+'10'!AH52+'9'!AH52+'11'!AH52+'12'!AH52+'13'!AH52+'15'!AH52+'14'!AH52+'16'!AH52+'17'!AH52+'19'!AH52+'20'!AH52+'22'!AH52+'18'!AH52+'21'!AH52+'25'!AH52+'23'!AH52+'26'!AH52+'24'!AH52+'28'!AH52+'27'!AH52+'29'!AH52+'31'!AH52+'30'!AH52</f>
        <v>0</v>
      </c>
      <c r="AI52" s="55">
        <f>+'1'!AI52+'3'!AI52+'2'!AI52+'6'!AI52+'5'!AI52+'4'!AI52+'8'!AI52+'7'!AI52+'10'!AI52+'9'!AI52+'11'!AI52+'12'!AI52+'13'!AI52+'15'!AI52+'14'!AI52+'16'!AI52+'17'!AI52+'19'!AI52+'20'!AI52+'22'!AI52+'18'!AI52+'21'!AI52+'25'!AI52+'23'!AI52+'26'!AI52+'24'!AI52+'28'!AI52+'27'!AI52+'29'!AI52+'31'!AI52+'30'!AI52</f>
        <v>0</v>
      </c>
      <c r="AJ52" s="58">
        <f>+'1'!AJ52+'3'!AJ52+'2'!AJ52+'6'!AJ52+'5'!AJ52+'4'!AJ52+'8'!AJ52+'7'!AJ52+'10'!AJ52+'9'!AJ52+'11'!AJ52+'12'!AJ52+'13'!AJ52+'15'!AJ52+'14'!AJ52+'16'!AJ52+'17'!AJ52+'19'!AJ52+'20'!AJ52+'22'!AJ52+'18'!AJ52+'21'!AJ52+'25'!AJ52+'23'!AJ52+'26'!AJ52+'24'!AJ52+'28'!AJ52+'27'!AJ52+'29'!AJ52+'31'!AJ52+'30'!AJ52</f>
        <v>0</v>
      </c>
      <c r="AK52" s="55">
        <f>+'1'!AK52+'3'!AK52+'2'!AK52+'6'!AK52+'5'!AK52+'4'!AK52+'8'!AK52+'7'!AK52+'10'!AK52+'9'!AK52+'11'!AK52+'12'!AK52+'13'!AK52+'15'!AK52+'14'!AK52+'16'!AK52+'17'!AK52+'19'!AK52+'20'!AK52+'22'!AK52+'18'!AK52+'21'!AK52+'25'!AK52+'23'!AK52+'26'!AK52+'24'!AK52+'28'!AK52+'27'!AK52+'29'!AK52+'31'!AK52+'30'!AK52</f>
        <v>0</v>
      </c>
      <c r="AL52" s="66">
        <f t="shared" si="6"/>
        <v>0</v>
      </c>
      <c r="AM52" s="28" t="str">
        <f t="shared" si="7"/>
        <v>OK</v>
      </c>
    </row>
    <row r="53" spans="1:39" customFormat="1" hidden="1">
      <c r="A53" s="17" t="s">
        <v>101</v>
      </c>
      <c r="B53" s="77">
        <v>11826</v>
      </c>
      <c r="C53" s="17" t="s">
        <v>83</v>
      </c>
      <c r="D53" s="69"/>
      <c r="E53" s="18"/>
      <c r="F53" s="18"/>
      <c r="G53" s="19"/>
      <c r="H53" s="20">
        <f>+'1'!H53+'3'!H53+'2'!H53+'6'!H53+'5'!H53+'4'!H53+'8'!H53+'7'!H53+'10'!H53+'9'!H53+'11'!H53+'12'!H53+'13'!H53+'15'!H53+'14'!H53+'16'!H53+'17'!H53+'19'!H53+'20'!H53+'22'!H53+'18'!H53+'21'!H53+'25'!H53+'23'!H53+'26'!H53+'24'!H53+'28'!H53+'27'!H53+'29'!H53+'31'!H53+'30'!H53</f>
        <v>0</v>
      </c>
      <c r="I53" s="21">
        <f>+'1'!I53+'3'!I53+'2'!I53+'6'!I53+'5'!I53+'4'!I53+'8'!I53+'7'!I53+'10'!I53+'9'!I53+'11'!I53+'12'!I53+'13'!I53+'15'!I53+'14'!I53+'16'!I53+'17'!I53+'19'!I53+'20'!I53+'22'!I53+'18'!I53+'21'!I53+'25'!I53+'23'!I53+'26'!I53+'24'!I53+'28'!I53+'27'!I53+'29'!I53+'31'!I53+'30'!I53</f>
        <v>0</v>
      </c>
      <c r="J53" s="21"/>
      <c r="K53" s="16"/>
      <c r="L53" s="21">
        <f>+'1'!L53+'3'!L53+'2'!L53+'6'!L53+'5'!L53+'4'!L53+'8'!L53+'7'!L53+'10'!L53+'9'!L53+'11'!L53+'12'!L53+'13'!L53+'15'!L53+'14'!L53+'16'!L53+'17'!L53+'19'!L53+'20'!L53+'22'!L53+'18'!L53+'21'!L53+'25'!L53+'23'!L53+'26'!L53+'24'!L53+'28'!L53+'27'!L53+'29'!L53+'31'!L53+'30'!L53</f>
        <v>0</v>
      </c>
      <c r="M53" s="21">
        <f>+'1'!M53+'3'!M53+'2'!M53+'6'!M53+'5'!M53+'4'!M53+'8'!M53+'7'!M53+'10'!M53+'9'!M53+'11'!M53+'12'!M53+'13'!M53+'15'!M53+'14'!M53+'16'!M53+'17'!M53+'19'!M53+'20'!M53+'22'!M53+'18'!M53+'21'!M53+'25'!M53+'23'!M53+'26'!M53+'24'!M53+'28'!M53+'27'!M53+'29'!M53+'31'!M53+'30'!M53</f>
        <v>0</v>
      </c>
      <c r="N53" s="21">
        <f>+'1'!N53+'3'!N53+'2'!N53+'6'!N53+'5'!N53+'4'!N53+'8'!N53+'7'!N53+'10'!N53+'9'!N53+'11'!N53+'12'!N53+'13'!N53+'15'!N53+'14'!N53+'16'!N53+'17'!N53+'19'!N53+'20'!N53+'22'!N53+'18'!N53+'21'!N53+'25'!N53+'23'!N53+'26'!N53+'24'!N53+'28'!N53+'27'!N53+'29'!N53+'31'!N53+'30'!N53</f>
        <v>0</v>
      </c>
      <c r="O53" s="21">
        <f>+'1'!O53+'3'!O53+'2'!O53+'6'!O53+'5'!O53+'4'!O53+'8'!O53+'7'!O53+'10'!O53+'9'!O53+'11'!O53+'12'!O53+'13'!O53+'15'!O53+'14'!O53+'16'!O53+'17'!O53+'19'!O53+'20'!O53+'22'!O53+'18'!O53+'21'!O53+'25'!O53+'23'!O53+'26'!O53+'24'!O53+'28'!O53+'27'!O53+'29'!O53+'31'!O53+'30'!O53</f>
        <v>0</v>
      </c>
      <c r="P53" s="21">
        <f>+'1'!P53+'3'!P53+'2'!P53+'6'!P53+'5'!P53+'4'!P53+'8'!P53+'7'!P53+'10'!P53+'9'!P53+'11'!P53+'12'!P53+'13'!P53+'15'!P53+'14'!P53+'16'!P53+'17'!P53+'19'!P53+'20'!P53+'22'!P53+'18'!P53+'21'!P53+'25'!P53+'23'!P53+'26'!P53+'24'!P53+'28'!P53+'27'!P53+'29'!P53+'31'!P53+'30'!P53</f>
        <v>0</v>
      </c>
      <c r="Q53" s="21">
        <f>+'1'!Q53+'3'!Q53+'2'!Q53+'6'!Q53+'5'!Q53+'4'!Q53+'8'!Q53+'7'!Q53+'10'!Q53+'9'!Q53+'11'!Q53+'12'!Q53+'13'!Q53+'15'!Q53+'14'!Q53+'16'!Q53+'17'!Q53+'19'!Q53+'20'!Q53+'22'!Q53+'18'!Q53+'21'!Q53+'25'!Q53+'23'!Q53+'26'!Q53+'24'!Q53+'28'!Q53+'27'!Q53+'29'!Q53+'31'!Q53+'30'!Q53</f>
        <v>0</v>
      </c>
      <c r="R53" s="21">
        <f>+'1'!R53+'3'!R53+'2'!R53+'6'!R53+'5'!R53+'4'!R53+'8'!R53+'7'!R53+'10'!R53+'9'!R53+'11'!R53+'12'!R53+'13'!R53+'15'!R53+'14'!R53+'16'!R53+'17'!R53+'19'!R53+'20'!R53+'22'!R53+'18'!R53+'21'!R53+'25'!R53+'23'!R53+'26'!R53+'24'!R53+'28'!R53+'27'!R53+'29'!R53+'31'!R53+'30'!R53</f>
        <v>0</v>
      </c>
      <c r="S53" s="21">
        <f>+'1'!S53+'3'!S53+'2'!S53+'6'!S53+'5'!S53+'4'!S53+'8'!S53+'7'!S53+'10'!S53+'9'!S53+'11'!S53+'12'!S53+'13'!S53+'15'!S53+'14'!S53+'16'!S53+'17'!S53+'19'!S53+'20'!S53+'22'!S53+'18'!S53+'21'!S53+'25'!S53+'23'!S53+'26'!S53+'24'!S53+'28'!S53+'27'!S53+'29'!S53+'31'!S53+'30'!S53</f>
        <v>0</v>
      </c>
      <c r="T53" s="42">
        <f>+'1'!T53+'3'!T53+'2'!T53+'6'!T53+'5'!T53+'4'!T53+'8'!T53+'7'!T53+'10'!T53+'9'!T53+'11'!T53+'12'!T53+'13'!T53+'15'!T53+'14'!T53+'16'!T53+'17'!T53+'19'!T53+'20'!T53+'22'!T53+'18'!T53+'21'!T53+'25'!T53+'23'!T53+'26'!T53+'24'!T53+'28'!T53+'27'!T53+'29'!T53+'31'!T53+'30'!T53</f>
        <v>0</v>
      </c>
      <c r="U53" s="51">
        <f>+'1'!U53+'3'!U53+'2'!U53+'6'!U53+'5'!U53+'4'!U53+'8'!U53+'7'!U53+'10'!U53+'9'!U53+'11'!U53+'12'!U53+'13'!U53+'15'!U53+'14'!U53+'16'!U53+'17'!U53+'19'!U53+'20'!U53+'22'!U53+'18'!U53+'21'!U53+'25'!U53+'23'!U53+'26'!U53+'24'!U53+'28'!U53+'27'!U53+'29'!U53+'31'!U53+'30'!U53</f>
        <v>0</v>
      </c>
      <c r="V53" s="51">
        <f>+'1'!V53+'3'!V53+'2'!V53+'6'!V53+'5'!V53+'4'!V53+'8'!V53+'7'!V53+'10'!V53+'9'!V53+'11'!V53+'12'!V53+'13'!V53+'15'!V53+'14'!V53+'16'!V53+'17'!V53+'19'!V53+'20'!V53+'22'!V53+'18'!V53+'21'!V53+'25'!V53+'23'!V53+'26'!V53+'24'!V53+'28'!V53+'27'!V53+'29'!V53+'31'!V53+'30'!V53</f>
        <v>0</v>
      </c>
      <c r="W53" s="51">
        <f>+'1'!W53+'3'!W53+'2'!W53+'6'!W53+'5'!W53+'4'!W53+'8'!W53+'7'!W53+'10'!W53+'9'!W53+'11'!W53+'12'!W53+'13'!W53+'15'!W53+'14'!W53+'16'!W53+'17'!W53+'19'!W53+'20'!W53+'22'!W53+'18'!W53+'21'!W53+'25'!W53+'23'!W53+'26'!W53+'24'!W53+'28'!W53+'27'!W53+'29'!W53+'31'!W53+'30'!W53</f>
        <v>0</v>
      </c>
      <c r="X53" s="51">
        <f>+'1'!X53+'3'!X53+'2'!X53+'6'!X53+'5'!X53+'4'!X53+'8'!X53+'7'!X53+'10'!X53+'9'!X53+'11'!X53+'12'!X53+'13'!X53+'15'!X53+'14'!X53+'16'!X53+'17'!X53+'19'!X53+'20'!X53+'22'!X53+'18'!X53+'21'!X53+'25'!X53+'23'!X53+'26'!X53+'24'!X53+'28'!X53+'27'!X53+'29'!X53+'31'!X53+'30'!X53</f>
        <v>0</v>
      </c>
      <c r="Y53" s="51">
        <f>+'1'!Y53+'3'!Y53+'2'!Y53+'6'!Y53+'5'!Y53+'4'!Y53+'8'!Y53+'7'!Y53+'10'!Y53+'9'!Y53+'11'!Y53+'12'!Y53+'13'!Y53+'15'!Y53+'14'!Y53+'16'!Y53+'17'!Y53+'19'!Y53+'20'!Y53+'22'!Y53+'18'!Y53+'21'!Y53+'25'!Y53+'23'!Y53+'26'!Y53+'24'!Y53+'28'!Y53+'27'!Y53+'29'!Y53+'31'!Y53+'30'!Y53</f>
        <v>0</v>
      </c>
      <c r="Z53" s="51">
        <f>+'1'!Z53+'3'!Z53+'2'!Z53+'6'!Z53+'5'!Z53+'4'!Z53+'8'!Z53+'7'!Z53+'10'!Z53+'9'!Z53+'11'!Z53+'12'!Z53+'13'!Z53+'15'!Z53+'14'!Z53+'16'!Z53+'17'!Z53+'19'!Z53+'20'!Z53+'22'!Z53+'18'!Z53+'21'!Z53+'25'!Z53+'23'!Z53+'26'!Z53+'24'!Z53+'28'!Z53+'27'!Z53+'29'!Z53+'31'!Z53+'30'!Z53</f>
        <v>0</v>
      </c>
      <c r="AA53" s="51">
        <f>+'1'!AA53+'3'!AA53+'2'!AA53+'6'!AA53+'5'!AA53+'4'!AA53+'8'!AA53+'7'!AA53+'10'!AA53+'9'!AA53+'11'!AA53+'12'!AA53+'13'!AA53+'15'!AA53+'14'!AA53+'16'!AA53+'17'!AA53+'19'!AA53+'20'!AA53+'22'!AA53+'18'!AA53+'21'!AA53+'25'!AA53+'23'!AA53+'26'!AA53+'24'!AA53+'28'!AA53+'27'!AA53+'29'!AA53+'31'!AA53+'30'!AA53</f>
        <v>0</v>
      </c>
      <c r="AB53" s="51">
        <f>+'1'!AB53+'3'!AB53+'2'!AB53+'6'!AB53+'5'!AB53+'4'!AB53+'8'!AB53+'7'!AB53+'10'!AB53+'9'!AB53+'11'!AB53+'12'!AB53+'13'!AB53+'15'!AB53+'14'!AB53+'16'!AB53+'17'!AB53+'19'!AB53+'20'!AB53+'22'!AB53+'18'!AB53+'21'!AB53+'25'!AB53+'23'!AB53+'26'!AB53+'24'!AB53+'28'!AB53+'27'!AB53+'29'!AB53+'31'!AB53+'30'!AB53</f>
        <v>0</v>
      </c>
      <c r="AC53" s="51">
        <f>+'1'!AC53+'3'!AC53+'2'!AC53+'6'!AC53+'5'!AC53+'4'!AC53+'8'!AC53+'7'!AC53+'10'!AC53+'9'!AC53+'11'!AC53+'12'!AC53+'13'!AC53+'15'!AC53+'14'!AC53+'16'!AC53+'17'!AC53+'19'!AC53+'20'!AC53+'22'!AC53+'18'!AC53+'21'!AC53+'25'!AC53+'23'!AC53+'26'!AC53+'24'!AC53+'28'!AC53+'27'!AC53+'29'!AC53+'31'!AC53+'30'!AC53</f>
        <v>0</v>
      </c>
      <c r="AD53" s="51">
        <f>+'1'!AD53+'3'!AD53+'2'!AD53+'6'!AD53+'5'!AD53+'4'!AD53+'8'!AD53+'7'!AD53+'10'!AD53+'9'!AD53+'11'!AD53+'12'!AD53+'13'!AD53+'15'!AD53+'14'!AD53+'16'!AD53+'17'!AD53+'19'!AD53+'20'!AD53+'22'!AD53+'18'!AD53+'21'!AD53+'25'!AD53+'23'!AD53+'26'!AD53+'24'!AD53+'28'!AD53+'27'!AD53+'29'!AD53+'31'!AD53+'30'!AD53</f>
        <v>0</v>
      </c>
      <c r="AE53" s="51">
        <f>+'1'!AE53+'3'!AE53+'2'!AE53+'6'!AE53+'5'!AE53+'4'!AE53+'8'!AE53+'7'!AE53+'10'!AE53+'9'!AE53+'11'!AE53+'12'!AE53+'13'!AE53+'15'!AE53+'14'!AE53+'16'!AE53+'17'!AE53+'19'!AE53+'20'!AE53+'22'!AE53+'18'!AE53+'21'!AE53+'25'!AE53+'23'!AE53+'26'!AE53+'24'!AE53+'28'!AE53+'27'!AE53+'29'!AE53+'31'!AE53+'30'!AE53</f>
        <v>0</v>
      </c>
      <c r="AF53" s="51">
        <f>+'1'!AF53+'3'!AF53+'2'!AF53+'6'!AF53+'5'!AF53+'4'!AF53+'8'!AF53+'7'!AF53+'10'!AF53+'9'!AF53+'11'!AF53+'12'!AF53+'13'!AF53+'15'!AF53+'14'!AF53+'16'!AF53+'17'!AF53+'19'!AF53+'20'!AF53+'22'!AF53+'18'!AF53+'21'!AF53+'25'!AF53+'23'!AF53+'26'!AF53+'24'!AF53+'28'!AF53+'27'!AF53+'29'!AF53+'31'!AF53+'30'!AF53</f>
        <v>0</v>
      </c>
      <c r="AG53" s="51">
        <f>+'1'!AG53+'3'!AG53+'2'!AG53+'6'!AG53+'5'!AG53+'4'!AG53+'8'!AG53+'7'!AG53+'10'!AG53+'9'!AG53+'11'!AG53+'12'!AG53+'13'!AG53+'15'!AG53+'14'!AG53+'16'!AG53+'17'!AG53+'19'!AG53+'20'!AG53+'22'!AG53+'18'!AG53+'21'!AG53+'25'!AG53+'23'!AG53+'26'!AG53+'24'!AG53+'28'!AG53+'27'!AG53+'29'!AG53+'31'!AG53+'30'!AG53</f>
        <v>0</v>
      </c>
      <c r="AH53" s="51">
        <f>+'1'!AH53+'3'!AH53+'2'!AH53+'6'!AH53+'5'!AH53+'4'!AH53+'8'!AH53+'7'!AH53+'10'!AH53+'9'!AH53+'11'!AH53+'12'!AH53+'13'!AH53+'15'!AH53+'14'!AH53+'16'!AH53+'17'!AH53+'19'!AH53+'20'!AH53+'22'!AH53+'18'!AH53+'21'!AH53+'25'!AH53+'23'!AH53+'26'!AH53+'24'!AH53+'28'!AH53+'27'!AH53+'29'!AH53+'31'!AH53+'30'!AH53</f>
        <v>0</v>
      </c>
      <c r="AI53" s="54">
        <f>+'1'!AI53+'3'!AI53+'2'!AI53+'6'!AI53+'5'!AI53+'4'!AI53+'8'!AI53+'7'!AI53+'10'!AI53+'9'!AI53+'11'!AI53+'12'!AI53+'13'!AI53+'15'!AI53+'14'!AI53+'16'!AI53+'17'!AI53+'19'!AI53+'20'!AI53+'22'!AI53+'18'!AI53+'21'!AI53+'25'!AI53+'23'!AI53+'26'!AI53+'24'!AI53+'28'!AI53+'27'!AI53+'29'!AI53+'31'!AI53+'30'!AI53</f>
        <v>0</v>
      </c>
      <c r="AJ53" s="57">
        <f>+'1'!AJ53+'3'!AJ53+'2'!AJ53+'6'!AJ53+'5'!AJ53+'4'!AJ53+'8'!AJ53+'7'!AJ53+'10'!AJ53+'9'!AJ53+'11'!AJ53+'12'!AJ53+'13'!AJ53+'15'!AJ53+'14'!AJ53+'16'!AJ53+'17'!AJ53+'19'!AJ53+'20'!AJ53+'22'!AJ53+'18'!AJ53+'21'!AJ53+'25'!AJ53+'23'!AJ53+'26'!AJ53+'24'!AJ53+'28'!AJ53+'27'!AJ53+'29'!AJ53+'31'!AJ53+'30'!AJ53</f>
        <v>0</v>
      </c>
      <c r="AK53" s="54">
        <f>+'1'!AK53+'3'!AK53+'2'!AK53+'6'!AK53+'5'!AK53+'4'!AK53+'8'!AK53+'7'!AK53+'10'!AK53+'9'!AK53+'11'!AK53+'12'!AK53+'13'!AK53+'15'!AK53+'14'!AK53+'16'!AK53+'17'!AK53+'19'!AK53+'20'!AK53+'22'!AK53+'18'!AK53+'21'!AK53+'25'!AK53+'23'!AK53+'26'!AK53+'24'!AK53+'28'!AK53+'27'!AK53+'29'!AK53+'31'!AK53+'30'!AK53</f>
        <v>0</v>
      </c>
      <c r="AL53" s="65">
        <f t="shared" si="6"/>
        <v>0</v>
      </c>
      <c r="AM53" s="22" t="str">
        <f t="shared" si="7"/>
        <v>OK</v>
      </c>
    </row>
    <row r="54" spans="1:39" customFormat="1" hidden="1">
      <c r="A54" s="68" t="s">
        <v>102</v>
      </c>
      <c r="B54" s="78">
        <v>11827</v>
      </c>
      <c r="C54" s="23" t="s">
        <v>83</v>
      </c>
      <c r="D54" s="24"/>
      <c r="E54" s="24"/>
      <c r="F54" s="24"/>
      <c r="G54" s="25"/>
      <c r="H54" s="26">
        <f>+'1'!H54+'3'!H54+'2'!H54+'6'!H54+'5'!H54+'4'!H54+'8'!H54+'7'!H54+'10'!H54+'9'!H54+'11'!H54+'12'!H54+'13'!H54+'15'!H54+'14'!H54+'16'!H54+'17'!H54+'19'!H54+'20'!H54+'22'!H54+'18'!H54+'21'!H54+'25'!H54+'23'!H54+'26'!H54+'24'!H54+'28'!H54+'27'!H54+'29'!H54+'31'!H54+'30'!H54</f>
        <v>0</v>
      </c>
      <c r="I54" s="27">
        <f>+'1'!I54+'3'!I54+'2'!I54+'6'!I54+'5'!I54+'4'!I54+'8'!I54+'7'!I54+'10'!I54+'9'!I54+'11'!I54+'12'!I54+'13'!I54+'15'!I54+'14'!I54+'16'!I54+'17'!I54+'19'!I54+'20'!I54+'22'!I54+'18'!I54+'21'!I54+'25'!I54+'23'!I54+'26'!I54+'24'!I54+'28'!I54+'27'!I54+'29'!I54+'31'!I54+'30'!I54</f>
        <v>0</v>
      </c>
      <c r="J54" s="27"/>
      <c r="K54" s="16"/>
      <c r="L54" s="27">
        <f>+'1'!L54+'3'!L54+'2'!L54+'6'!L54+'5'!L54+'4'!L54+'8'!L54+'7'!L54+'10'!L54+'9'!L54+'11'!L54+'12'!L54+'13'!L54+'15'!L54+'14'!L54+'16'!L54+'17'!L54+'19'!L54+'20'!L54+'22'!L54+'18'!L54+'21'!L54+'25'!L54+'23'!L54+'26'!L54+'24'!L54+'28'!L54+'27'!L54+'29'!L54+'31'!L54+'30'!L54</f>
        <v>0</v>
      </c>
      <c r="M54" s="27">
        <f>+'1'!M54+'3'!M54+'2'!M54+'6'!M54+'5'!M54+'4'!M54+'8'!M54+'7'!M54+'10'!M54+'9'!M54+'11'!M54+'12'!M54+'13'!M54+'15'!M54+'14'!M54+'16'!M54+'17'!M54+'19'!M54+'20'!M54+'22'!M54+'18'!M54+'21'!M54+'25'!M54+'23'!M54+'26'!M54+'24'!M54+'28'!M54+'27'!M54+'29'!M54+'31'!M54+'30'!M54</f>
        <v>0</v>
      </c>
      <c r="N54" s="27">
        <f>+'1'!N54+'3'!N54+'2'!N54+'6'!N54+'5'!N54+'4'!N54+'8'!N54+'7'!N54+'10'!N54+'9'!N54+'11'!N54+'12'!N54+'13'!N54+'15'!N54+'14'!N54+'16'!N54+'17'!N54+'19'!N54+'20'!N54+'22'!N54+'18'!N54+'21'!N54+'25'!N54+'23'!N54+'26'!N54+'24'!N54+'28'!N54+'27'!N54+'29'!N54+'31'!N54+'30'!N54</f>
        <v>0</v>
      </c>
      <c r="O54" s="27">
        <f>+'1'!O54+'3'!O54+'2'!O54+'6'!O54+'5'!O54+'4'!O54+'8'!O54+'7'!O54+'10'!O54+'9'!O54+'11'!O54+'12'!O54+'13'!O54+'15'!O54+'14'!O54+'16'!O54+'17'!O54+'19'!O54+'20'!O54+'22'!O54+'18'!O54+'21'!O54+'25'!O54+'23'!O54+'26'!O54+'24'!O54+'28'!O54+'27'!O54+'29'!O54+'31'!O54+'30'!O54</f>
        <v>0</v>
      </c>
      <c r="P54" s="27">
        <f>+'1'!P54+'3'!P54+'2'!P54+'6'!P54+'5'!P54+'4'!P54+'8'!P54+'7'!P54+'10'!P54+'9'!P54+'11'!P54+'12'!P54+'13'!P54+'15'!P54+'14'!P54+'16'!P54+'17'!P54+'19'!P54+'20'!P54+'22'!P54+'18'!P54+'21'!P54+'25'!P54+'23'!P54+'26'!P54+'24'!P54+'28'!P54+'27'!P54+'29'!P54+'31'!P54+'30'!P54</f>
        <v>0</v>
      </c>
      <c r="Q54" s="27">
        <f>+'1'!Q54+'3'!Q54+'2'!Q54+'6'!Q54+'5'!Q54+'4'!Q54+'8'!Q54+'7'!Q54+'10'!Q54+'9'!Q54+'11'!Q54+'12'!Q54+'13'!Q54+'15'!Q54+'14'!Q54+'16'!Q54+'17'!Q54+'19'!Q54+'20'!Q54+'22'!Q54+'18'!Q54+'21'!Q54+'25'!Q54+'23'!Q54+'26'!Q54+'24'!Q54+'28'!Q54+'27'!Q54+'29'!Q54+'31'!Q54+'30'!Q54</f>
        <v>0</v>
      </c>
      <c r="R54" s="27">
        <f>+'1'!R54+'3'!R54+'2'!R54+'6'!R54+'5'!R54+'4'!R54+'8'!R54+'7'!R54+'10'!R54+'9'!R54+'11'!R54+'12'!R54+'13'!R54+'15'!R54+'14'!R54+'16'!R54+'17'!R54+'19'!R54+'20'!R54+'22'!R54+'18'!R54+'21'!R54+'25'!R54+'23'!R54+'26'!R54+'24'!R54+'28'!R54+'27'!R54+'29'!R54+'31'!R54+'30'!R54</f>
        <v>0</v>
      </c>
      <c r="S54" s="27">
        <f>+'1'!S54+'3'!S54+'2'!S54+'6'!S54+'5'!S54+'4'!S54+'8'!S54+'7'!S54+'10'!S54+'9'!S54+'11'!S54+'12'!S54+'13'!S54+'15'!S54+'14'!S54+'16'!S54+'17'!S54+'19'!S54+'20'!S54+'22'!S54+'18'!S54+'21'!S54+'25'!S54+'23'!S54+'26'!S54+'24'!S54+'28'!S54+'27'!S54+'29'!S54+'31'!S54+'30'!S54</f>
        <v>0</v>
      </c>
      <c r="T54" s="43">
        <f>+'1'!T54+'3'!T54+'2'!T54+'6'!T54+'5'!T54+'4'!T54+'8'!T54+'7'!T54+'10'!T54+'9'!T54+'11'!T54+'12'!T54+'13'!T54+'15'!T54+'14'!T54+'16'!T54+'17'!T54+'19'!T54+'20'!T54+'22'!T54+'18'!T54+'21'!T54+'25'!T54+'23'!T54+'26'!T54+'24'!T54+'28'!T54+'27'!T54+'29'!T54+'31'!T54+'30'!T54</f>
        <v>0</v>
      </c>
      <c r="U54" s="52">
        <f>+'1'!U54+'3'!U54+'2'!U54+'6'!U54+'5'!U54+'4'!U54+'8'!U54+'7'!U54+'10'!U54+'9'!U54+'11'!U54+'12'!U54+'13'!U54+'15'!U54+'14'!U54+'16'!U54+'17'!U54+'19'!U54+'20'!U54+'22'!U54+'18'!U54+'21'!U54+'25'!U54+'23'!U54+'26'!U54+'24'!U54+'28'!U54+'27'!U54+'29'!U54+'31'!U54+'30'!U54</f>
        <v>0</v>
      </c>
      <c r="V54" s="52">
        <f>+'1'!V54+'3'!V54+'2'!V54+'6'!V54+'5'!V54+'4'!V54+'8'!V54+'7'!V54+'10'!V54+'9'!V54+'11'!V54+'12'!V54+'13'!V54+'15'!V54+'14'!V54+'16'!V54+'17'!V54+'19'!V54+'20'!V54+'22'!V54+'18'!V54+'21'!V54+'25'!V54+'23'!V54+'26'!V54+'24'!V54+'28'!V54+'27'!V54+'29'!V54+'31'!V54+'30'!V54</f>
        <v>0</v>
      </c>
      <c r="W54" s="52">
        <f>+'1'!W54+'3'!W54+'2'!W54+'6'!W54+'5'!W54+'4'!W54+'8'!W54+'7'!W54+'10'!W54+'9'!W54+'11'!W54+'12'!W54+'13'!W54+'15'!W54+'14'!W54+'16'!W54+'17'!W54+'19'!W54+'20'!W54+'22'!W54+'18'!W54+'21'!W54+'25'!W54+'23'!W54+'26'!W54+'24'!W54+'28'!W54+'27'!W54+'29'!W54+'31'!W54+'30'!W54</f>
        <v>0</v>
      </c>
      <c r="X54" s="52">
        <f>+'1'!X54+'3'!X54+'2'!X54+'6'!X54+'5'!X54+'4'!X54+'8'!X54+'7'!X54+'10'!X54+'9'!X54+'11'!X54+'12'!X54+'13'!X54+'15'!X54+'14'!X54+'16'!X54+'17'!X54+'19'!X54+'20'!X54+'22'!X54+'18'!X54+'21'!X54+'25'!X54+'23'!X54+'26'!X54+'24'!X54+'28'!X54+'27'!X54+'29'!X54+'31'!X54+'30'!X54</f>
        <v>0</v>
      </c>
      <c r="Y54" s="52">
        <f>+'1'!Y54+'3'!Y54+'2'!Y54+'6'!Y54+'5'!Y54+'4'!Y54+'8'!Y54+'7'!Y54+'10'!Y54+'9'!Y54+'11'!Y54+'12'!Y54+'13'!Y54+'15'!Y54+'14'!Y54+'16'!Y54+'17'!Y54+'19'!Y54+'20'!Y54+'22'!Y54+'18'!Y54+'21'!Y54+'25'!Y54+'23'!Y54+'26'!Y54+'24'!Y54+'28'!Y54+'27'!Y54+'29'!Y54+'31'!Y54+'30'!Y54</f>
        <v>0</v>
      </c>
      <c r="Z54" s="52">
        <f>+'1'!Z54+'3'!Z54+'2'!Z54+'6'!Z54+'5'!Z54+'4'!Z54+'8'!Z54+'7'!Z54+'10'!Z54+'9'!Z54+'11'!Z54+'12'!Z54+'13'!Z54+'15'!Z54+'14'!Z54+'16'!Z54+'17'!Z54+'19'!Z54+'20'!Z54+'22'!Z54+'18'!Z54+'21'!Z54+'25'!Z54+'23'!Z54+'26'!Z54+'24'!Z54+'28'!Z54+'27'!Z54+'29'!Z54+'31'!Z54+'30'!Z54</f>
        <v>0</v>
      </c>
      <c r="AA54" s="52">
        <f>+'1'!AA54+'3'!AA54+'2'!AA54+'6'!AA54+'5'!AA54+'4'!AA54+'8'!AA54+'7'!AA54+'10'!AA54+'9'!AA54+'11'!AA54+'12'!AA54+'13'!AA54+'15'!AA54+'14'!AA54+'16'!AA54+'17'!AA54+'19'!AA54+'20'!AA54+'22'!AA54+'18'!AA54+'21'!AA54+'25'!AA54+'23'!AA54+'26'!AA54+'24'!AA54+'28'!AA54+'27'!AA54+'29'!AA54+'31'!AA54+'30'!AA54</f>
        <v>0</v>
      </c>
      <c r="AB54" s="52">
        <f>+'1'!AB54+'3'!AB54+'2'!AB54+'6'!AB54+'5'!AB54+'4'!AB54+'8'!AB54+'7'!AB54+'10'!AB54+'9'!AB54+'11'!AB54+'12'!AB54+'13'!AB54+'15'!AB54+'14'!AB54+'16'!AB54+'17'!AB54+'19'!AB54+'20'!AB54+'22'!AB54+'18'!AB54+'21'!AB54+'25'!AB54+'23'!AB54+'26'!AB54+'24'!AB54+'28'!AB54+'27'!AB54+'29'!AB54+'31'!AB54+'30'!AB54</f>
        <v>0</v>
      </c>
      <c r="AC54" s="52">
        <f>+'1'!AC54+'3'!AC54+'2'!AC54+'6'!AC54+'5'!AC54+'4'!AC54+'8'!AC54+'7'!AC54+'10'!AC54+'9'!AC54+'11'!AC54+'12'!AC54+'13'!AC54+'15'!AC54+'14'!AC54+'16'!AC54+'17'!AC54+'19'!AC54+'20'!AC54+'22'!AC54+'18'!AC54+'21'!AC54+'25'!AC54+'23'!AC54+'26'!AC54+'24'!AC54+'28'!AC54+'27'!AC54+'29'!AC54+'31'!AC54+'30'!AC54</f>
        <v>0</v>
      </c>
      <c r="AD54" s="52">
        <f>+'1'!AD54+'3'!AD54+'2'!AD54+'6'!AD54+'5'!AD54+'4'!AD54+'8'!AD54+'7'!AD54+'10'!AD54+'9'!AD54+'11'!AD54+'12'!AD54+'13'!AD54+'15'!AD54+'14'!AD54+'16'!AD54+'17'!AD54+'19'!AD54+'20'!AD54+'22'!AD54+'18'!AD54+'21'!AD54+'25'!AD54+'23'!AD54+'26'!AD54+'24'!AD54+'28'!AD54+'27'!AD54+'29'!AD54+'31'!AD54+'30'!AD54</f>
        <v>0</v>
      </c>
      <c r="AE54" s="52">
        <f>+'1'!AE54+'3'!AE54+'2'!AE54+'6'!AE54+'5'!AE54+'4'!AE54+'8'!AE54+'7'!AE54+'10'!AE54+'9'!AE54+'11'!AE54+'12'!AE54+'13'!AE54+'15'!AE54+'14'!AE54+'16'!AE54+'17'!AE54+'19'!AE54+'20'!AE54+'22'!AE54+'18'!AE54+'21'!AE54+'25'!AE54+'23'!AE54+'26'!AE54+'24'!AE54+'28'!AE54+'27'!AE54+'29'!AE54+'31'!AE54+'30'!AE54</f>
        <v>0</v>
      </c>
      <c r="AF54" s="52">
        <f>+'1'!AF54+'3'!AF54+'2'!AF54+'6'!AF54+'5'!AF54+'4'!AF54+'8'!AF54+'7'!AF54+'10'!AF54+'9'!AF54+'11'!AF54+'12'!AF54+'13'!AF54+'15'!AF54+'14'!AF54+'16'!AF54+'17'!AF54+'19'!AF54+'20'!AF54+'22'!AF54+'18'!AF54+'21'!AF54+'25'!AF54+'23'!AF54+'26'!AF54+'24'!AF54+'28'!AF54+'27'!AF54+'29'!AF54+'31'!AF54+'30'!AF54</f>
        <v>0</v>
      </c>
      <c r="AG54" s="52">
        <f>+'1'!AG54+'3'!AG54+'2'!AG54+'6'!AG54+'5'!AG54+'4'!AG54+'8'!AG54+'7'!AG54+'10'!AG54+'9'!AG54+'11'!AG54+'12'!AG54+'13'!AG54+'15'!AG54+'14'!AG54+'16'!AG54+'17'!AG54+'19'!AG54+'20'!AG54+'22'!AG54+'18'!AG54+'21'!AG54+'25'!AG54+'23'!AG54+'26'!AG54+'24'!AG54+'28'!AG54+'27'!AG54+'29'!AG54+'31'!AG54+'30'!AG54</f>
        <v>0</v>
      </c>
      <c r="AH54" s="52">
        <f>+'1'!AH54+'3'!AH54+'2'!AH54+'6'!AH54+'5'!AH54+'4'!AH54+'8'!AH54+'7'!AH54+'10'!AH54+'9'!AH54+'11'!AH54+'12'!AH54+'13'!AH54+'15'!AH54+'14'!AH54+'16'!AH54+'17'!AH54+'19'!AH54+'20'!AH54+'22'!AH54+'18'!AH54+'21'!AH54+'25'!AH54+'23'!AH54+'26'!AH54+'24'!AH54+'28'!AH54+'27'!AH54+'29'!AH54+'31'!AH54+'30'!AH54</f>
        <v>0</v>
      </c>
      <c r="AI54" s="55">
        <f>+'1'!AI54+'3'!AI54+'2'!AI54+'6'!AI54+'5'!AI54+'4'!AI54+'8'!AI54+'7'!AI54+'10'!AI54+'9'!AI54+'11'!AI54+'12'!AI54+'13'!AI54+'15'!AI54+'14'!AI54+'16'!AI54+'17'!AI54+'19'!AI54+'20'!AI54+'22'!AI54+'18'!AI54+'21'!AI54+'25'!AI54+'23'!AI54+'26'!AI54+'24'!AI54+'28'!AI54+'27'!AI54+'29'!AI54+'31'!AI54+'30'!AI54</f>
        <v>0</v>
      </c>
      <c r="AJ54" s="58">
        <f>+'1'!AJ54+'3'!AJ54+'2'!AJ54+'6'!AJ54+'5'!AJ54+'4'!AJ54+'8'!AJ54+'7'!AJ54+'10'!AJ54+'9'!AJ54+'11'!AJ54+'12'!AJ54+'13'!AJ54+'15'!AJ54+'14'!AJ54+'16'!AJ54+'17'!AJ54+'19'!AJ54+'20'!AJ54+'22'!AJ54+'18'!AJ54+'21'!AJ54+'25'!AJ54+'23'!AJ54+'26'!AJ54+'24'!AJ54+'28'!AJ54+'27'!AJ54+'29'!AJ54+'31'!AJ54+'30'!AJ54</f>
        <v>0</v>
      </c>
      <c r="AK54" s="55">
        <f>+'1'!AK54+'3'!AK54+'2'!AK54+'6'!AK54+'5'!AK54+'4'!AK54+'8'!AK54+'7'!AK54+'10'!AK54+'9'!AK54+'11'!AK54+'12'!AK54+'13'!AK54+'15'!AK54+'14'!AK54+'16'!AK54+'17'!AK54+'19'!AK54+'20'!AK54+'22'!AK54+'18'!AK54+'21'!AK54+'25'!AK54+'23'!AK54+'26'!AK54+'24'!AK54+'28'!AK54+'27'!AK54+'29'!AK54+'31'!AK54+'30'!AK54</f>
        <v>0</v>
      </c>
      <c r="AL54" s="66">
        <f t="shared" si="6"/>
        <v>0</v>
      </c>
      <c r="AM54" s="28" t="str">
        <f t="shared" si="7"/>
        <v>OK</v>
      </c>
    </row>
    <row r="55" spans="1:39" customFormat="1" hidden="1">
      <c r="A55" s="17" t="s">
        <v>103</v>
      </c>
      <c r="B55" s="77">
        <v>11828</v>
      </c>
      <c r="C55" s="17" t="s">
        <v>83</v>
      </c>
      <c r="D55" s="69"/>
      <c r="E55" s="18"/>
      <c r="F55" s="18"/>
      <c r="G55" s="19"/>
      <c r="H55" s="20">
        <f>+'1'!H55+'3'!H55+'2'!H55+'6'!H55+'5'!H55+'4'!H55+'8'!H55+'7'!H55+'10'!H55+'9'!H55+'11'!H55+'12'!H55+'13'!H55+'15'!H55+'14'!H55+'16'!H55+'17'!H55+'19'!H55+'20'!H55+'22'!H55+'18'!H55+'21'!H55+'25'!H55+'23'!H55+'26'!H55+'24'!H55+'28'!H55+'27'!H55+'29'!H55+'31'!H55+'30'!H55</f>
        <v>0</v>
      </c>
      <c r="I55" s="21">
        <f>+'1'!I55+'3'!I55+'2'!I55+'6'!I55+'5'!I55+'4'!I55+'8'!I55+'7'!I55+'10'!I55+'9'!I55+'11'!I55+'12'!I55+'13'!I55+'15'!I55+'14'!I55+'16'!I55+'17'!I55+'19'!I55+'20'!I55+'22'!I55+'18'!I55+'21'!I55+'25'!I55+'23'!I55+'26'!I55+'24'!I55+'28'!I55+'27'!I55+'29'!I55+'31'!I55+'30'!I55</f>
        <v>0</v>
      </c>
      <c r="J55" s="21"/>
      <c r="K55" s="16"/>
      <c r="L55" s="21">
        <f>+'1'!L55+'3'!L55+'2'!L55+'6'!L55+'5'!L55+'4'!L55+'8'!L55+'7'!L55+'10'!L55+'9'!L55+'11'!L55+'12'!L55+'13'!L55+'15'!L55+'14'!L55+'16'!L55+'17'!L55+'19'!L55+'20'!L55+'22'!L55+'18'!L55+'21'!L55+'25'!L55+'23'!L55+'26'!L55+'24'!L55+'28'!L55+'27'!L55+'29'!L55+'31'!L55+'30'!L55</f>
        <v>0</v>
      </c>
      <c r="M55" s="21">
        <f>+'1'!M55+'3'!M55+'2'!M55+'6'!M55+'5'!M55+'4'!M55+'8'!M55+'7'!M55+'10'!M55+'9'!M55+'11'!M55+'12'!M55+'13'!M55+'15'!M55+'14'!M55+'16'!M55+'17'!M55+'19'!M55+'20'!M55+'22'!M55+'18'!M55+'21'!M55+'25'!M55+'23'!M55+'26'!M55+'24'!M55+'28'!M55+'27'!M55+'29'!M55+'31'!M55+'30'!M55</f>
        <v>0</v>
      </c>
      <c r="N55" s="21">
        <f>+'1'!N55+'3'!N55+'2'!N55+'6'!N55+'5'!N55+'4'!N55+'8'!N55+'7'!N55+'10'!N55+'9'!N55+'11'!N55+'12'!N55+'13'!N55+'15'!N55+'14'!N55+'16'!N55+'17'!N55+'19'!N55+'20'!N55+'22'!N55+'18'!N55+'21'!N55+'25'!N55+'23'!N55+'26'!N55+'24'!N55+'28'!N55+'27'!N55+'29'!N55+'31'!N55+'30'!N55</f>
        <v>0</v>
      </c>
      <c r="O55" s="21">
        <f>+'1'!O55+'3'!O55+'2'!O55+'6'!O55+'5'!O55+'4'!O55+'8'!O55+'7'!O55+'10'!O55+'9'!O55+'11'!O55+'12'!O55+'13'!O55+'15'!O55+'14'!O55+'16'!O55+'17'!O55+'19'!O55+'20'!O55+'22'!O55+'18'!O55+'21'!O55+'25'!O55+'23'!O55+'26'!O55+'24'!O55+'28'!O55+'27'!O55+'29'!O55+'31'!O55+'30'!O55</f>
        <v>0</v>
      </c>
      <c r="P55" s="21">
        <f>+'1'!P55+'3'!P55+'2'!P55+'6'!P55+'5'!P55+'4'!P55+'8'!P55+'7'!P55+'10'!P55+'9'!P55+'11'!P55+'12'!P55+'13'!P55+'15'!P55+'14'!P55+'16'!P55+'17'!P55+'19'!P55+'20'!P55+'22'!P55+'18'!P55+'21'!P55+'25'!P55+'23'!P55+'26'!P55+'24'!P55+'28'!P55+'27'!P55+'29'!P55+'31'!P55+'30'!P55</f>
        <v>0</v>
      </c>
      <c r="Q55" s="21">
        <f>+'1'!Q55+'3'!Q55+'2'!Q55+'6'!Q55+'5'!Q55+'4'!Q55+'8'!Q55+'7'!Q55+'10'!Q55+'9'!Q55+'11'!Q55+'12'!Q55+'13'!Q55+'15'!Q55+'14'!Q55+'16'!Q55+'17'!Q55+'19'!Q55+'20'!Q55+'22'!Q55+'18'!Q55+'21'!Q55+'25'!Q55+'23'!Q55+'26'!Q55+'24'!Q55+'28'!Q55+'27'!Q55+'29'!Q55+'31'!Q55+'30'!Q55</f>
        <v>0</v>
      </c>
      <c r="R55" s="21">
        <f>+'1'!R55+'3'!R55+'2'!R55+'6'!R55+'5'!R55+'4'!R55+'8'!R55+'7'!R55+'10'!R55+'9'!R55+'11'!R55+'12'!R55+'13'!R55+'15'!R55+'14'!R55+'16'!R55+'17'!R55+'19'!R55+'20'!R55+'22'!R55+'18'!R55+'21'!R55+'25'!R55+'23'!R55+'26'!R55+'24'!R55+'28'!R55+'27'!R55+'29'!R55+'31'!R55+'30'!R55</f>
        <v>0</v>
      </c>
      <c r="S55" s="21">
        <f>+'1'!S55+'3'!S55+'2'!S55+'6'!S55+'5'!S55+'4'!S55+'8'!S55+'7'!S55+'10'!S55+'9'!S55+'11'!S55+'12'!S55+'13'!S55+'15'!S55+'14'!S55+'16'!S55+'17'!S55+'19'!S55+'20'!S55+'22'!S55+'18'!S55+'21'!S55+'25'!S55+'23'!S55+'26'!S55+'24'!S55+'28'!S55+'27'!S55+'29'!S55+'31'!S55+'30'!S55</f>
        <v>0</v>
      </c>
      <c r="T55" s="42">
        <f>+'1'!T55+'3'!T55+'2'!T55+'6'!T55+'5'!T55+'4'!T55+'8'!T55+'7'!T55+'10'!T55+'9'!T55+'11'!T55+'12'!T55+'13'!T55+'15'!T55+'14'!T55+'16'!T55+'17'!T55+'19'!T55+'20'!T55+'22'!T55+'18'!T55+'21'!T55+'25'!T55+'23'!T55+'26'!T55+'24'!T55+'28'!T55+'27'!T55+'29'!T55+'31'!T55+'30'!T55</f>
        <v>0</v>
      </c>
      <c r="U55" s="51">
        <f>+'1'!U55+'3'!U55+'2'!U55+'6'!U55+'5'!U55+'4'!U55+'8'!U55+'7'!U55+'10'!U55+'9'!U55+'11'!U55+'12'!U55+'13'!U55+'15'!U55+'14'!U55+'16'!U55+'17'!U55+'19'!U55+'20'!U55+'22'!U55+'18'!U55+'21'!U55+'25'!U55+'23'!U55+'26'!U55+'24'!U55+'28'!U55+'27'!U55+'29'!U55+'31'!U55+'30'!U55</f>
        <v>0</v>
      </c>
      <c r="V55" s="51">
        <f>+'1'!V55+'3'!V55+'2'!V55+'6'!V55+'5'!V55+'4'!V55+'8'!V55+'7'!V55+'10'!V55+'9'!V55+'11'!V55+'12'!V55+'13'!V55+'15'!V55+'14'!V55+'16'!V55+'17'!V55+'19'!V55+'20'!V55+'22'!V55+'18'!V55+'21'!V55+'25'!V55+'23'!V55+'26'!V55+'24'!V55+'28'!V55+'27'!V55+'29'!V55+'31'!V55+'30'!V55</f>
        <v>0</v>
      </c>
      <c r="W55" s="51">
        <f>+'1'!W55+'3'!W55+'2'!W55+'6'!W55+'5'!W55+'4'!W55+'8'!W55+'7'!W55+'10'!W55+'9'!W55+'11'!W55+'12'!W55+'13'!W55+'15'!W55+'14'!W55+'16'!W55+'17'!W55+'19'!W55+'20'!W55+'22'!W55+'18'!W55+'21'!W55+'25'!W55+'23'!W55+'26'!W55+'24'!W55+'28'!W55+'27'!W55+'29'!W55+'31'!W55+'30'!W55</f>
        <v>0</v>
      </c>
      <c r="X55" s="51">
        <f>+'1'!X55+'3'!X55+'2'!X55+'6'!X55+'5'!X55+'4'!X55+'8'!X55+'7'!X55+'10'!X55+'9'!X55+'11'!X55+'12'!X55+'13'!X55+'15'!X55+'14'!X55+'16'!X55+'17'!X55+'19'!X55+'20'!X55+'22'!X55+'18'!X55+'21'!X55+'25'!X55+'23'!X55+'26'!X55+'24'!X55+'28'!X55+'27'!X55+'29'!X55+'31'!X55+'30'!X55</f>
        <v>0</v>
      </c>
      <c r="Y55" s="51">
        <f>+'1'!Y55+'3'!Y55+'2'!Y55+'6'!Y55+'5'!Y55+'4'!Y55+'8'!Y55+'7'!Y55+'10'!Y55+'9'!Y55+'11'!Y55+'12'!Y55+'13'!Y55+'15'!Y55+'14'!Y55+'16'!Y55+'17'!Y55+'19'!Y55+'20'!Y55+'22'!Y55+'18'!Y55+'21'!Y55+'25'!Y55+'23'!Y55+'26'!Y55+'24'!Y55+'28'!Y55+'27'!Y55+'29'!Y55+'31'!Y55+'30'!Y55</f>
        <v>0</v>
      </c>
      <c r="Z55" s="51">
        <f>+'1'!Z55+'3'!Z55+'2'!Z55+'6'!Z55+'5'!Z55+'4'!Z55+'8'!Z55+'7'!Z55+'10'!Z55+'9'!Z55+'11'!Z55+'12'!Z55+'13'!Z55+'15'!Z55+'14'!Z55+'16'!Z55+'17'!Z55+'19'!Z55+'20'!Z55+'22'!Z55+'18'!Z55+'21'!Z55+'25'!Z55+'23'!Z55+'26'!Z55+'24'!Z55+'28'!Z55+'27'!Z55+'29'!Z55+'31'!Z55+'30'!Z55</f>
        <v>0</v>
      </c>
      <c r="AA55" s="51">
        <f>+'1'!AA55+'3'!AA55+'2'!AA55+'6'!AA55+'5'!AA55+'4'!AA55+'8'!AA55+'7'!AA55+'10'!AA55+'9'!AA55+'11'!AA55+'12'!AA55+'13'!AA55+'15'!AA55+'14'!AA55+'16'!AA55+'17'!AA55+'19'!AA55+'20'!AA55+'22'!AA55+'18'!AA55+'21'!AA55+'25'!AA55+'23'!AA55+'26'!AA55+'24'!AA55+'28'!AA55+'27'!AA55+'29'!AA55+'31'!AA55+'30'!AA55</f>
        <v>0</v>
      </c>
      <c r="AB55" s="51">
        <f>+'1'!AB55+'3'!AB55+'2'!AB55+'6'!AB55+'5'!AB55+'4'!AB55+'8'!AB55+'7'!AB55+'10'!AB55+'9'!AB55+'11'!AB55+'12'!AB55+'13'!AB55+'15'!AB55+'14'!AB55+'16'!AB55+'17'!AB55+'19'!AB55+'20'!AB55+'22'!AB55+'18'!AB55+'21'!AB55+'25'!AB55+'23'!AB55+'26'!AB55+'24'!AB55+'28'!AB55+'27'!AB55+'29'!AB55+'31'!AB55+'30'!AB55</f>
        <v>0</v>
      </c>
      <c r="AC55" s="51">
        <f>+'1'!AC55+'3'!AC55+'2'!AC55+'6'!AC55+'5'!AC55+'4'!AC55+'8'!AC55+'7'!AC55+'10'!AC55+'9'!AC55+'11'!AC55+'12'!AC55+'13'!AC55+'15'!AC55+'14'!AC55+'16'!AC55+'17'!AC55+'19'!AC55+'20'!AC55+'22'!AC55+'18'!AC55+'21'!AC55+'25'!AC55+'23'!AC55+'26'!AC55+'24'!AC55+'28'!AC55+'27'!AC55+'29'!AC55+'31'!AC55+'30'!AC55</f>
        <v>0</v>
      </c>
      <c r="AD55" s="51">
        <f>+'1'!AD55+'3'!AD55+'2'!AD55+'6'!AD55+'5'!AD55+'4'!AD55+'8'!AD55+'7'!AD55+'10'!AD55+'9'!AD55+'11'!AD55+'12'!AD55+'13'!AD55+'15'!AD55+'14'!AD55+'16'!AD55+'17'!AD55+'19'!AD55+'20'!AD55+'22'!AD55+'18'!AD55+'21'!AD55+'25'!AD55+'23'!AD55+'26'!AD55+'24'!AD55+'28'!AD55+'27'!AD55+'29'!AD55+'31'!AD55+'30'!AD55</f>
        <v>0</v>
      </c>
      <c r="AE55" s="51">
        <f>+'1'!AE55+'3'!AE55+'2'!AE55+'6'!AE55+'5'!AE55+'4'!AE55+'8'!AE55+'7'!AE55+'10'!AE55+'9'!AE55+'11'!AE55+'12'!AE55+'13'!AE55+'15'!AE55+'14'!AE55+'16'!AE55+'17'!AE55+'19'!AE55+'20'!AE55+'22'!AE55+'18'!AE55+'21'!AE55+'25'!AE55+'23'!AE55+'26'!AE55+'24'!AE55+'28'!AE55+'27'!AE55+'29'!AE55+'31'!AE55+'30'!AE55</f>
        <v>0</v>
      </c>
      <c r="AF55" s="51">
        <f>+'1'!AF55+'3'!AF55+'2'!AF55+'6'!AF55+'5'!AF55+'4'!AF55+'8'!AF55+'7'!AF55+'10'!AF55+'9'!AF55+'11'!AF55+'12'!AF55+'13'!AF55+'15'!AF55+'14'!AF55+'16'!AF55+'17'!AF55+'19'!AF55+'20'!AF55+'22'!AF55+'18'!AF55+'21'!AF55+'25'!AF55+'23'!AF55+'26'!AF55+'24'!AF55+'28'!AF55+'27'!AF55+'29'!AF55+'31'!AF55+'30'!AF55</f>
        <v>0</v>
      </c>
      <c r="AG55" s="51">
        <f>+'1'!AG55+'3'!AG55+'2'!AG55+'6'!AG55+'5'!AG55+'4'!AG55+'8'!AG55+'7'!AG55+'10'!AG55+'9'!AG55+'11'!AG55+'12'!AG55+'13'!AG55+'15'!AG55+'14'!AG55+'16'!AG55+'17'!AG55+'19'!AG55+'20'!AG55+'22'!AG55+'18'!AG55+'21'!AG55+'25'!AG55+'23'!AG55+'26'!AG55+'24'!AG55+'28'!AG55+'27'!AG55+'29'!AG55+'31'!AG55+'30'!AG55</f>
        <v>0</v>
      </c>
      <c r="AH55" s="51">
        <f>+'1'!AH55+'3'!AH55+'2'!AH55+'6'!AH55+'5'!AH55+'4'!AH55+'8'!AH55+'7'!AH55+'10'!AH55+'9'!AH55+'11'!AH55+'12'!AH55+'13'!AH55+'15'!AH55+'14'!AH55+'16'!AH55+'17'!AH55+'19'!AH55+'20'!AH55+'22'!AH55+'18'!AH55+'21'!AH55+'25'!AH55+'23'!AH55+'26'!AH55+'24'!AH55+'28'!AH55+'27'!AH55+'29'!AH55+'31'!AH55+'30'!AH55</f>
        <v>0</v>
      </c>
      <c r="AI55" s="54">
        <f>+'1'!AI55+'3'!AI55+'2'!AI55+'6'!AI55+'5'!AI55+'4'!AI55+'8'!AI55+'7'!AI55+'10'!AI55+'9'!AI55+'11'!AI55+'12'!AI55+'13'!AI55+'15'!AI55+'14'!AI55+'16'!AI55+'17'!AI55+'19'!AI55+'20'!AI55+'22'!AI55+'18'!AI55+'21'!AI55+'25'!AI55+'23'!AI55+'26'!AI55+'24'!AI55+'28'!AI55+'27'!AI55+'29'!AI55+'31'!AI55+'30'!AI55</f>
        <v>0</v>
      </c>
      <c r="AJ55" s="57">
        <f>+'1'!AJ55+'3'!AJ55+'2'!AJ55+'6'!AJ55+'5'!AJ55+'4'!AJ55+'8'!AJ55+'7'!AJ55+'10'!AJ55+'9'!AJ55+'11'!AJ55+'12'!AJ55+'13'!AJ55+'15'!AJ55+'14'!AJ55+'16'!AJ55+'17'!AJ55+'19'!AJ55+'20'!AJ55+'22'!AJ55+'18'!AJ55+'21'!AJ55+'25'!AJ55+'23'!AJ55+'26'!AJ55+'24'!AJ55+'28'!AJ55+'27'!AJ55+'29'!AJ55+'31'!AJ55+'30'!AJ55</f>
        <v>0</v>
      </c>
      <c r="AK55" s="54">
        <f>+'1'!AK55+'3'!AK55+'2'!AK55+'6'!AK55+'5'!AK55+'4'!AK55+'8'!AK55+'7'!AK55+'10'!AK55+'9'!AK55+'11'!AK55+'12'!AK55+'13'!AK55+'15'!AK55+'14'!AK55+'16'!AK55+'17'!AK55+'19'!AK55+'20'!AK55+'22'!AK55+'18'!AK55+'21'!AK55+'25'!AK55+'23'!AK55+'26'!AK55+'24'!AK55+'28'!AK55+'27'!AK55+'29'!AK55+'31'!AK55+'30'!AK55</f>
        <v>0</v>
      </c>
      <c r="AL55" s="65">
        <f t="shared" si="6"/>
        <v>0</v>
      </c>
      <c r="AM55" s="22" t="str">
        <f t="shared" si="7"/>
        <v>OK</v>
      </c>
    </row>
    <row r="56" spans="1:39" customFormat="1" hidden="1">
      <c r="A56" s="68" t="s">
        <v>104</v>
      </c>
      <c r="B56" s="78">
        <v>11830</v>
      </c>
      <c r="C56" s="23" t="s">
        <v>83</v>
      </c>
      <c r="D56" s="24"/>
      <c r="E56" s="24"/>
      <c r="F56" s="24"/>
      <c r="G56" s="25"/>
      <c r="H56" s="26">
        <f>+'1'!H56+'3'!H56+'2'!H56+'6'!H56+'5'!H56+'4'!H56+'8'!H56+'7'!H56+'10'!H56+'9'!H56+'11'!H56+'12'!H56+'13'!H56+'15'!H56+'14'!H56+'16'!H56+'17'!H56+'19'!H56+'20'!H56+'22'!H56+'18'!H56+'21'!H56+'25'!H56+'23'!H56+'26'!H56+'24'!H56+'28'!H56+'27'!H56+'29'!H56+'31'!H56+'30'!H56</f>
        <v>0</v>
      </c>
      <c r="I56" s="27">
        <f>+'1'!I56+'3'!I56+'2'!I56+'6'!I56+'5'!I56+'4'!I56+'8'!I56+'7'!I56+'10'!I56+'9'!I56+'11'!I56+'12'!I56+'13'!I56+'15'!I56+'14'!I56+'16'!I56+'17'!I56+'19'!I56+'20'!I56+'22'!I56+'18'!I56+'21'!I56+'25'!I56+'23'!I56+'26'!I56+'24'!I56+'28'!I56+'27'!I56+'29'!I56+'31'!I56+'30'!I56</f>
        <v>0</v>
      </c>
      <c r="J56" s="27"/>
      <c r="K56" s="16"/>
      <c r="L56" s="27">
        <f>+'1'!L56+'3'!L56+'2'!L56+'6'!L56+'5'!L56+'4'!L56+'8'!L56+'7'!L56+'10'!L56+'9'!L56+'11'!L56+'12'!L56+'13'!L56+'15'!L56+'14'!L56+'16'!L56+'17'!L56+'19'!L56+'20'!L56+'22'!L56+'18'!L56+'21'!L56+'25'!L56+'23'!L56+'26'!L56+'24'!L56+'28'!L56+'27'!L56+'29'!L56+'31'!L56+'30'!L56</f>
        <v>0</v>
      </c>
      <c r="M56" s="27">
        <f>+'1'!M56+'3'!M56+'2'!M56+'6'!M56+'5'!M56+'4'!M56+'8'!M56+'7'!M56+'10'!M56+'9'!M56+'11'!M56+'12'!M56+'13'!M56+'15'!M56+'14'!M56+'16'!M56+'17'!M56+'19'!M56+'20'!M56+'22'!M56+'18'!M56+'21'!M56+'25'!M56+'23'!M56+'26'!M56+'24'!M56+'28'!M56+'27'!M56+'29'!M56+'31'!M56+'30'!M56</f>
        <v>0</v>
      </c>
      <c r="N56" s="27">
        <f>+'1'!N56+'3'!N56+'2'!N56+'6'!N56+'5'!N56+'4'!N56+'8'!N56+'7'!N56+'10'!N56+'9'!N56+'11'!N56+'12'!N56+'13'!N56+'15'!N56+'14'!N56+'16'!N56+'17'!N56+'19'!N56+'20'!N56+'22'!N56+'18'!N56+'21'!N56+'25'!N56+'23'!N56+'26'!N56+'24'!N56+'28'!N56+'27'!N56+'29'!N56+'31'!N56+'30'!N56</f>
        <v>0</v>
      </c>
      <c r="O56" s="27">
        <f>+'1'!O56+'3'!O56+'2'!O56+'6'!O56+'5'!O56+'4'!O56+'8'!O56+'7'!O56+'10'!O56+'9'!O56+'11'!O56+'12'!O56+'13'!O56+'15'!O56+'14'!O56+'16'!O56+'17'!O56+'19'!O56+'20'!O56+'22'!O56+'18'!O56+'21'!O56+'25'!O56+'23'!O56+'26'!O56+'24'!O56+'28'!O56+'27'!O56+'29'!O56+'31'!O56+'30'!O56</f>
        <v>0</v>
      </c>
      <c r="P56" s="27">
        <f>+'1'!P56+'3'!P56+'2'!P56+'6'!P56+'5'!P56+'4'!P56+'8'!P56+'7'!P56+'10'!P56+'9'!P56+'11'!P56+'12'!P56+'13'!P56+'15'!P56+'14'!P56+'16'!P56+'17'!P56+'19'!P56+'20'!P56+'22'!P56+'18'!P56+'21'!P56+'25'!P56+'23'!P56+'26'!P56+'24'!P56+'28'!P56+'27'!P56+'29'!P56+'31'!P56+'30'!P56</f>
        <v>0</v>
      </c>
      <c r="Q56" s="27">
        <f>+'1'!Q56+'3'!Q56+'2'!Q56+'6'!Q56+'5'!Q56+'4'!Q56+'8'!Q56+'7'!Q56+'10'!Q56+'9'!Q56+'11'!Q56+'12'!Q56+'13'!Q56+'15'!Q56+'14'!Q56+'16'!Q56+'17'!Q56+'19'!Q56+'20'!Q56+'22'!Q56+'18'!Q56+'21'!Q56+'25'!Q56+'23'!Q56+'26'!Q56+'24'!Q56+'28'!Q56+'27'!Q56+'29'!Q56+'31'!Q56+'30'!Q56</f>
        <v>0</v>
      </c>
      <c r="R56" s="27">
        <f>+'1'!R56+'3'!R56+'2'!R56+'6'!R56+'5'!R56+'4'!R56+'8'!R56+'7'!R56+'10'!R56+'9'!R56+'11'!R56+'12'!R56+'13'!R56+'15'!R56+'14'!R56+'16'!R56+'17'!R56+'19'!R56+'20'!R56+'22'!R56+'18'!R56+'21'!R56+'25'!R56+'23'!R56+'26'!R56+'24'!R56+'28'!R56+'27'!R56+'29'!R56+'31'!R56+'30'!R56</f>
        <v>0</v>
      </c>
      <c r="S56" s="27">
        <f>+'1'!S56+'3'!S56+'2'!S56+'6'!S56+'5'!S56+'4'!S56+'8'!S56+'7'!S56+'10'!S56+'9'!S56+'11'!S56+'12'!S56+'13'!S56+'15'!S56+'14'!S56+'16'!S56+'17'!S56+'19'!S56+'20'!S56+'22'!S56+'18'!S56+'21'!S56+'25'!S56+'23'!S56+'26'!S56+'24'!S56+'28'!S56+'27'!S56+'29'!S56+'31'!S56+'30'!S56</f>
        <v>0</v>
      </c>
      <c r="T56" s="43">
        <f>+'1'!T56+'3'!T56+'2'!T56+'6'!T56+'5'!T56+'4'!T56+'8'!T56+'7'!T56+'10'!T56+'9'!T56+'11'!T56+'12'!T56+'13'!T56+'15'!T56+'14'!T56+'16'!T56+'17'!T56+'19'!T56+'20'!T56+'22'!T56+'18'!T56+'21'!T56+'25'!T56+'23'!T56+'26'!T56+'24'!T56+'28'!T56+'27'!T56+'29'!T56+'31'!T56+'30'!T56</f>
        <v>0</v>
      </c>
      <c r="U56" s="52">
        <f>+'1'!U56+'3'!U56+'2'!U56+'6'!U56+'5'!U56+'4'!U56+'8'!U56+'7'!U56+'10'!U56+'9'!U56+'11'!U56+'12'!U56+'13'!U56+'15'!U56+'14'!U56+'16'!U56+'17'!U56+'19'!U56+'20'!U56+'22'!U56+'18'!U56+'21'!U56+'25'!U56+'23'!U56+'26'!U56+'24'!U56+'28'!U56+'27'!U56+'29'!U56+'31'!U56+'30'!U56</f>
        <v>0</v>
      </c>
      <c r="V56" s="52">
        <f>+'1'!V56+'3'!V56+'2'!V56+'6'!V56+'5'!V56+'4'!V56+'8'!V56+'7'!V56+'10'!V56+'9'!V56+'11'!V56+'12'!V56+'13'!V56+'15'!V56+'14'!V56+'16'!V56+'17'!V56+'19'!V56+'20'!V56+'22'!V56+'18'!V56+'21'!V56+'25'!V56+'23'!V56+'26'!V56+'24'!V56+'28'!V56+'27'!V56+'29'!V56+'31'!V56+'30'!V56</f>
        <v>0</v>
      </c>
      <c r="W56" s="52">
        <f>+'1'!W56+'3'!W56+'2'!W56+'6'!W56+'5'!W56+'4'!W56+'8'!W56+'7'!W56+'10'!W56+'9'!W56+'11'!W56+'12'!W56+'13'!W56+'15'!W56+'14'!W56+'16'!W56+'17'!W56+'19'!W56+'20'!W56+'22'!W56+'18'!W56+'21'!W56+'25'!W56+'23'!W56+'26'!W56+'24'!W56+'28'!W56+'27'!W56+'29'!W56+'31'!W56+'30'!W56</f>
        <v>0</v>
      </c>
      <c r="X56" s="52">
        <f>+'1'!X56+'3'!X56+'2'!X56+'6'!X56+'5'!X56+'4'!X56+'8'!X56+'7'!X56+'10'!X56+'9'!X56+'11'!X56+'12'!X56+'13'!X56+'15'!X56+'14'!X56+'16'!X56+'17'!X56+'19'!X56+'20'!X56+'22'!X56+'18'!X56+'21'!X56+'25'!X56+'23'!X56+'26'!X56+'24'!X56+'28'!X56+'27'!X56+'29'!X56+'31'!X56+'30'!X56</f>
        <v>0</v>
      </c>
      <c r="Y56" s="52">
        <f>+'1'!Y56+'3'!Y56+'2'!Y56+'6'!Y56+'5'!Y56+'4'!Y56+'8'!Y56+'7'!Y56+'10'!Y56+'9'!Y56+'11'!Y56+'12'!Y56+'13'!Y56+'15'!Y56+'14'!Y56+'16'!Y56+'17'!Y56+'19'!Y56+'20'!Y56+'22'!Y56+'18'!Y56+'21'!Y56+'25'!Y56+'23'!Y56+'26'!Y56+'24'!Y56+'28'!Y56+'27'!Y56+'29'!Y56+'31'!Y56+'30'!Y56</f>
        <v>0</v>
      </c>
      <c r="Z56" s="52">
        <f>+'1'!Z56+'3'!Z56+'2'!Z56+'6'!Z56+'5'!Z56+'4'!Z56+'8'!Z56+'7'!Z56+'10'!Z56+'9'!Z56+'11'!Z56+'12'!Z56+'13'!Z56+'15'!Z56+'14'!Z56+'16'!Z56+'17'!Z56+'19'!Z56+'20'!Z56+'22'!Z56+'18'!Z56+'21'!Z56+'25'!Z56+'23'!Z56+'26'!Z56+'24'!Z56+'28'!Z56+'27'!Z56+'29'!Z56+'31'!Z56+'30'!Z56</f>
        <v>0</v>
      </c>
      <c r="AA56" s="52">
        <f>+'1'!AA56+'3'!AA56+'2'!AA56+'6'!AA56+'5'!AA56+'4'!AA56+'8'!AA56+'7'!AA56+'10'!AA56+'9'!AA56+'11'!AA56+'12'!AA56+'13'!AA56+'15'!AA56+'14'!AA56+'16'!AA56+'17'!AA56+'19'!AA56+'20'!AA56+'22'!AA56+'18'!AA56+'21'!AA56+'25'!AA56+'23'!AA56+'26'!AA56+'24'!AA56+'28'!AA56+'27'!AA56+'29'!AA56+'31'!AA56+'30'!AA56</f>
        <v>0</v>
      </c>
      <c r="AB56" s="52">
        <f>+'1'!AB56+'3'!AB56+'2'!AB56+'6'!AB56+'5'!AB56+'4'!AB56+'8'!AB56+'7'!AB56+'10'!AB56+'9'!AB56+'11'!AB56+'12'!AB56+'13'!AB56+'15'!AB56+'14'!AB56+'16'!AB56+'17'!AB56+'19'!AB56+'20'!AB56+'22'!AB56+'18'!AB56+'21'!AB56+'25'!AB56+'23'!AB56+'26'!AB56+'24'!AB56+'28'!AB56+'27'!AB56+'29'!AB56+'31'!AB56+'30'!AB56</f>
        <v>0</v>
      </c>
      <c r="AC56" s="52">
        <f>+'1'!AC56+'3'!AC56+'2'!AC56+'6'!AC56+'5'!AC56+'4'!AC56+'8'!AC56+'7'!AC56+'10'!AC56+'9'!AC56+'11'!AC56+'12'!AC56+'13'!AC56+'15'!AC56+'14'!AC56+'16'!AC56+'17'!AC56+'19'!AC56+'20'!AC56+'22'!AC56+'18'!AC56+'21'!AC56+'25'!AC56+'23'!AC56+'26'!AC56+'24'!AC56+'28'!AC56+'27'!AC56+'29'!AC56+'31'!AC56+'30'!AC56</f>
        <v>0</v>
      </c>
      <c r="AD56" s="52">
        <f>+'1'!AD56+'3'!AD56+'2'!AD56+'6'!AD56+'5'!AD56+'4'!AD56+'8'!AD56+'7'!AD56+'10'!AD56+'9'!AD56+'11'!AD56+'12'!AD56+'13'!AD56+'15'!AD56+'14'!AD56+'16'!AD56+'17'!AD56+'19'!AD56+'20'!AD56+'22'!AD56+'18'!AD56+'21'!AD56+'25'!AD56+'23'!AD56+'26'!AD56+'24'!AD56+'28'!AD56+'27'!AD56+'29'!AD56+'31'!AD56+'30'!AD56</f>
        <v>0</v>
      </c>
      <c r="AE56" s="52">
        <f>+'1'!AE56+'3'!AE56+'2'!AE56+'6'!AE56+'5'!AE56+'4'!AE56+'8'!AE56+'7'!AE56+'10'!AE56+'9'!AE56+'11'!AE56+'12'!AE56+'13'!AE56+'15'!AE56+'14'!AE56+'16'!AE56+'17'!AE56+'19'!AE56+'20'!AE56+'22'!AE56+'18'!AE56+'21'!AE56+'25'!AE56+'23'!AE56+'26'!AE56+'24'!AE56+'28'!AE56+'27'!AE56+'29'!AE56+'31'!AE56+'30'!AE56</f>
        <v>0</v>
      </c>
      <c r="AF56" s="52">
        <f>+'1'!AF56+'3'!AF56+'2'!AF56+'6'!AF56+'5'!AF56+'4'!AF56+'8'!AF56+'7'!AF56+'10'!AF56+'9'!AF56+'11'!AF56+'12'!AF56+'13'!AF56+'15'!AF56+'14'!AF56+'16'!AF56+'17'!AF56+'19'!AF56+'20'!AF56+'22'!AF56+'18'!AF56+'21'!AF56+'25'!AF56+'23'!AF56+'26'!AF56+'24'!AF56+'28'!AF56+'27'!AF56+'29'!AF56+'31'!AF56+'30'!AF56</f>
        <v>0</v>
      </c>
      <c r="AG56" s="52">
        <f>+'1'!AG56+'3'!AG56+'2'!AG56+'6'!AG56+'5'!AG56+'4'!AG56+'8'!AG56+'7'!AG56+'10'!AG56+'9'!AG56+'11'!AG56+'12'!AG56+'13'!AG56+'15'!AG56+'14'!AG56+'16'!AG56+'17'!AG56+'19'!AG56+'20'!AG56+'22'!AG56+'18'!AG56+'21'!AG56+'25'!AG56+'23'!AG56+'26'!AG56+'24'!AG56+'28'!AG56+'27'!AG56+'29'!AG56+'31'!AG56+'30'!AG56</f>
        <v>0</v>
      </c>
      <c r="AH56" s="52">
        <f>+'1'!AH56+'3'!AH56+'2'!AH56+'6'!AH56+'5'!AH56+'4'!AH56+'8'!AH56+'7'!AH56+'10'!AH56+'9'!AH56+'11'!AH56+'12'!AH56+'13'!AH56+'15'!AH56+'14'!AH56+'16'!AH56+'17'!AH56+'19'!AH56+'20'!AH56+'22'!AH56+'18'!AH56+'21'!AH56+'25'!AH56+'23'!AH56+'26'!AH56+'24'!AH56+'28'!AH56+'27'!AH56+'29'!AH56+'31'!AH56+'30'!AH56</f>
        <v>0</v>
      </c>
      <c r="AI56" s="55">
        <f>+'1'!AI56+'3'!AI56+'2'!AI56+'6'!AI56+'5'!AI56+'4'!AI56+'8'!AI56+'7'!AI56+'10'!AI56+'9'!AI56+'11'!AI56+'12'!AI56+'13'!AI56+'15'!AI56+'14'!AI56+'16'!AI56+'17'!AI56+'19'!AI56+'20'!AI56+'22'!AI56+'18'!AI56+'21'!AI56+'25'!AI56+'23'!AI56+'26'!AI56+'24'!AI56+'28'!AI56+'27'!AI56+'29'!AI56+'31'!AI56+'30'!AI56</f>
        <v>0</v>
      </c>
      <c r="AJ56" s="58">
        <f>+'1'!AJ56+'3'!AJ56+'2'!AJ56+'6'!AJ56+'5'!AJ56+'4'!AJ56+'8'!AJ56+'7'!AJ56+'10'!AJ56+'9'!AJ56+'11'!AJ56+'12'!AJ56+'13'!AJ56+'15'!AJ56+'14'!AJ56+'16'!AJ56+'17'!AJ56+'19'!AJ56+'20'!AJ56+'22'!AJ56+'18'!AJ56+'21'!AJ56+'25'!AJ56+'23'!AJ56+'26'!AJ56+'24'!AJ56+'28'!AJ56+'27'!AJ56+'29'!AJ56+'31'!AJ56+'30'!AJ56</f>
        <v>0</v>
      </c>
      <c r="AK56" s="55">
        <f>+'1'!AK56+'3'!AK56+'2'!AK56+'6'!AK56+'5'!AK56+'4'!AK56+'8'!AK56+'7'!AK56+'10'!AK56+'9'!AK56+'11'!AK56+'12'!AK56+'13'!AK56+'15'!AK56+'14'!AK56+'16'!AK56+'17'!AK56+'19'!AK56+'20'!AK56+'22'!AK56+'18'!AK56+'21'!AK56+'25'!AK56+'23'!AK56+'26'!AK56+'24'!AK56+'28'!AK56+'27'!AK56+'29'!AK56+'31'!AK56+'30'!AK56</f>
        <v>0</v>
      </c>
      <c r="AL56" s="66">
        <f t="shared" si="6"/>
        <v>0</v>
      </c>
      <c r="AM56" s="28" t="str">
        <f t="shared" si="7"/>
        <v>OK</v>
      </c>
    </row>
    <row r="57" spans="1:39" customFormat="1" hidden="1">
      <c r="A57" s="80" t="s">
        <v>105</v>
      </c>
      <c r="B57" s="77">
        <v>11832</v>
      </c>
      <c r="C57" s="17" t="s">
        <v>83</v>
      </c>
      <c r="D57" s="69"/>
      <c r="E57" s="18"/>
      <c r="F57" s="18"/>
      <c r="G57" s="19"/>
      <c r="H57" s="20">
        <f>+'1'!H57+'3'!H57+'2'!H57+'6'!H57+'5'!H57+'4'!H57+'8'!H57+'7'!H57+'10'!H57+'9'!H57+'11'!H57+'12'!H57+'13'!H57+'15'!H57+'14'!H57+'16'!H57+'17'!H57+'19'!H57+'20'!H57+'22'!H57+'18'!H57+'21'!H57+'25'!H57+'23'!H57+'26'!H57+'24'!H57+'28'!H57+'27'!H57+'29'!H57+'31'!H57+'30'!H57</f>
        <v>0</v>
      </c>
      <c r="I57" s="21">
        <f>+'1'!I57+'3'!I57+'2'!I57+'6'!I57+'5'!I57+'4'!I57+'8'!I57+'7'!I57+'10'!I57+'9'!I57+'11'!I57+'12'!I57+'13'!I57+'15'!I57+'14'!I57+'16'!I57+'17'!I57+'19'!I57+'20'!I57+'22'!I57+'18'!I57+'21'!I57+'25'!I57+'23'!I57+'26'!I57+'24'!I57+'28'!I57+'27'!I57+'29'!I57+'31'!I57+'30'!I57</f>
        <v>0</v>
      </c>
      <c r="J57" s="21"/>
      <c r="K57" s="16"/>
      <c r="L57" s="21">
        <f>+'1'!L57+'3'!L57+'2'!L57+'6'!L57+'5'!L57+'4'!L57+'8'!L57+'7'!L57+'10'!L57+'9'!L57+'11'!L57+'12'!L57+'13'!L57+'15'!L57+'14'!L57+'16'!L57+'17'!L57+'19'!L57+'20'!L57+'22'!L57+'18'!L57+'21'!L57+'25'!L57+'23'!L57+'26'!L57+'24'!L57+'28'!L57+'27'!L57+'29'!L57+'31'!L57+'30'!L57</f>
        <v>0</v>
      </c>
      <c r="M57" s="21">
        <f>+'1'!M57+'3'!M57+'2'!M57+'6'!M57+'5'!M57+'4'!M57+'8'!M57+'7'!M57+'10'!M57+'9'!M57+'11'!M57+'12'!M57+'13'!M57+'15'!M57+'14'!M57+'16'!M57+'17'!M57+'19'!M57+'20'!M57+'22'!M57+'18'!M57+'21'!M57+'25'!M57+'23'!M57+'26'!M57+'24'!M57+'28'!M57+'27'!M57+'29'!M57+'31'!M57+'30'!M57</f>
        <v>0</v>
      </c>
      <c r="N57" s="21">
        <f>+'1'!N57+'3'!N57+'2'!N57+'6'!N57+'5'!N57+'4'!N57+'8'!N57+'7'!N57+'10'!N57+'9'!N57+'11'!N57+'12'!N57+'13'!N57+'15'!N57+'14'!N57+'16'!N57+'17'!N57+'19'!N57+'20'!N57+'22'!N57+'18'!N57+'21'!N57+'25'!N57+'23'!N57+'26'!N57+'24'!N57+'28'!N57+'27'!N57+'29'!N57+'31'!N57+'30'!N57</f>
        <v>0</v>
      </c>
      <c r="O57" s="21">
        <f>+'1'!O57+'3'!O57+'2'!O57+'6'!O57+'5'!O57+'4'!O57+'8'!O57+'7'!O57+'10'!O57+'9'!O57+'11'!O57+'12'!O57+'13'!O57+'15'!O57+'14'!O57+'16'!O57+'17'!O57+'19'!O57+'20'!O57+'22'!O57+'18'!O57+'21'!O57+'25'!O57+'23'!O57+'26'!O57+'24'!O57+'28'!O57+'27'!O57+'29'!O57+'31'!O57+'30'!O57</f>
        <v>0</v>
      </c>
      <c r="P57" s="21">
        <f>+'1'!P57+'3'!P57+'2'!P57+'6'!P57+'5'!P57+'4'!P57+'8'!P57+'7'!P57+'10'!P57+'9'!P57+'11'!P57+'12'!P57+'13'!P57+'15'!P57+'14'!P57+'16'!P57+'17'!P57+'19'!P57+'20'!P57+'22'!P57+'18'!P57+'21'!P57+'25'!P57+'23'!P57+'26'!P57+'24'!P57+'28'!P57+'27'!P57+'29'!P57+'31'!P57+'30'!P57</f>
        <v>0</v>
      </c>
      <c r="Q57" s="21">
        <f>+'1'!Q57+'3'!Q57+'2'!Q57+'6'!Q57+'5'!Q57+'4'!Q57+'8'!Q57+'7'!Q57+'10'!Q57+'9'!Q57+'11'!Q57+'12'!Q57+'13'!Q57+'15'!Q57+'14'!Q57+'16'!Q57+'17'!Q57+'19'!Q57+'20'!Q57+'22'!Q57+'18'!Q57+'21'!Q57+'25'!Q57+'23'!Q57+'26'!Q57+'24'!Q57+'28'!Q57+'27'!Q57+'29'!Q57+'31'!Q57+'30'!Q57</f>
        <v>0</v>
      </c>
      <c r="R57" s="21">
        <f>+'1'!R57+'3'!R57+'2'!R57+'6'!R57+'5'!R57+'4'!R57+'8'!R57+'7'!R57+'10'!R57+'9'!R57+'11'!R57+'12'!R57+'13'!R57+'15'!R57+'14'!R57+'16'!R57+'17'!R57+'19'!R57+'20'!R57+'22'!R57+'18'!R57+'21'!R57+'25'!R57+'23'!R57+'26'!R57+'24'!R57+'28'!R57+'27'!R57+'29'!R57+'31'!R57+'30'!R57</f>
        <v>0</v>
      </c>
      <c r="S57" s="21">
        <f>+'1'!S57+'3'!S57+'2'!S57+'6'!S57+'5'!S57+'4'!S57+'8'!S57+'7'!S57+'10'!S57+'9'!S57+'11'!S57+'12'!S57+'13'!S57+'15'!S57+'14'!S57+'16'!S57+'17'!S57+'19'!S57+'20'!S57+'22'!S57+'18'!S57+'21'!S57+'25'!S57+'23'!S57+'26'!S57+'24'!S57+'28'!S57+'27'!S57+'29'!S57+'31'!S57+'30'!S57</f>
        <v>0</v>
      </c>
      <c r="T57" s="42">
        <f>+'1'!T57+'3'!T57+'2'!T57+'6'!T57+'5'!T57+'4'!T57+'8'!T57+'7'!T57+'10'!T57+'9'!T57+'11'!T57+'12'!T57+'13'!T57+'15'!T57+'14'!T57+'16'!T57+'17'!T57+'19'!T57+'20'!T57+'22'!T57+'18'!T57+'21'!T57+'25'!T57+'23'!T57+'26'!T57+'24'!T57+'28'!T57+'27'!T57+'29'!T57+'31'!T57+'30'!T57</f>
        <v>0</v>
      </c>
      <c r="U57" s="51">
        <f>+'1'!U57+'3'!U57+'2'!U57+'6'!U57+'5'!U57+'4'!U57+'8'!U57+'7'!U57+'10'!U57+'9'!U57+'11'!U57+'12'!U57+'13'!U57+'15'!U57+'14'!U57+'16'!U57+'17'!U57+'19'!U57+'20'!U57+'22'!U57+'18'!U57+'21'!U57+'25'!U57+'23'!U57+'26'!U57+'24'!U57+'28'!U57+'27'!U57+'29'!U57+'31'!U57+'30'!U57</f>
        <v>0</v>
      </c>
      <c r="V57" s="51">
        <f>+'1'!V57+'3'!V57+'2'!V57+'6'!V57+'5'!V57+'4'!V57+'8'!V57+'7'!V57+'10'!V57+'9'!V57+'11'!V57+'12'!V57+'13'!V57+'15'!V57+'14'!V57+'16'!V57+'17'!V57+'19'!V57+'20'!V57+'22'!V57+'18'!V57+'21'!V57+'25'!V57+'23'!V57+'26'!V57+'24'!V57+'28'!V57+'27'!V57+'29'!V57+'31'!V57+'30'!V57</f>
        <v>0</v>
      </c>
      <c r="W57" s="51">
        <f>+'1'!W57+'3'!W57+'2'!W57+'6'!W57+'5'!W57+'4'!W57+'8'!W57+'7'!W57+'10'!W57+'9'!W57+'11'!W57+'12'!W57+'13'!W57+'15'!W57+'14'!W57+'16'!W57+'17'!W57+'19'!W57+'20'!W57+'22'!W57+'18'!W57+'21'!W57+'25'!W57+'23'!W57+'26'!W57+'24'!W57+'28'!W57+'27'!W57+'29'!W57+'31'!W57+'30'!W57</f>
        <v>0</v>
      </c>
      <c r="X57" s="51">
        <f>+'1'!X57+'3'!X57+'2'!X57+'6'!X57+'5'!X57+'4'!X57+'8'!X57+'7'!X57+'10'!X57+'9'!X57+'11'!X57+'12'!X57+'13'!X57+'15'!X57+'14'!X57+'16'!X57+'17'!X57+'19'!X57+'20'!X57+'22'!X57+'18'!X57+'21'!X57+'25'!X57+'23'!X57+'26'!X57+'24'!X57+'28'!X57+'27'!X57+'29'!X57+'31'!X57+'30'!X57</f>
        <v>0</v>
      </c>
      <c r="Y57" s="51">
        <f>+'1'!Y57+'3'!Y57+'2'!Y57+'6'!Y57+'5'!Y57+'4'!Y57+'8'!Y57+'7'!Y57+'10'!Y57+'9'!Y57+'11'!Y57+'12'!Y57+'13'!Y57+'15'!Y57+'14'!Y57+'16'!Y57+'17'!Y57+'19'!Y57+'20'!Y57+'22'!Y57+'18'!Y57+'21'!Y57+'25'!Y57+'23'!Y57+'26'!Y57+'24'!Y57+'28'!Y57+'27'!Y57+'29'!Y57+'31'!Y57+'30'!Y57</f>
        <v>0</v>
      </c>
      <c r="Z57" s="51">
        <f>+'1'!Z57+'3'!Z57+'2'!Z57+'6'!Z57+'5'!Z57+'4'!Z57+'8'!Z57+'7'!Z57+'10'!Z57+'9'!Z57+'11'!Z57+'12'!Z57+'13'!Z57+'15'!Z57+'14'!Z57+'16'!Z57+'17'!Z57+'19'!Z57+'20'!Z57+'22'!Z57+'18'!Z57+'21'!Z57+'25'!Z57+'23'!Z57+'26'!Z57+'24'!Z57+'28'!Z57+'27'!Z57+'29'!Z57+'31'!Z57+'30'!Z57</f>
        <v>0</v>
      </c>
      <c r="AA57" s="51">
        <f>+'1'!AA57+'3'!AA57+'2'!AA57+'6'!AA57+'5'!AA57+'4'!AA57+'8'!AA57+'7'!AA57+'10'!AA57+'9'!AA57+'11'!AA57+'12'!AA57+'13'!AA57+'15'!AA57+'14'!AA57+'16'!AA57+'17'!AA57+'19'!AA57+'20'!AA57+'22'!AA57+'18'!AA57+'21'!AA57+'25'!AA57+'23'!AA57+'26'!AA57+'24'!AA57+'28'!AA57+'27'!AA57+'29'!AA57+'31'!AA57+'30'!AA57</f>
        <v>0</v>
      </c>
      <c r="AB57" s="51">
        <f>+'1'!AB57+'3'!AB57+'2'!AB57+'6'!AB57+'5'!AB57+'4'!AB57+'8'!AB57+'7'!AB57+'10'!AB57+'9'!AB57+'11'!AB57+'12'!AB57+'13'!AB57+'15'!AB57+'14'!AB57+'16'!AB57+'17'!AB57+'19'!AB57+'20'!AB57+'22'!AB57+'18'!AB57+'21'!AB57+'25'!AB57+'23'!AB57+'26'!AB57+'24'!AB57+'28'!AB57+'27'!AB57+'29'!AB57+'31'!AB57+'30'!AB57</f>
        <v>0</v>
      </c>
      <c r="AC57" s="51">
        <f>+'1'!AC57+'3'!AC57+'2'!AC57+'6'!AC57+'5'!AC57+'4'!AC57+'8'!AC57+'7'!AC57+'10'!AC57+'9'!AC57+'11'!AC57+'12'!AC57+'13'!AC57+'15'!AC57+'14'!AC57+'16'!AC57+'17'!AC57+'19'!AC57+'20'!AC57+'22'!AC57+'18'!AC57+'21'!AC57+'25'!AC57+'23'!AC57+'26'!AC57+'24'!AC57+'28'!AC57+'27'!AC57+'29'!AC57+'31'!AC57+'30'!AC57</f>
        <v>0</v>
      </c>
      <c r="AD57" s="51">
        <f>+'1'!AD57+'3'!AD57+'2'!AD57+'6'!AD57+'5'!AD57+'4'!AD57+'8'!AD57+'7'!AD57+'10'!AD57+'9'!AD57+'11'!AD57+'12'!AD57+'13'!AD57+'15'!AD57+'14'!AD57+'16'!AD57+'17'!AD57+'19'!AD57+'20'!AD57+'22'!AD57+'18'!AD57+'21'!AD57+'25'!AD57+'23'!AD57+'26'!AD57+'24'!AD57+'28'!AD57+'27'!AD57+'29'!AD57+'31'!AD57+'30'!AD57</f>
        <v>0</v>
      </c>
      <c r="AE57" s="51">
        <f>+'1'!AE57+'3'!AE57+'2'!AE57+'6'!AE57+'5'!AE57+'4'!AE57+'8'!AE57+'7'!AE57+'10'!AE57+'9'!AE57+'11'!AE57+'12'!AE57+'13'!AE57+'15'!AE57+'14'!AE57+'16'!AE57+'17'!AE57+'19'!AE57+'20'!AE57+'22'!AE57+'18'!AE57+'21'!AE57+'25'!AE57+'23'!AE57+'26'!AE57+'24'!AE57+'28'!AE57+'27'!AE57+'29'!AE57+'31'!AE57+'30'!AE57</f>
        <v>0</v>
      </c>
      <c r="AF57" s="51">
        <f>+'1'!AF57+'3'!AF57+'2'!AF57+'6'!AF57+'5'!AF57+'4'!AF57+'8'!AF57+'7'!AF57+'10'!AF57+'9'!AF57+'11'!AF57+'12'!AF57+'13'!AF57+'15'!AF57+'14'!AF57+'16'!AF57+'17'!AF57+'19'!AF57+'20'!AF57+'22'!AF57+'18'!AF57+'21'!AF57+'25'!AF57+'23'!AF57+'26'!AF57+'24'!AF57+'28'!AF57+'27'!AF57+'29'!AF57+'31'!AF57+'30'!AF57</f>
        <v>0</v>
      </c>
      <c r="AG57" s="51">
        <f>+'1'!AG57+'3'!AG57+'2'!AG57+'6'!AG57+'5'!AG57+'4'!AG57+'8'!AG57+'7'!AG57+'10'!AG57+'9'!AG57+'11'!AG57+'12'!AG57+'13'!AG57+'15'!AG57+'14'!AG57+'16'!AG57+'17'!AG57+'19'!AG57+'20'!AG57+'22'!AG57+'18'!AG57+'21'!AG57+'25'!AG57+'23'!AG57+'26'!AG57+'24'!AG57+'28'!AG57+'27'!AG57+'29'!AG57+'31'!AG57+'30'!AG57</f>
        <v>0</v>
      </c>
      <c r="AH57" s="51">
        <f>+'1'!AH57+'3'!AH57+'2'!AH57+'6'!AH57+'5'!AH57+'4'!AH57+'8'!AH57+'7'!AH57+'10'!AH57+'9'!AH57+'11'!AH57+'12'!AH57+'13'!AH57+'15'!AH57+'14'!AH57+'16'!AH57+'17'!AH57+'19'!AH57+'20'!AH57+'22'!AH57+'18'!AH57+'21'!AH57+'25'!AH57+'23'!AH57+'26'!AH57+'24'!AH57+'28'!AH57+'27'!AH57+'29'!AH57+'31'!AH57+'30'!AH57</f>
        <v>0</v>
      </c>
      <c r="AI57" s="54">
        <f>+'1'!AI57+'3'!AI57+'2'!AI57+'6'!AI57+'5'!AI57+'4'!AI57+'8'!AI57+'7'!AI57+'10'!AI57+'9'!AI57+'11'!AI57+'12'!AI57+'13'!AI57+'15'!AI57+'14'!AI57+'16'!AI57+'17'!AI57+'19'!AI57+'20'!AI57+'22'!AI57+'18'!AI57+'21'!AI57+'25'!AI57+'23'!AI57+'26'!AI57+'24'!AI57+'28'!AI57+'27'!AI57+'29'!AI57+'31'!AI57+'30'!AI57</f>
        <v>0</v>
      </c>
      <c r="AJ57" s="57">
        <f>+'1'!AJ57+'3'!AJ57+'2'!AJ57+'6'!AJ57+'5'!AJ57+'4'!AJ57+'8'!AJ57+'7'!AJ57+'10'!AJ57+'9'!AJ57+'11'!AJ57+'12'!AJ57+'13'!AJ57+'15'!AJ57+'14'!AJ57+'16'!AJ57+'17'!AJ57+'19'!AJ57+'20'!AJ57+'22'!AJ57+'18'!AJ57+'21'!AJ57+'25'!AJ57+'23'!AJ57+'26'!AJ57+'24'!AJ57+'28'!AJ57+'27'!AJ57+'29'!AJ57+'31'!AJ57+'30'!AJ57</f>
        <v>0</v>
      </c>
      <c r="AK57" s="54">
        <f>+'1'!AK57+'3'!AK57+'2'!AK57+'6'!AK57+'5'!AK57+'4'!AK57+'8'!AK57+'7'!AK57+'10'!AK57+'9'!AK57+'11'!AK57+'12'!AK57+'13'!AK57+'15'!AK57+'14'!AK57+'16'!AK57+'17'!AK57+'19'!AK57+'20'!AK57+'22'!AK57+'18'!AK57+'21'!AK57+'25'!AK57+'23'!AK57+'26'!AK57+'24'!AK57+'28'!AK57+'27'!AK57+'29'!AK57+'31'!AK57+'30'!AK57</f>
        <v>0</v>
      </c>
      <c r="AL57" s="65">
        <f t="shared" si="6"/>
        <v>0</v>
      </c>
      <c r="AM57" s="22" t="str">
        <f t="shared" si="7"/>
        <v>OK</v>
      </c>
    </row>
    <row r="58" spans="1:39" customFormat="1" hidden="1">
      <c r="A58" s="68" t="s">
        <v>122</v>
      </c>
      <c r="B58" s="78">
        <v>18839</v>
      </c>
      <c r="C58" s="23" t="s">
        <v>83</v>
      </c>
      <c r="D58" s="24"/>
      <c r="E58" s="24"/>
      <c r="F58" s="24"/>
      <c r="G58" s="25"/>
      <c r="H58" s="26">
        <f>+'1'!H58+'3'!H58+'2'!H58+'6'!H58+'5'!H58+'4'!H58+'8'!H58+'7'!H58+'10'!H58+'9'!H58+'11'!H58+'12'!H58+'13'!H58+'15'!H58+'14'!H58+'16'!H58+'17'!H58+'19'!H58+'20'!H58+'22'!H58+'18'!H58+'21'!H58+'25'!H58+'23'!H58+'26'!H58+'24'!H58+'28'!H58+'27'!H58+'29'!H58+'31'!H58+'30'!H58</f>
        <v>0</v>
      </c>
      <c r="I58" s="27">
        <f>+'1'!I58+'3'!I58+'2'!I58+'6'!I58+'5'!I58+'4'!I58+'8'!I58+'7'!I58+'10'!I58+'9'!I58+'11'!I58+'12'!I58+'13'!I58+'15'!I58+'14'!I58+'16'!I58+'17'!I58+'19'!I58+'20'!I58+'22'!I58+'18'!I58+'21'!I58+'25'!I58+'23'!I58+'26'!I58+'24'!I58+'28'!I58+'27'!I58+'29'!I58+'31'!I58+'30'!I58</f>
        <v>0</v>
      </c>
      <c r="J58" s="27"/>
      <c r="K58" s="16"/>
      <c r="L58" s="27">
        <f>+'1'!L58+'3'!L58+'2'!L58+'6'!L58+'5'!L58+'4'!L58+'8'!L58+'7'!L58+'10'!L58+'9'!L58+'11'!L58+'12'!L58+'13'!L58+'15'!L58+'14'!L58+'16'!L58+'17'!L58+'19'!L58+'20'!L58+'22'!L58+'18'!L58+'21'!L58+'25'!L58+'23'!L58+'26'!L58+'24'!L58+'28'!L58+'27'!L58+'29'!L58+'31'!L58+'30'!L58</f>
        <v>0</v>
      </c>
      <c r="M58" s="27">
        <f>+'1'!M58+'3'!M58+'2'!M58+'6'!M58+'5'!M58+'4'!M58+'8'!M58+'7'!M58+'10'!M58+'9'!M58+'11'!M58+'12'!M58+'13'!M58+'15'!M58+'14'!M58+'16'!M58+'17'!M58+'19'!M58+'20'!M58+'22'!M58+'18'!M58+'21'!M58+'25'!M58+'23'!M58+'26'!M58+'24'!M58+'28'!M58+'27'!M58+'29'!M58+'31'!M58+'30'!M58</f>
        <v>0</v>
      </c>
      <c r="N58" s="27">
        <f>+'1'!N58+'3'!N58+'2'!N58+'6'!N58+'5'!N58+'4'!N58+'8'!N58+'7'!N58+'10'!N58+'9'!N58+'11'!N58+'12'!N58+'13'!N58+'15'!N58+'14'!N58+'16'!N58+'17'!N58+'19'!N58+'20'!N58+'22'!N58+'18'!N58+'21'!N58+'25'!N58+'23'!N58+'26'!N58+'24'!N58+'28'!N58+'27'!N58+'29'!N58+'31'!N58+'30'!N58</f>
        <v>0</v>
      </c>
      <c r="O58" s="27">
        <f>+'1'!O58+'3'!O58+'2'!O58+'6'!O58+'5'!O58+'4'!O58+'8'!O58+'7'!O58+'10'!O58+'9'!O58+'11'!O58+'12'!O58+'13'!O58+'15'!O58+'14'!O58+'16'!O58+'17'!O58+'19'!O58+'20'!O58+'22'!O58+'18'!O58+'21'!O58+'25'!O58+'23'!O58+'26'!O58+'24'!O58+'28'!O58+'27'!O58+'29'!O58+'31'!O58+'30'!O58</f>
        <v>0</v>
      </c>
      <c r="P58" s="27">
        <f>+'1'!P58+'3'!P58+'2'!P58+'6'!P58+'5'!P58+'4'!P58+'8'!P58+'7'!P58+'10'!P58+'9'!P58+'11'!P58+'12'!P58+'13'!P58+'15'!P58+'14'!P58+'16'!P58+'17'!P58+'19'!P58+'20'!P58+'22'!P58+'18'!P58+'21'!P58+'25'!P58+'23'!P58+'26'!P58+'24'!P58+'28'!P58+'27'!P58+'29'!P58+'31'!P58+'30'!P58</f>
        <v>0</v>
      </c>
      <c r="Q58" s="27">
        <f>+'1'!Q58+'3'!Q58+'2'!Q58+'6'!Q58+'5'!Q58+'4'!Q58+'8'!Q58+'7'!Q58+'10'!Q58+'9'!Q58+'11'!Q58+'12'!Q58+'13'!Q58+'15'!Q58+'14'!Q58+'16'!Q58+'17'!Q58+'19'!Q58+'20'!Q58+'22'!Q58+'18'!Q58+'21'!Q58+'25'!Q58+'23'!Q58+'26'!Q58+'24'!Q58+'28'!Q58+'27'!Q58+'29'!Q58+'31'!Q58+'30'!Q58</f>
        <v>0</v>
      </c>
      <c r="R58" s="27">
        <f>+'1'!R58+'3'!R58+'2'!R58+'6'!R58+'5'!R58+'4'!R58+'8'!R58+'7'!R58+'10'!R58+'9'!R58+'11'!R58+'12'!R58+'13'!R58+'15'!R58+'14'!R58+'16'!R58+'17'!R58+'19'!R58+'20'!R58+'22'!R58+'18'!R58+'21'!R58+'25'!R58+'23'!R58+'26'!R58+'24'!R58+'28'!R58+'27'!R58+'29'!R58+'31'!R58+'30'!R58</f>
        <v>0</v>
      </c>
      <c r="S58" s="27">
        <f>+'1'!S58+'3'!S58+'2'!S58+'6'!S58+'5'!S58+'4'!S58+'8'!S58+'7'!S58+'10'!S58+'9'!S58+'11'!S58+'12'!S58+'13'!S58+'15'!S58+'14'!S58+'16'!S58+'17'!S58+'19'!S58+'20'!S58+'22'!S58+'18'!S58+'21'!S58+'25'!S58+'23'!S58+'26'!S58+'24'!S58+'28'!S58+'27'!S58+'29'!S58+'31'!S58+'30'!S58</f>
        <v>0</v>
      </c>
      <c r="T58" s="43">
        <f>+'1'!T58+'3'!T58+'2'!T58+'6'!T58+'5'!T58+'4'!T58+'8'!T58+'7'!T58+'10'!T58+'9'!T58+'11'!T58+'12'!T58+'13'!T58+'15'!T58+'14'!T58+'16'!T58+'17'!T58+'19'!T58+'20'!T58+'22'!T58+'18'!T58+'21'!T58+'25'!T58+'23'!T58+'26'!T58+'24'!T58+'28'!T58+'27'!T58+'29'!T58+'31'!T58+'30'!T58</f>
        <v>0</v>
      </c>
      <c r="U58" s="52">
        <f>+'1'!U58+'3'!U58+'2'!U58+'6'!U58+'5'!U58+'4'!U58+'8'!U58+'7'!U58+'10'!U58+'9'!U58+'11'!U58+'12'!U58+'13'!U58+'15'!U58+'14'!U58+'16'!U58+'17'!U58+'19'!U58+'20'!U58+'22'!U58+'18'!U58+'21'!U58+'25'!U58+'23'!U58+'26'!U58+'24'!U58+'28'!U58+'27'!U58+'29'!U58+'31'!U58+'30'!U58</f>
        <v>0</v>
      </c>
      <c r="V58" s="52">
        <f>+'1'!V58+'3'!V58+'2'!V58+'6'!V58+'5'!V58+'4'!V58+'8'!V58+'7'!V58+'10'!V58+'9'!V58+'11'!V58+'12'!V58+'13'!V58+'15'!V58+'14'!V58+'16'!V58+'17'!V58+'19'!V58+'20'!V58+'22'!V58+'18'!V58+'21'!V58+'25'!V58+'23'!V58+'26'!V58+'24'!V58+'28'!V58+'27'!V58+'29'!V58+'31'!V58+'30'!V58</f>
        <v>0</v>
      </c>
      <c r="W58" s="52">
        <f>+'1'!W58+'3'!W58+'2'!W58+'6'!W58+'5'!W58+'4'!W58+'8'!W58+'7'!W58+'10'!W58+'9'!W58+'11'!W58+'12'!W58+'13'!W58+'15'!W58+'14'!W58+'16'!W58+'17'!W58+'19'!W58+'20'!W58+'22'!W58+'18'!W58+'21'!W58+'25'!W58+'23'!W58+'26'!W58+'24'!W58+'28'!W58+'27'!W58+'29'!W58+'31'!W58+'30'!W58</f>
        <v>0</v>
      </c>
      <c r="X58" s="52">
        <f>+'1'!X58+'3'!X58+'2'!X58+'6'!X58+'5'!X58+'4'!X58+'8'!X58+'7'!X58+'10'!X58+'9'!X58+'11'!X58+'12'!X58+'13'!X58+'15'!X58+'14'!X58+'16'!X58+'17'!X58+'19'!X58+'20'!X58+'22'!X58+'18'!X58+'21'!X58+'25'!X58+'23'!X58+'26'!X58+'24'!X58+'28'!X58+'27'!X58+'29'!X58+'31'!X58+'30'!X58</f>
        <v>0</v>
      </c>
      <c r="Y58" s="52">
        <f>+'1'!Y58+'3'!Y58+'2'!Y58+'6'!Y58+'5'!Y58+'4'!Y58+'8'!Y58+'7'!Y58+'10'!Y58+'9'!Y58+'11'!Y58+'12'!Y58+'13'!Y58+'15'!Y58+'14'!Y58+'16'!Y58+'17'!Y58+'19'!Y58+'20'!Y58+'22'!Y58+'18'!Y58+'21'!Y58+'25'!Y58+'23'!Y58+'26'!Y58+'24'!Y58+'28'!Y58+'27'!Y58+'29'!Y58+'31'!Y58+'30'!Y58</f>
        <v>0</v>
      </c>
      <c r="Z58" s="52">
        <f>+'1'!Z58+'3'!Z58+'2'!Z58+'6'!Z58+'5'!Z58+'4'!Z58+'8'!Z58+'7'!Z58+'10'!Z58+'9'!Z58+'11'!Z58+'12'!Z58+'13'!Z58+'15'!Z58+'14'!Z58+'16'!Z58+'17'!Z58+'19'!Z58+'20'!Z58+'22'!Z58+'18'!Z58+'21'!Z58+'25'!Z58+'23'!Z58+'26'!Z58+'24'!Z58+'28'!Z58+'27'!Z58+'29'!Z58+'31'!Z58+'30'!Z58</f>
        <v>0</v>
      </c>
      <c r="AA58" s="52">
        <f>+'1'!AA58+'3'!AA58+'2'!AA58+'6'!AA58+'5'!AA58+'4'!AA58+'8'!AA58+'7'!AA58+'10'!AA58+'9'!AA58+'11'!AA58+'12'!AA58+'13'!AA58+'15'!AA58+'14'!AA58+'16'!AA58+'17'!AA58+'19'!AA58+'20'!AA58+'22'!AA58+'18'!AA58+'21'!AA58+'25'!AA58+'23'!AA58+'26'!AA58+'24'!AA58+'28'!AA58+'27'!AA58+'29'!AA58+'31'!AA58+'30'!AA58</f>
        <v>0</v>
      </c>
      <c r="AB58" s="52">
        <f>+'1'!AB58+'3'!AB58+'2'!AB58+'6'!AB58+'5'!AB58+'4'!AB58+'8'!AB58+'7'!AB58+'10'!AB58+'9'!AB58+'11'!AB58+'12'!AB58+'13'!AB58+'15'!AB58+'14'!AB58+'16'!AB58+'17'!AB58+'19'!AB58+'20'!AB58+'22'!AB58+'18'!AB58+'21'!AB58+'25'!AB58+'23'!AB58+'26'!AB58+'24'!AB58+'28'!AB58+'27'!AB58+'29'!AB58+'31'!AB58+'30'!AB58</f>
        <v>0</v>
      </c>
      <c r="AC58" s="52">
        <f>+'1'!AC58+'3'!AC58+'2'!AC58+'6'!AC58+'5'!AC58+'4'!AC58+'8'!AC58+'7'!AC58+'10'!AC58+'9'!AC58+'11'!AC58+'12'!AC58+'13'!AC58+'15'!AC58+'14'!AC58+'16'!AC58+'17'!AC58+'19'!AC58+'20'!AC58+'22'!AC58+'18'!AC58+'21'!AC58+'25'!AC58+'23'!AC58+'26'!AC58+'24'!AC58+'28'!AC58+'27'!AC58+'29'!AC58+'31'!AC58+'30'!AC58</f>
        <v>0</v>
      </c>
      <c r="AD58" s="52">
        <f>+'1'!AD58+'3'!AD58+'2'!AD58+'6'!AD58+'5'!AD58+'4'!AD58+'8'!AD58+'7'!AD58+'10'!AD58+'9'!AD58+'11'!AD58+'12'!AD58+'13'!AD58+'15'!AD58+'14'!AD58+'16'!AD58+'17'!AD58+'19'!AD58+'20'!AD58+'22'!AD58+'18'!AD58+'21'!AD58+'25'!AD58+'23'!AD58+'26'!AD58+'24'!AD58+'28'!AD58+'27'!AD58+'29'!AD58+'31'!AD58+'30'!AD58</f>
        <v>0</v>
      </c>
      <c r="AE58" s="52">
        <f>+'1'!AE58+'3'!AE58+'2'!AE58+'6'!AE58+'5'!AE58+'4'!AE58+'8'!AE58+'7'!AE58+'10'!AE58+'9'!AE58+'11'!AE58+'12'!AE58+'13'!AE58+'15'!AE58+'14'!AE58+'16'!AE58+'17'!AE58+'19'!AE58+'20'!AE58+'22'!AE58+'18'!AE58+'21'!AE58+'25'!AE58+'23'!AE58+'26'!AE58+'24'!AE58+'28'!AE58+'27'!AE58+'29'!AE58+'31'!AE58+'30'!AE58</f>
        <v>0</v>
      </c>
      <c r="AF58" s="52">
        <f>+'1'!AF58+'3'!AF58+'2'!AF58+'6'!AF58+'5'!AF58+'4'!AF58+'8'!AF58+'7'!AF58+'10'!AF58+'9'!AF58+'11'!AF58+'12'!AF58+'13'!AF58+'15'!AF58+'14'!AF58+'16'!AF58+'17'!AF58+'19'!AF58+'20'!AF58+'22'!AF58+'18'!AF58+'21'!AF58+'25'!AF58+'23'!AF58+'26'!AF58+'24'!AF58+'28'!AF58+'27'!AF58+'29'!AF58+'31'!AF58+'30'!AF58</f>
        <v>0</v>
      </c>
      <c r="AG58" s="52">
        <f>+'1'!AG58+'3'!AG58+'2'!AG58+'6'!AG58+'5'!AG58+'4'!AG58+'8'!AG58+'7'!AG58+'10'!AG58+'9'!AG58+'11'!AG58+'12'!AG58+'13'!AG58+'15'!AG58+'14'!AG58+'16'!AG58+'17'!AG58+'19'!AG58+'20'!AG58+'22'!AG58+'18'!AG58+'21'!AG58+'25'!AG58+'23'!AG58+'26'!AG58+'24'!AG58+'28'!AG58+'27'!AG58+'29'!AG58+'31'!AG58+'30'!AG58</f>
        <v>0</v>
      </c>
      <c r="AH58" s="52">
        <f>+'1'!AH58+'3'!AH58+'2'!AH58+'6'!AH58+'5'!AH58+'4'!AH58+'8'!AH58+'7'!AH58+'10'!AH58+'9'!AH58+'11'!AH58+'12'!AH58+'13'!AH58+'15'!AH58+'14'!AH58+'16'!AH58+'17'!AH58+'19'!AH58+'20'!AH58+'22'!AH58+'18'!AH58+'21'!AH58+'25'!AH58+'23'!AH58+'26'!AH58+'24'!AH58+'28'!AH58+'27'!AH58+'29'!AH58+'31'!AH58+'30'!AH58</f>
        <v>0</v>
      </c>
      <c r="AI58" s="55">
        <f>+'1'!AI58+'3'!AI58+'2'!AI58+'6'!AI58+'5'!AI58+'4'!AI58+'8'!AI58+'7'!AI58+'10'!AI58+'9'!AI58+'11'!AI58+'12'!AI58+'13'!AI58+'15'!AI58+'14'!AI58+'16'!AI58+'17'!AI58+'19'!AI58+'20'!AI58+'22'!AI58+'18'!AI58+'21'!AI58+'25'!AI58+'23'!AI58+'26'!AI58+'24'!AI58+'28'!AI58+'27'!AI58+'29'!AI58+'31'!AI58+'30'!AI58</f>
        <v>0</v>
      </c>
      <c r="AJ58" s="58">
        <f>+'1'!AJ58+'3'!AJ58+'2'!AJ58+'6'!AJ58+'5'!AJ58+'4'!AJ58+'8'!AJ58+'7'!AJ58+'10'!AJ58+'9'!AJ58+'11'!AJ58+'12'!AJ58+'13'!AJ58+'15'!AJ58+'14'!AJ58+'16'!AJ58+'17'!AJ58+'19'!AJ58+'20'!AJ58+'22'!AJ58+'18'!AJ58+'21'!AJ58+'25'!AJ58+'23'!AJ58+'26'!AJ58+'24'!AJ58+'28'!AJ58+'27'!AJ58+'29'!AJ58+'31'!AJ58+'30'!AJ58</f>
        <v>0</v>
      </c>
      <c r="AK58" s="55">
        <f>+'1'!AK58+'3'!AK58+'2'!AK58+'6'!AK58+'5'!AK58+'4'!AK58+'8'!AK58+'7'!AK58+'10'!AK58+'9'!AK58+'11'!AK58+'12'!AK58+'13'!AK58+'15'!AK58+'14'!AK58+'16'!AK58+'17'!AK58+'19'!AK58+'20'!AK58+'22'!AK58+'18'!AK58+'21'!AK58+'25'!AK58+'23'!AK58+'26'!AK58+'24'!AK58+'28'!AK58+'27'!AK58+'29'!AK58+'31'!AK58+'30'!AK58</f>
        <v>0</v>
      </c>
      <c r="AL58" s="66">
        <f t="shared" si="6"/>
        <v>0</v>
      </c>
      <c r="AM58" s="28" t="str">
        <f t="shared" si="7"/>
        <v>OK</v>
      </c>
    </row>
    <row r="59" spans="1:39" customFormat="1" hidden="1">
      <c r="A59" s="80" t="s">
        <v>123</v>
      </c>
      <c r="B59" s="77">
        <v>18840</v>
      </c>
      <c r="C59" s="17" t="s">
        <v>83</v>
      </c>
      <c r="D59" s="69"/>
      <c r="E59" s="18"/>
      <c r="F59" s="18"/>
      <c r="G59" s="19"/>
      <c r="H59" s="20">
        <f>+'1'!H59+'3'!H59+'2'!H59+'6'!H59+'5'!H59+'4'!H59+'8'!H59+'7'!H59+'10'!H59+'9'!H59+'11'!H59+'12'!H59+'13'!H59+'15'!H59+'14'!H59+'16'!H59+'17'!H59+'19'!H59+'20'!H59+'22'!H59+'18'!H59+'21'!H59+'25'!H59+'23'!H59+'26'!H59+'24'!H59+'28'!H59+'27'!H59+'29'!H59+'31'!H59+'30'!H59</f>
        <v>0</v>
      </c>
      <c r="I59" s="21">
        <f>+'1'!I59+'3'!I59+'2'!I59+'6'!I59+'5'!I59+'4'!I59+'8'!I59+'7'!I59+'10'!I59+'9'!I59+'11'!I59+'12'!I59+'13'!I59+'15'!I59+'14'!I59+'16'!I59+'17'!I59+'19'!I59+'20'!I59+'22'!I59+'18'!I59+'21'!I59+'25'!I59+'23'!I59+'26'!I59+'24'!I59+'28'!I59+'27'!I59+'29'!I59+'31'!I59+'30'!I59</f>
        <v>0</v>
      </c>
      <c r="J59" s="21"/>
      <c r="K59" s="16"/>
      <c r="L59" s="21">
        <f>+'1'!L59+'3'!L59+'2'!L59+'6'!L59+'5'!L59+'4'!L59+'8'!L59+'7'!L59+'10'!L59+'9'!L59+'11'!L59+'12'!L59+'13'!L59+'15'!L59+'14'!L59+'16'!L59+'17'!L59+'19'!L59+'20'!L59+'22'!L59+'18'!L59+'21'!L59+'25'!L59+'23'!L59+'26'!L59+'24'!L59+'28'!L59+'27'!L59+'29'!L59+'31'!L59+'30'!L59</f>
        <v>0</v>
      </c>
      <c r="M59" s="21">
        <f>+'1'!M59+'3'!M59+'2'!M59+'6'!M59+'5'!M59+'4'!M59+'8'!M59+'7'!M59+'10'!M59+'9'!M59+'11'!M59+'12'!M59+'13'!M59+'15'!M59+'14'!M59+'16'!M59+'17'!M59+'19'!M59+'20'!M59+'22'!M59+'18'!M59+'21'!M59+'25'!M59+'23'!M59+'26'!M59+'24'!M59+'28'!M59+'27'!M59+'29'!M59+'31'!M59+'30'!M59</f>
        <v>0</v>
      </c>
      <c r="N59" s="21">
        <f>+'1'!N59+'3'!N59+'2'!N59+'6'!N59+'5'!N59+'4'!N59+'8'!N59+'7'!N59+'10'!N59+'9'!N59+'11'!N59+'12'!N59+'13'!N59+'15'!N59+'14'!N59+'16'!N59+'17'!N59+'19'!N59+'20'!N59+'22'!N59+'18'!N59+'21'!N59+'25'!N59+'23'!N59+'26'!N59+'24'!N59+'28'!N59+'27'!N59+'29'!N59+'31'!N59+'30'!N59</f>
        <v>0</v>
      </c>
      <c r="O59" s="21">
        <f>+'1'!O59+'3'!O59+'2'!O59+'6'!O59+'5'!O59+'4'!O59+'8'!O59+'7'!O59+'10'!O59+'9'!O59+'11'!O59+'12'!O59+'13'!O59+'15'!O59+'14'!O59+'16'!O59+'17'!O59+'19'!O59+'20'!O59+'22'!O59+'18'!O59+'21'!O59+'25'!O59+'23'!O59+'26'!O59+'24'!O59+'28'!O59+'27'!O59+'29'!O59+'31'!O59+'30'!O59</f>
        <v>0</v>
      </c>
      <c r="P59" s="21">
        <f>+'1'!P59+'3'!P59+'2'!P59+'6'!P59+'5'!P59+'4'!P59+'8'!P59+'7'!P59+'10'!P59+'9'!P59+'11'!P59+'12'!P59+'13'!P59+'15'!P59+'14'!P59+'16'!P59+'17'!P59+'19'!P59+'20'!P59+'22'!P59+'18'!P59+'21'!P59+'25'!P59+'23'!P59+'26'!P59+'24'!P59+'28'!P59+'27'!P59+'29'!P59+'31'!P59+'30'!P59</f>
        <v>0</v>
      </c>
      <c r="Q59" s="21">
        <f>+'1'!Q59+'3'!Q59+'2'!Q59+'6'!Q59+'5'!Q59+'4'!Q59+'8'!Q59+'7'!Q59+'10'!Q59+'9'!Q59+'11'!Q59+'12'!Q59+'13'!Q59+'15'!Q59+'14'!Q59+'16'!Q59+'17'!Q59+'19'!Q59+'20'!Q59+'22'!Q59+'18'!Q59+'21'!Q59+'25'!Q59+'23'!Q59+'26'!Q59+'24'!Q59+'28'!Q59+'27'!Q59+'29'!Q59+'31'!Q59+'30'!Q59</f>
        <v>0</v>
      </c>
      <c r="R59" s="21">
        <f>+'1'!R59+'3'!R59+'2'!R59+'6'!R59+'5'!R59+'4'!R59+'8'!R59+'7'!R59+'10'!R59+'9'!R59+'11'!R59+'12'!R59+'13'!R59+'15'!R59+'14'!R59+'16'!R59+'17'!R59+'19'!R59+'20'!R59+'22'!R59+'18'!R59+'21'!R59+'25'!R59+'23'!R59+'26'!R59+'24'!R59+'28'!R59+'27'!R59+'29'!R59+'31'!R59+'30'!R59</f>
        <v>0</v>
      </c>
      <c r="S59" s="21">
        <f>+'1'!S59+'3'!S59+'2'!S59+'6'!S59+'5'!S59+'4'!S59+'8'!S59+'7'!S59+'10'!S59+'9'!S59+'11'!S59+'12'!S59+'13'!S59+'15'!S59+'14'!S59+'16'!S59+'17'!S59+'19'!S59+'20'!S59+'22'!S59+'18'!S59+'21'!S59+'25'!S59+'23'!S59+'26'!S59+'24'!S59+'28'!S59+'27'!S59+'29'!S59+'31'!S59+'30'!S59</f>
        <v>0</v>
      </c>
      <c r="T59" s="42">
        <f>+'1'!T59+'3'!T59+'2'!T59+'6'!T59+'5'!T59+'4'!T59+'8'!T59+'7'!T59+'10'!T59+'9'!T59+'11'!T59+'12'!T59+'13'!T59+'15'!T59+'14'!T59+'16'!T59+'17'!T59+'19'!T59+'20'!T59+'22'!T59+'18'!T59+'21'!T59+'25'!T59+'23'!T59+'26'!T59+'24'!T59+'28'!T59+'27'!T59+'29'!T59+'31'!T59+'30'!T59</f>
        <v>0</v>
      </c>
      <c r="U59" s="51">
        <f>+'1'!U59+'3'!U59+'2'!U59+'6'!U59+'5'!U59+'4'!U59+'8'!U59+'7'!U59+'10'!U59+'9'!U59+'11'!U59+'12'!U59+'13'!U59+'15'!U59+'14'!U59+'16'!U59+'17'!U59+'19'!U59+'20'!U59+'22'!U59+'18'!U59+'21'!U59+'25'!U59+'23'!U59+'26'!U59+'24'!U59+'28'!U59+'27'!U59+'29'!U59+'31'!U59+'30'!U59</f>
        <v>0</v>
      </c>
      <c r="V59" s="51">
        <f>+'1'!V59+'3'!V59+'2'!V59+'6'!V59+'5'!V59+'4'!V59+'8'!V59+'7'!V59+'10'!V59+'9'!V59+'11'!V59+'12'!V59+'13'!V59+'15'!V59+'14'!V59+'16'!V59+'17'!V59+'19'!V59+'20'!V59+'22'!V59+'18'!V59+'21'!V59+'25'!V59+'23'!V59+'26'!V59+'24'!V59+'28'!V59+'27'!V59+'29'!V59+'31'!V59+'30'!V59</f>
        <v>0</v>
      </c>
      <c r="W59" s="51">
        <f>+'1'!W59+'3'!W59+'2'!W59+'6'!W59+'5'!W59+'4'!W59+'8'!W59+'7'!W59+'10'!W59+'9'!W59+'11'!W59+'12'!W59+'13'!W59+'15'!W59+'14'!W59+'16'!W59+'17'!W59+'19'!W59+'20'!W59+'22'!W59+'18'!W59+'21'!W59+'25'!W59+'23'!W59+'26'!W59+'24'!W59+'28'!W59+'27'!W59+'29'!W59+'31'!W59+'30'!W59</f>
        <v>0</v>
      </c>
      <c r="X59" s="51">
        <f>+'1'!X59+'3'!X59+'2'!X59+'6'!X59+'5'!X59+'4'!X59+'8'!X59+'7'!X59+'10'!X59+'9'!X59+'11'!X59+'12'!X59+'13'!X59+'15'!X59+'14'!X59+'16'!X59+'17'!X59+'19'!X59+'20'!X59+'22'!X59+'18'!X59+'21'!X59+'25'!X59+'23'!X59+'26'!X59+'24'!X59+'28'!X59+'27'!X59+'29'!X59+'31'!X59+'30'!X59</f>
        <v>0</v>
      </c>
      <c r="Y59" s="51">
        <f>+'1'!Y59+'3'!Y59+'2'!Y59+'6'!Y59+'5'!Y59+'4'!Y59+'8'!Y59+'7'!Y59+'10'!Y59+'9'!Y59+'11'!Y59+'12'!Y59+'13'!Y59+'15'!Y59+'14'!Y59+'16'!Y59+'17'!Y59+'19'!Y59+'20'!Y59+'22'!Y59+'18'!Y59+'21'!Y59+'25'!Y59+'23'!Y59+'26'!Y59+'24'!Y59+'28'!Y59+'27'!Y59+'29'!Y59+'31'!Y59+'30'!Y59</f>
        <v>0</v>
      </c>
      <c r="Z59" s="51">
        <f>+'1'!Z59+'3'!Z59+'2'!Z59+'6'!Z59+'5'!Z59+'4'!Z59+'8'!Z59+'7'!Z59+'10'!Z59+'9'!Z59+'11'!Z59+'12'!Z59+'13'!Z59+'15'!Z59+'14'!Z59+'16'!Z59+'17'!Z59+'19'!Z59+'20'!Z59+'22'!Z59+'18'!Z59+'21'!Z59+'25'!Z59+'23'!Z59+'26'!Z59+'24'!Z59+'28'!Z59+'27'!Z59+'29'!Z59+'31'!Z59+'30'!Z59</f>
        <v>0</v>
      </c>
      <c r="AA59" s="51">
        <f>+'1'!AA59+'3'!AA59+'2'!AA59+'6'!AA59+'5'!AA59+'4'!AA59+'8'!AA59+'7'!AA59+'10'!AA59+'9'!AA59+'11'!AA59+'12'!AA59+'13'!AA59+'15'!AA59+'14'!AA59+'16'!AA59+'17'!AA59+'19'!AA59+'20'!AA59+'22'!AA59+'18'!AA59+'21'!AA59+'25'!AA59+'23'!AA59+'26'!AA59+'24'!AA59+'28'!AA59+'27'!AA59+'29'!AA59+'31'!AA59+'30'!AA59</f>
        <v>0</v>
      </c>
      <c r="AB59" s="51">
        <f>+'1'!AB59+'3'!AB59+'2'!AB59+'6'!AB59+'5'!AB59+'4'!AB59+'8'!AB59+'7'!AB59+'10'!AB59+'9'!AB59+'11'!AB59+'12'!AB59+'13'!AB59+'15'!AB59+'14'!AB59+'16'!AB59+'17'!AB59+'19'!AB59+'20'!AB59+'22'!AB59+'18'!AB59+'21'!AB59+'25'!AB59+'23'!AB59+'26'!AB59+'24'!AB59+'28'!AB59+'27'!AB59+'29'!AB59+'31'!AB59+'30'!AB59</f>
        <v>0</v>
      </c>
      <c r="AC59" s="51">
        <f>+'1'!AC59+'3'!AC59+'2'!AC59+'6'!AC59+'5'!AC59+'4'!AC59+'8'!AC59+'7'!AC59+'10'!AC59+'9'!AC59+'11'!AC59+'12'!AC59+'13'!AC59+'15'!AC59+'14'!AC59+'16'!AC59+'17'!AC59+'19'!AC59+'20'!AC59+'22'!AC59+'18'!AC59+'21'!AC59+'25'!AC59+'23'!AC59+'26'!AC59+'24'!AC59+'28'!AC59+'27'!AC59+'29'!AC59+'31'!AC59+'30'!AC59</f>
        <v>0</v>
      </c>
      <c r="AD59" s="51">
        <f>+'1'!AD59+'3'!AD59+'2'!AD59+'6'!AD59+'5'!AD59+'4'!AD59+'8'!AD59+'7'!AD59+'10'!AD59+'9'!AD59+'11'!AD59+'12'!AD59+'13'!AD59+'15'!AD59+'14'!AD59+'16'!AD59+'17'!AD59+'19'!AD59+'20'!AD59+'22'!AD59+'18'!AD59+'21'!AD59+'25'!AD59+'23'!AD59+'26'!AD59+'24'!AD59+'28'!AD59+'27'!AD59+'29'!AD59+'31'!AD59+'30'!AD59</f>
        <v>0</v>
      </c>
      <c r="AE59" s="51">
        <f>+'1'!AE59+'3'!AE59+'2'!AE59+'6'!AE59+'5'!AE59+'4'!AE59+'8'!AE59+'7'!AE59+'10'!AE59+'9'!AE59+'11'!AE59+'12'!AE59+'13'!AE59+'15'!AE59+'14'!AE59+'16'!AE59+'17'!AE59+'19'!AE59+'20'!AE59+'22'!AE59+'18'!AE59+'21'!AE59+'25'!AE59+'23'!AE59+'26'!AE59+'24'!AE59+'28'!AE59+'27'!AE59+'29'!AE59+'31'!AE59+'30'!AE59</f>
        <v>0</v>
      </c>
      <c r="AF59" s="51">
        <f>+'1'!AF59+'3'!AF59+'2'!AF59+'6'!AF59+'5'!AF59+'4'!AF59+'8'!AF59+'7'!AF59+'10'!AF59+'9'!AF59+'11'!AF59+'12'!AF59+'13'!AF59+'15'!AF59+'14'!AF59+'16'!AF59+'17'!AF59+'19'!AF59+'20'!AF59+'22'!AF59+'18'!AF59+'21'!AF59+'25'!AF59+'23'!AF59+'26'!AF59+'24'!AF59+'28'!AF59+'27'!AF59+'29'!AF59+'31'!AF59+'30'!AF59</f>
        <v>0</v>
      </c>
      <c r="AG59" s="51">
        <f>+'1'!AG59+'3'!AG59+'2'!AG59+'6'!AG59+'5'!AG59+'4'!AG59+'8'!AG59+'7'!AG59+'10'!AG59+'9'!AG59+'11'!AG59+'12'!AG59+'13'!AG59+'15'!AG59+'14'!AG59+'16'!AG59+'17'!AG59+'19'!AG59+'20'!AG59+'22'!AG59+'18'!AG59+'21'!AG59+'25'!AG59+'23'!AG59+'26'!AG59+'24'!AG59+'28'!AG59+'27'!AG59+'29'!AG59+'31'!AG59+'30'!AG59</f>
        <v>0</v>
      </c>
      <c r="AH59" s="51">
        <f>+'1'!AH59+'3'!AH59+'2'!AH59+'6'!AH59+'5'!AH59+'4'!AH59+'8'!AH59+'7'!AH59+'10'!AH59+'9'!AH59+'11'!AH59+'12'!AH59+'13'!AH59+'15'!AH59+'14'!AH59+'16'!AH59+'17'!AH59+'19'!AH59+'20'!AH59+'22'!AH59+'18'!AH59+'21'!AH59+'25'!AH59+'23'!AH59+'26'!AH59+'24'!AH59+'28'!AH59+'27'!AH59+'29'!AH59+'31'!AH59+'30'!AH59</f>
        <v>0</v>
      </c>
      <c r="AI59" s="54">
        <f>+'1'!AI59+'3'!AI59+'2'!AI59+'6'!AI59+'5'!AI59+'4'!AI59+'8'!AI59+'7'!AI59+'10'!AI59+'9'!AI59+'11'!AI59+'12'!AI59+'13'!AI59+'15'!AI59+'14'!AI59+'16'!AI59+'17'!AI59+'19'!AI59+'20'!AI59+'22'!AI59+'18'!AI59+'21'!AI59+'25'!AI59+'23'!AI59+'26'!AI59+'24'!AI59+'28'!AI59+'27'!AI59+'29'!AI59+'31'!AI59+'30'!AI59</f>
        <v>0</v>
      </c>
      <c r="AJ59" s="57">
        <f>+'1'!AJ59+'3'!AJ59+'2'!AJ59+'6'!AJ59+'5'!AJ59+'4'!AJ59+'8'!AJ59+'7'!AJ59+'10'!AJ59+'9'!AJ59+'11'!AJ59+'12'!AJ59+'13'!AJ59+'15'!AJ59+'14'!AJ59+'16'!AJ59+'17'!AJ59+'19'!AJ59+'20'!AJ59+'22'!AJ59+'18'!AJ59+'21'!AJ59+'25'!AJ59+'23'!AJ59+'26'!AJ59+'24'!AJ59+'28'!AJ59+'27'!AJ59+'29'!AJ59+'31'!AJ59+'30'!AJ59</f>
        <v>0</v>
      </c>
      <c r="AK59" s="54">
        <f>+'1'!AK59+'3'!AK59+'2'!AK59+'6'!AK59+'5'!AK59+'4'!AK59+'8'!AK59+'7'!AK59+'10'!AK59+'9'!AK59+'11'!AK59+'12'!AK59+'13'!AK59+'15'!AK59+'14'!AK59+'16'!AK59+'17'!AK59+'19'!AK59+'20'!AK59+'22'!AK59+'18'!AK59+'21'!AK59+'25'!AK59+'23'!AK59+'26'!AK59+'24'!AK59+'28'!AK59+'27'!AK59+'29'!AK59+'31'!AK59+'30'!AK59</f>
        <v>0</v>
      </c>
      <c r="AL59" s="65">
        <f t="shared" si="6"/>
        <v>0</v>
      </c>
      <c r="AM59" s="22" t="str">
        <f t="shared" si="7"/>
        <v>OK</v>
      </c>
    </row>
    <row r="60" spans="1:39" customFormat="1">
      <c r="A60" s="68" t="s">
        <v>84</v>
      </c>
      <c r="B60" s="78">
        <v>11380</v>
      </c>
      <c r="C60" s="23" t="s">
        <v>60</v>
      </c>
      <c r="D60" s="24"/>
      <c r="E60" s="24"/>
      <c r="F60" s="24"/>
      <c r="G60" s="25"/>
      <c r="H60" s="26">
        <f>+'1'!H60+'3'!H60+'2'!H60+'6'!H60+'5'!H60+'4'!H60+'8'!H60+'7'!H60+'10'!H60+'9'!H60+'11'!H60+'12'!H60+'13'!H60+'15'!H60+'14'!H60+'16'!H60+'17'!H60+'19'!H60+'20'!H60+'22'!H60+'18'!H60+'21'!H60+'25'!H60+'23'!H60+'26'!H60+'24'!H60+'28'!H60+'27'!H60+'29'!H60+'31'!H60+'30'!H60</f>
        <v>28657</v>
      </c>
      <c r="I60" s="27">
        <f>+'1'!I60+'3'!I60+'2'!I60+'6'!I60+'5'!I60+'4'!I60+'8'!I60+'7'!I60+'10'!I60+'9'!I60+'11'!I60+'12'!I60+'13'!I60+'15'!I60+'14'!I60+'16'!I60+'17'!I60+'19'!I60+'20'!I60+'22'!I60+'18'!I60+'21'!I60+'25'!I60+'23'!I60+'26'!I60+'24'!I60+'28'!I60+'27'!I60+'29'!I60+'31'!I60+'30'!I60</f>
        <v>8</v>
      </c>
      <c r="J60" s="27"/>
      <c r="K60" s="16"/>
      <c r="L60" s="27">
        <f>+'1'!L60+'3'!L60+'2'!L60+'6'!L60+'5'!L60+'4'!L60+'8'!L60+'7'!L60+'10'!L60+'9'!L60+'11'!L60+'12'!L60+'13'!L60+'15'!L60+'14'!L60+'16'!L60+'17'!L60+'19'!L60+'20'!L60+'22'!L60+'18'!L60+'21'!L60+'25'!L60+'23'!L60+'26'!L60+'24'!L60+'28'!L60+'27'!L60+'29'!L60+'31'!L60+'30'!L60</f>
        <v>1</v>
      </c>
      <c r="M60" s="27">
        <f>+'1'!M60+'3'!M60+'2'!M60+'6'!M60+'5'!M60+'4'!M60+'8'!M60+'7'!M60+'10'!M60+'9'!M60+'11'!M60+'12'!M60+'13'!M60+'15'!M60+'14'!M60+'16'!M60+'17'!M60+'19'!M60+'20'!M60+'22'!M60+'18'!M60+'21'!M60+'25'!M60+'23'!M60+'26'!M60+'24'!M60+'28'!M60+'27'!M60+'29'!M60+'31'!M60+'30'!M60</f>
        <v>0</v>
      </c>
      <c r="N60" s="27">
        <f>+'1'!N60+'3'!N60+'2'!N60+'6'!N60+'5'!N60+'4'!N60+'8'!N60+'7'!N60+'10'!N60+'9'!N60+'11'!N60+'12'!N60+'13'!N60+'15'!N60+'14'!N60+'16'!N60+'17'!N60+'19'!N60+'20'!N60+'22'!N60+'18'!N60+'21'!N60+'25'!N60+'23'!N60+'26'!N60+'24'!N60+'28'!N60+'27'!N60+'29'!N60+'31'!N60+'30'!N60</f>
        <v>0</v>
      </c>
      <c r="O60" s="27">
        <f>+'1'!O60+'3'!O60+'2'!O60+'6'!O60+'5'!O60+'4'!O60+'8'!O60+'7'!O60+'10'!O60+'9'!O60+'11'!O60+'12'!O60+'13'!O60+'15'!O60+'14'!O60+'16'!O60+'17'!O60+'19'!O60+'20'!O60+'22'!O60+'18'!O60+'21'!O60+'25'!O60+'23'!O60+'26'!O60+'24'!O60+'28'!O60+'27'!O60+'29'!O60+'31'!O60+'30'!O60</f>
        <v>0</v>
      </c>
      <c r="P60" s="27">
        <f>+'1'!P60+'3'!P60+'2'!P60+'6'!P60+'5'!P60+'4'!P60+'8'!P60+'7'!P60+'10'!P60+'9'!P60+'11'!P60+'12'!P60+'13'!P60+'15'!P60+'14'!P60+'16'!P60+'17'!P60+'19'!P60+'20'!P60+'22'!P60+'18'!P60+'21'!P60+'25'!P60+'23'!P60+'26'!P60+'24'!P60+'28'!P60+'27'!P60+'29'!P60+'31'!P60+'30'!P60</f>
        <v>0</v>
      </c>
      <c r="Q60" s="27">
        <f>+'1'!Q60+'3'!Q60+'2'!Q60+'6'!Q60+'5'!Q60+'4'!Q60+'8'!Q60+'7'!Q60+'10'!Q60+'9'!Q60+'11'!Q60+'12'!Q60+'13'!Q60+'15'!Q60+'14'!Q60+'16'!Q60+'17'!Q60+'19'!Q60+'20'!Q60+'22'!Q60+'18'!Q60+'21'!Q60+'25'!Q60+'23'!Q60+'26'!Q60+'24'!Q60+'28'!Q60+'27'!Q60+'29'!Q60+'31'!Q60+'30'!Q60</f>
        <v>0</v>
      </c>
      <c r="R60" s="27">
        <f>+'1'!R60+'3'!R60+'2'!R60+'6'!R60+'5'!R60+'4'!R60+'8'!R60+'7'!R60+'10'!R60+'9'!R60+'11'!R60+'12'!R60+'13'!R60+'15'!R60+'14'!R60+'16'!R60+'17'!R60+'19'!R60+'20'!R60+'22'!R60+'18'!R60+'21'!R60+'25'!R60+'23'!R60+'26'!R60+'24'!R60+'28'!R60+'27'!R60+'29'!R60+'31'!R60+'30'!R60</f>
        <v>0</v>
      </c>
      <c r="S60" s="27">
        <f>+'1'!S60+'3'!S60+'2'!S60+'6'!S60+'5'!S60+'4'!S60+'8'!S60+'7'!S60+'10'!S60+'9'!S60+'11'!S60+'12'!S60+'13'!S60+'15'!S60+'14'!S60+'16'!S60+'17'!S60+'19'!S60+'20'!S60+'22'!S60+'18'!S60+'21'!S60+'25'!S60+'23'!S60+'26'!S60+'24'!S60+'28'!S60+'27'!S60+'29'!S60+'31'!S60+'30'!S60</f>
        <v>0</v>
      </c>
      <c r="T60" s="43">
        <f>+'1'!T60+'3'!T60+'2'!T60+'6'!T60+'5'!T60+'4'!T60+'8'!T60+'7'!T60+'10'!T60+'9'!T60+'11'!T60+'12'!T60+'13'!T60+'15'!T60+'14'!T60+'16'!T60+'17'!T60+'19'!T60+'20'!T60+'22'!T60+'18'!T60+'21'!T60+'25'!T60+'23'!T60+'26'!T60+'24'!T60+'28'!T60+'27'!T60+'29'!T60+'31'!T60+'30'!T60</f>
        <v>0</v>
      </c>
      <c r="U60" s="52">
        <f>+'1'!U60+'3'!U60+'2'!U60+'6'!U60+'5'!U60+'4'!U60+'8'!U60+'7'!U60+'10'!U60+'9'!U60+'11'!U60+'12'!U60+'13'!U60+'15'!U60+'14'!U60+'16'!U60+'17'!U60+'19'!U60+'20'!U60+'22'!U60+'18'!U60+'21'!U60+'25'!U60+'23'!U60+'26'!U60+'24'!U60+'28'!U60+'27'!U60+'29'!U60+'31'!U60+'30'!U60</f>
        <v>4</v>
      </c>
      <c r="V60" s="52">
        <f>+'1'!V60+'3'!V60+'2'!V60+'6'!V60+'5'!V60+'4'!V60+'8'!V60+'7'!V60+'10'!V60+'9'!V60+'11'!V60+'12'!V60+'13'!V60+'15'!V60+'14'!V60+'16'!V60+'17'!V60+'19'!V60+'20'!V60+'22'!V60+'18'!V60+'21'!V60+'25'!V60+'23'!V60+'26'!V60+'24'!V60+'28'!V60+'27'!V60+'29'!V60+'31'!V60+'30'!V60</f>
        <v>0</v>
      </c>
      <c r="W60" s="52">
        <f>+'1'!W60+'3'!W60+'2'!W60+'6'!W60+'5'!W60+'4'!W60+'8'!W60+'7'!W60+'10'!W60+'9'!W60+'11'!W60+'12'!W60+'13'!W60+'15'!W60+'14'!W60+'16'!W60+'17'!W60+'19'!W60+'20'!W60+'22'!W60+'18'!W60+'21'!W60+'25'!W60+'23'!W60+'26'!W60+'24'!W60+'28'!W60+'27'!W60+'29'!W60+'31'!W60+'30'!W60</f>
        <v>0</v>
      </c>
      <c r="X60" s="52">
        <f>+'1'!X60+'3'!X60+'2'!X60+'6'!X60+'5'!X60+'4'!X60+'8'!X60+'7'!X60+'10'!X60+'9'!X60+'11'!X60+'12'!X60+'13'!X60+'15'!X60+'14'!X60+'16'!X60+'17'!X60+'19'!X60+'20'!X60+'22'!X60+'18'!X60+'21'!X60+'25'!X60+'23'!X60+'26'!X60+'24'!X60+'28'!X60+'27'!X60+'29'!X60+'31'!X60+'30'!X60</f>
        <v>0</v>
      </c>
      <c r="Y60" s="52">
        <f>+'1'!Y60+'3'!Y60+'2'!Y60+'6'!Y60+'5'!Y60+'4'!Y60+'8'!Y60+'7'!Y60+'10'!Y60+'9'!Y60+'11'!Y60+'12'!Y60+'13'!Y60+'15'!Y60+'14'!Y60+'16'!Y60+'17'!Y60+'19'!Y60+'20'!Y60+'22'!Y60+'18'!Y60+'21'!Y60+'25'!Y60+'23'!Y60+'26'!Y60+'24'!Y60+'28'!Y60+'27'!Y60+'29'!Y60+'31'!Y60+'30'!Y60</f>
        <v>0</v>
      </c>
      <c r="Z60" s="52">
        <f>+'1'!Z60+'3'!Z60+'2'!Z60+'6'!Z60+'5'!Z60+'4'!Z60+'8'!Z60+'7'!Z60+'10'!Z60+'9'!Z60+'11'!Z60+'12'!Z60+'13'!Z60+'15'!Z60+'14'!Z60+'16'!Z60+'17'!Z60+'19'!Z60+'20'!Z60+'22'!Z60+'18'!Z60+'21'!Z60+'25'!Z60+'23'!Z60+'26'!Z60+'24'!Z60+'28'!Z60+'27'!Z60+'29'!Z60+'31'!Z60+'30'!Z60</f>
        <v>0</v>
      </c>
      <c r="AA60" s="52">
        <f>+'1'!AA60+'3'!AA60+'2'!AA60+'6'!AA60+'5'!AA60+'4'!AA60+'8'!AA60+'7'!AA60+'10'!AA60+'9'!AA60+'11'!AA60+'12'!AA60+'13'!AA60+'15'!AA60+'14'!AA60+'16'!AA60+'17'!AA60+'19'!AA60+'20'!AA60+'22'!AA60+'18'!AA60+'21'!AA60+'25'!AA60+'23'!AA60+'26'!AA60+'24'!AA60+'28'!AA60+'27'!AA60+'29'!AA60+'31'!AA60+'30'!AA60</f>
        <v>0</v>
      </c>
      <c r="AB60" s="52">
        <f>+'1'!AB60+'3'!AB60+'2'!AB60+'6'!AB60+'5'!AB60+'4'!AB60+'8'!AB60+'7'!AB60+'10'!AB60+'9'!AB60+'11'!AB60+'12'!AB60+'13'!AB60+'15'!AB60+'14'!AB60+'16'!AB60+'17'!AB60+'19'!AB60+'20'!AB60+'22'!AB60+'18'!AB60+'21'!AB60+'25'!AB60+'23'!AB60+'26'!AB60+'24'!AB60+'28'!AB60+'27'!AB60+'29'!AB60+'31'!AB60+'30'!AB60</f>
        <v>0</v>
      </c>
      <c r="AC60" s="52">
        <f>+'1'!AC60+'3'!AC60+'2'!AC60+'6'!AC60+'5'!AC60+'4'!AC60+'8'!AC60+'7'!AC60+'10'!AC60+'9'!AC60+'11'!AC60+'12'!AC60+'13'!AC60+'15'!AC60+'14'!AC60+'16'!AC60+'17'!AC60+'19'!AC60+'20'!AC60+'22'!AC60+'18'!AC60+'21'!AC60+'25'!AC60+'23'!AC60+'26'!AC60+'24'!AC60+'28'!AC60+'27'!AC60+'29'!AC60+'31'!AC60+'30'!AC60</f>
        <v>2</v>
      </c>
      <c r="AD60" s="52">
        <f>+'1'!AD60+'3'!AD60+'2'!AD60+'6'!AD60+'5'!AD60+'4'!AD60+'8'!AD60+'7'!AD60+'10'!AD60+'9'!AD60+'11'!AD60+'12'!AD60+'13'!AD60+'15'!AD60+'14'!AD60+'16'!AD60+'17'!AD60+'19'!AD60+'20'!AD60+'22'!AD60+'18'!AD60+'21'!AD60+'25'!AD60+'23'!AD60+'26'!AD60+'24'!AD60+'28'!AD60+'27'!AD60+'29'!AD60+'31'!AD60+'30'!AD60</f>
        <v>0</v>
      </c>
      <c r="AE60" s="52">
        <f>+'1'!AE60+'3'!AE60+'2'!AE60+'6'!AE60+'5'!AE60+'4'!AE60+'8'!AE60+'7'!AE60+'10'!AE60+'9'!AE60+'11'!AE60+'12'!AE60+'13'!AE60+'15'!AE60+'14'!AE60+'16'!AE60+'17'!AE60+'19'!AE60+'20'!AE60+'22'!AE60+'18'!AE60+'21'!AE60+'25'!AE60+'23'!AE60+'26'!AE60+'24'!AE60+'28'!AE60+'27'!AE60+'29'!AE60+'31'!AE60+'30'!AE60</f>
        <v>0</v>
      </c>
      <c r="AF60" s="52">
        <f>+'1'!AF60+'3'!AF60+'2'!AF60+'6'!AF60+'5'!AF60+'4'!AF60+'8'!AF60+'7'!AF60+'10'!AF60+'9'!AF60+'11'!AF60+'12'!AF60+'13'!AF60+'15'!AF60+'14'!AF60+'16'!AF60+'17'!AF60+'19'!AF60+'20'!AF60+'22'!AF60+'18'!AF60+'21'!AF60+'25'!AF60+'23'!AF60+'26'!AF60+'24'!AF60+'28'!AF60+'27'!AF60+'29'!AF60+'31'!AF60+'30'!AF60</f>
        <v>0</v>
      </c>
      <c r="AG60" s="52">
        <f>+'1'!AG60+'3'!AG60+'2'!AG60+'6'!AG60+'5'!AG60+'4'!AG60+'8'!AG60+'7'!AG60+'10'!AG60+'9'!AG60+'11'!AG60+'12'!AG60+'13'!AG60+'15'!AG60+'14'!AG60+'16'!AG60+'17'!AG60+'19'!AG60+'20'!AG60+'22'!AG60+'18'!AG60+'21'!AG60+'25'!AG60+'23'!AG60+'26'!AG60+'24'!AG60+'28'!AG60+'27'!AG60+'29'!AG60+'31'!AG60+'30'!AG60</f>
        <v>0</v>
      </c>
      <c r="AH60" s="52">
        <f>+'1'!AH60+'3'!AH60+'2'!AH60+'6'!AH60+'5'!AH60+'4'!AH60+'8'!AH60+'7'!AH60+'10'!AH60+'9'!AH60+'11'!AH60+'12'!AH60+'13'!AH60+'15'!AH60+'14'!AH60+'16'!AH60+'17'!AH60+'19'!AH60+'20'!AH60+'22'!AH60+'18'!AH60+'21'!AH60+'25'!AH60+'23'!AH60+'26'!AH60+'24'!AH60+'28'!AH60+'27'!AH60+'29'!AH60+'31'!AH60+'30'!AH60</f>
        <v>0</v>
      </c>
      <c r="AI60" s="55">
        <f>+'1'!AI60+'3'!AI60+'2'!AI60+'6'!AI60+'5'!AI60+'4'!AI60+'8'!AI60+'7'!AI60+'10'!AI60+'9'!AI60+'11'!AI60+'12'!AI60+'13'!AI60+'15'!AI60+'14'!AI60+'16'!AI60+'17'!AI60+'19'!AI60+'20'!AI60+'22'!AI60+'18'!AI60+'21'!AI60+'25'!AI60+'23'!AI60+'26'!AI60+'24'!AI60+'28'!AI60+'27'!AI60+'29'!AI60+'31'!AI60+'30'!AI60</f>
        <v>1</v>
      </c>
      <c r="AJ60" s="58">
        <f>+'1'!AJ60+'3'!AJ60+'2'!AJ60+'6'!AJ60+'5'!AJ60+'4'!AJ60+'8'!AJ60+'7'!AJ60+'10'!AJ60+'9'!AJ60+'11'!AJ60+'12'!AJ60+'13'!AJ60+'15'!AJ60+'14'!AJ60+'16'!AJ60+'17'!AJ60+'19'!AJ60+'20'!AJ60+'22'!AJ60+'18'!AJ60+'21'!AJ60+'25'!AJ60+'23'!AJ60+'26'!AJ60+'24'!AJ60+'28'!AJ60+'27'!AJ60+'29'!AJ60+'31'!AJ60+'30'!AJ60</f>
        <v>0</v>
      </c>
      <c r="AK60" s="55">
        <f>+'1'!AK60+'3'!AK60+'2'!AK60+'6'!AK60+'5'!AK60+'4'!AK60+'8'!AK60+'7'!AK60+'10'!AK60+'9'!AK60+'11'!AK60+'12'!AK60+'13'!AK60+'15'!AK60+'14'!AK60+'16'!AK60+'17'!AK60+'19'!AK60+'20'!AK60+'22'!AK60+'18'!AK60+'21'!AK60+'25'!AK60+'23'!AK60+'26'!AK60+'24'!AK60+'28'!AK60+'27'!AK60+'29'!AK60+'31'!AK60+'30'!AK60</f>
        <v>0</v>
      </c>
      <c r="AL60" s="66">
        <f t="shared" si="6"/>
        <v>8</v>
      </c>
      <c r="AM60" s="28" t="str">
        <f t="shared" si="7"/>
        <v>OK</v>
      </c>
    </row>
    <row r="61" spans="1:39" customFormat="1">
      <c r="A61" s="80" t="s">
        <v>112</v>
      </c>
      <c r="B61" s="77">
        <v>18518</v>
      </c>
      <c r="C61" s="17" t="s">
        <v>87</v>
      </c>
      <c r="D61" s="69"/>
      <c r="E61" s="18"/>
      <c r="F61" s="18"/>
      <c r="G61" s="19"/>
      <c r="H61" s="20">
        <f>+'1'!H61+'3'!H61+'2'!H61+'6'!H61+'5'!H61+'4'!H61+'8'!H61+'7'!H61+'10'!H61+'9'!H61+'11'!H61+'12'!H61+'13'!H61+'15'!H61+'14'!H61+'16'!H61+'17'!H61+'19'!H61+'20'!H61+'22'!H61+'18'!H61+'21'!H61+'25'!H61+'23'!H61+'26'!H61+'24'!H61+'28'!H61+'27'!H61+'29'!H61+'31'!H61+'30'!H61</f>
        <v>42121</v>
      </c>
      <c r="I61" s="21">
        <f>+'1'!I61+'3'!I61+'2'!I61+'6'!I61+'5'!I61+'4'!I61+'8'!I61+'7'!I61+'10'!I61+'9'!I61+'11'!I61+'12'!I61+'13'!I61+'15'!I61+'14'!I61+'16'!I61+'17'!I61+'19'!I61+'20'!I61+'22'!I61+'18'!I61+'21'!I61+'25'!I61+'23'!I61+'26'!I61+'24'!I61+'28'!I61+'27'!I61+'29'!I61+'31'!I61+'30'!I61</f>
        <v>2</v>
      </c>
      <c r="J61" s="21"/>
      <c r="K61" s="16"/>
      <c r="L61" s="21">
        <f>+'1'!L61+'3'!L61+'2'!L61+'6'!L61+'5'!L61+'4'!L61+'8'!L61+'7'!L61+'10'!L61+'9'!L61+'11'!L61+'12'!L61+'13'!L61+'15'!L61+'14'!L61+'16'!L61+'17'!L61+'19'!L61+'20'!L61+'22'!L61+'18'!L61+'21'!L61+'25'!L61+'23'!L61+'26'!L61+'24'!L61+'28'!L61+'27'!L61+'29'!L61+'31'!L61+'30'!L61</f>
        <v>0</v>
      </c>
      <c r="M61" s="21">
        <f>+'1'!M61+'3'!M61+'2'!M61+'6'!M61+'5'!M61+'4'!M61+'8'!M61+'7'!M61+'10'!M61+'9'!M61+'11'!M61+'12'!M61+'13'!M61+'15'!M61+'14'!M61+'16'!M61+'17'!M61+'19'!M61+'20'!M61+'22'!M61+'18'!M61+'21'!M61+'25'!M61+'23'!M61+'26'!M61+'24'!M61+'28'!M61+'27'!M61+'29'!M61+'31'!M61+'30'!M61</f>
        <v>0</v>
      </c>
      <c r="N61" s="21">
        <f>+'1'!N61+'3'!N61+'2'!N61+'6'!N61+'5'!N61+'4'!N61+'8'!N61+'7'!N61+'10'!N61+'9'!N61+'11'!N61+'12'!N61+'13'!N61+'15'!N61+'14'!N61+'16'!N61+'17'!N61+'19'!N61+'20'!N61+'22'!N61+'18'!N61+'21'!N61+'25'!N61+'23'!N61+'26'!N61+'24'!N61+'28'!N61+'27'!N61+'29'!N61+'31'!N61+'30'!N61</f>
        <v>0</v>
      </c>
      <c r="O61" s="21">
        <f>+'1'!O61+'3'!O61+'2'!O61+'6'!O61+'5'!O61+'4'!O61+'8'!O61+'7'!O61+'10'!O61+'9'!O61+'11'!O61+'12'!O61+'13'!O61+'15'!O61+'14'!O61+'16'!O61+'17'!O61+'19'!O61+'20'!O61+'22'!O61+'18'!O61+'21'!O61+'25'!O61+'23'!O61+'26'!O61+'24'!O61+'28'!O61+'27'!O61+'29'!O61+'31'!O61+'30'!O61</f>
        <v>0</v>
      </c>
      <c r="P61" s="21">
        <f>+'1'!P61+'3'!P61+'2'!P61+'6'!P61+'5'!P61+'4'!P61+'8'!P61+'7'!P61+'10'!P61+'9'!P61+'11'!P61+'12'!P61+'13'!P61+'15'!P61+'14'!P61+'16'!P61+'17'!P61+'19'!P61+'20'!P61+'22'!P61+'18'!P61+'21'!P61+'25'!P61+'23'!P61+'26'!P61+'24'!P61+'28'!P61+'27'!P61+'29'!P61+'31'!P61+'30'!P61</f>
        <v>0</v>
      </c>
      <c r="Q61" s="21">
        <f>+'1'!Q61+'3'!Q61+'2'!Q61+'6'!Q61+'5'!Q61+'4'!Q61+'8'!Q61+'7'!Q61+'10'!Q61+'9'!Q61+'11'!Q61+'12'!Q61+'13'!Q61+'15'!Q61+'14'!Q61+'16'!Q61+'17'!Q61+'19'!Q61+'20'!Q61+'22'!Q61+'18'!Q61+'21'!Q61+'25'!Q61+'23'!Q61+'26'!Q61+'24'!Q61+'28'!Q61+'27'!Q61+'29'!Q61+'31'!Q61+'30'!Q61</f>
        <v>0</v>
      </c>
      <c r="R61" s="21">
        <f>+'1'!R61+'3'!R61+'2'!R61+'6'!R61+'5'!R61+'4'!R61+'8'!R61+'7'!R61+'10'!R61+'9'!R61+'11'!R61+'12'!R61+'13'!R61+'15'!R61+'14'!R61+'16'!R61+'17'!R61+'19'!R61+'20'!R61+'22'!R61+'18'!R61+'21'!R61+'25'!R61+'23'!R61+'26'!R61+'24'!R61+'28'!R61+'27'!R61+'29'!R61+'31'!R61+'30'!R61</f>
        <v>0</v>
      </c>
      <c r="S61" s="21">
        <f>+'1'!S61+'3'!S61+'2'!S61+'6'!S61+'5'!S61+'4'!S61+'8'!S61+'7'!S61+'10'!S61+'9'!S61+'11'!S61+'12'!S61+'13'!S61+'15'!S61+'14'!S61+'16'!S61+'17'!S61+'19'!S61+'20'!S61+'22'!S61+'18'!S61+'21'!S61+'25'!S61+'23'!S61+'26'!S61+'24'!S61+'28'!S61+'27'!S61+'29'!S61+'31'!S61+'30'!S61</f>
        <v>0</v>
      </c>
      <c r="T61" s="42">
        <f>+'1'!T61+'3'!T61+'2'!T61+'6'!T61+'5'!T61+'4'!T61+'8'!T61+'7'!T61+'10'!T61+'9'!T61+'11'!T61+'12'!T61+'13'!T61+'15'!T61+'14'!T61+'16'!T61+'17'!T61+'19'!T61+'20'!T61+'22'!T61+'18'!T61+'21'!T61+'25'!T61+'23'!T61+'26'!T61+'24'!T61+'28'!T61+'27'!T61+'29'!T61+'31'!T61+'30'!T61</f>
        <v>0</v>
      </c>
      <c r="U61" s="51">
        <f>+'1'!U61+'3'!U61+'2'!U61+'6'!U61+'5'!U61+'4'!U61+'8'!U61+'7'!U61+'10'!U61+'9'!U61+'11'!U61+'12'!U61+'13'!U61+'15'!U61+'14'!U61+'16'!U61+'17'!U61+'19'!U61+'20'!U61+'22'!U61+'18'!U61+'21'!U61+'25'!U61+'23'!U61+'26'!U61+'24'!U61+'28'!U61+'27'!U61+'29'!U61+'31'!U61+'30'!U61</f>
        <v>0</v>
      </c>
      <c r="V61" s="51">
        <f>+'1'!V61+'3'!V61+'2'!V61+'6'!V61+'5'!V61+'4'!V61+'8'!V61+'7'!V61+'10'!V61+'9'!V61+'11'!V61+'12'!V61+'13'!V61+'15'!V61+'14'!V61+'16'!V61+'17'!V61+'19'!V61+'20'!V61+'22'!V61+'18'!V61+'21'!V61+'25'!V61+'23'!V61+'26'!V61+'24'!V61+'28'!V61+'27'!V61+'29'!V61+'31'!V61+'30'!V61</f>
        <v>1</v>
      </c>
      <c r="W61" s="51">
        <f>+'1'!W61+'3'!W61+'2'!W61+'6'!W61+'5'!W61+'4'!W61+'8'!W61+'7'!W61+'10'!W61+'9'!W61+'11'!W61+'12'!W61+'13'!W61+'15'!W61+'14'!W61+'16'!W61+'17'!W61+'19'!W61+'20'!W61+'22'!W61+'18'!W61+'21'!W61+'25'!W61+'23'!W61+'26'!W61+'24'!W61+'28'!W61+'27'!W61+'29'!W61+'31'!W61+'30'!W61</f>
        <v>0</v>
      </c>
      <c r="X61" s="51">
        <f>+'1'!X61+'3'!X61+'2'!X61+'6'!X61+'5'!X61+'4'!X61+'8'!X61+'7'!X61+'10'!X61+'9'!X61+'11'!X61+'12'!X61+'13'!X61+'15'!X61+'14'!X61+'16'!X61+'17'!X61+'19'!X61+'20'!X61+'22'!X61+'18'!X61+'21'!X61+'25'!X61+'23'!X61+'26'!X61+'24'!X61+'28'!X61+'27'!X61+'29'!X61+'31'!X61+'30'!X61</f>
        <v>0</v>
      </c>
      <c r="Y61" s="51">
        <f>+'1'!Y61+'3'!Y61+'2'!Y61+'6'!Y61+'5'!Y61+'4'!Y61+'8'!Y61+'7'!Y61+'10'!Y61+'9'!Y61+'11'!Y61+'12'!Y61+'13'!Y61+'15'!Y61+'14'!Y61+'16'!Y61+'17'!Y61+'19'!Y61+'20'!Y61+'22'!Y61+'18'!Y61+'21'!Y61+'25'!Y61+'23'!Y61+'26'!Y61+'24'!Y61+'28'!Y61+'27'!Y61+'29'!Y61+'31'!Y61+'30'!Y61</f>
        <v>0</v>
      </c>
      <c r="Z61" s="51">
        <f>+'1'!Z61+'3'!Z61+'2'!Z61+'6'!Z61+'5'!Z61+'4'!Z61+'8'!Z61+'7'!Z61+'10'!Z61+'9'!Z61+'11'!Z61+'12'!Z61+'13'!Z61+'15'!Z61+'14'!Z61+'16'!Z61+'17'!Z61+'19'!Z61+'20'!Z61+'22'!Z61+'18'!Z61+'21'!Z61+'25'!Z61+'23'!Z61+'26'!Z61+'24'!Z61+'28'!Z61+'27'!Z61+'29'!Z61+'31'!Z61+'30'!Z61</f>
        <v>0</v>
      </c>
      <c r="AA61" s="51">
        <f>+'1'!AA61+'3'!AA61+'2'!AA61+'6'!AA61+'5'!AA61+'4'!AA61+'8'!AA61+'7'!AA61+'10'!AA61+'9'!AA61+'11'!AA61+'12'!AA61+'13'!AA61+'15'!AA61+'14'!AA61+'16'!AA61+'17'!AA61+'19'!AA61+'20'!AA61+'22'!AA61+'18'!AA61+'21'!AA61+'25'!AA61+'23'!AA61+'26'!AA61+'24'!AA61+'28'!AA61+'27'!AA61+'29'!AA61+'31'!AA61+'30'!AA61</f>
        <v>0</v>
      </c>
      <c r="AB61" s="51">
        <f>+'1'!AB61+'3'!AB61+'2'!AB61+'6'!AB61+'5'!AB61+'4'!AB61+'8'!AB61+'7'!AB61+'10'!AB61+'9'!AB61+'11'!AB61+'12'!AB61+'13'!AB61+'15'!AB61+'14'!AB61+'16'!AB61+'17'!AB61+'19'!AB61+'20'!AB61+'22'!AB61+'18'!AB61+'21'!AB61+'25'!AB61+'23'!AB61+'26'!AB61+'24'!AB61+'28'!AB61+'27'!AB61+'29'!AB61+'31'!AB61+'30'!AB61</f>
        <v>0</v>
      </c>
      <c r="AC61" s="51">
        <f>+'1'!AC61+'3'!AC61+'2'!AC61+'6'!AC61+'5'!AC61+'4'!AC61+'8'!AC61+'7'!AC61+'10'!AC61+'9'!AC61+'11'!AC61+'12'!AC61+'13'!AC61+'15'!AC61+'14'!AC61+'16'!AC61+'17'!AC61+'19'!AC61+'20'!AC61+'22'!AC61+'18'!AC61+'21'!AC61+'25'!AC61+'23'!AC61+'26'!AC61+'24'!AC61+'28'!AC61+'27'!AC61+'29'!AC61+'31'!AC61+'30'!AC61</f>
        <v>0</v>
      </c>
      <c r="AD61" s="51">
        <f>+'1'!AD61+'3'!AD61+'2'!AD61+'6'!AD61+'5'!AD61+'4'!AD61+'8'!AD61+'7'!AD61+'10'!AD61+'9'!AD61+'11'!AD61+'12'!AD61+'13'!AD61+'15'!AD61+'14'!AD61+'16'!AD61+'17'!AD61+'19'!AD61+'20'!AD61+'22'!AD61+'18'!AD61+'21'!AD61+'25'!AD61+'23'!AD61+'26'!AD61+'24'!AD61+'28'!AD61+'27'!AD61+'29'!AD61+'31'!AD61+'30'!AD61</f>
        <v>0</v>
      </c>
      <c r="AE61" s="51">
        <f>+'1'!AE61+'3'!AE61+'2'!AE61+'6'!AE61+'5'!AE61+'4'!AE61+'8'!AE61+'7'!AE61+'10'!AE61+'9'!AE61+'11'!AE61+'12'!AE61+'13'!AE61+'15'!AE61+'14'!AE61+'16'!AE61+'17'!AE61+'19'!AE61+'20'!AE61+'22'!AE61+'18'!AE61+'21'!AE61+'25'!AE61+'23'!AE61+'26'!AE61+'24'!AE61+'28'!AE61+'27'!AE61+'29'!AE61+'31'!AE61+'30'!AE61</f>
        <v>0</v>
      </c>
      <c r="AF61" s="51">
        <f>+'1'!AF61+'3'!AF61+'2'!AF61+'6'!AF61+'5'!AF61+'4'!AF61+'8'!AF61+'7'!AF61+'10'!AF61+'9'!AF61+'11'!AF61+'12'!AF61+'13'!AF61+'15'!AF61+'14'!AF61+'16'!AF61+'17'!AF61+'19'!AF61+'20'!AF61+'22'!AF61+'18'!AF61+'21'!AF61+'25'!AF61+'23'!AF61+'26'!AF61+'24'!AF61+'28'!AF61+'27'!AF61+'29'!AF61+'31'!AF61+'30'!AF61</f>
        <v>0</v>
      </c>
      <c r="AG61" s="51">
        <f>+'1'!AG61+'3'!AG61+'2'!AG61+'6'!AG61+'5'!AG61+'4'!AG61+'8'!AG61+'7'!AG61+'10'!AG61+'9'!AG61+'11'!AG61+'12'!AG61+'13'!AG61+'15'!AG61+'14'!AG61+'16'!AG61+'17'!AG61+'19'!AG61+'20'!AG61+'22'!AG61+'18'!AG61+'21'!AG61+'25'!AG61+'23'!AG61+'26'!AG61+'24'!AG61+'28'!AG61+'27'!AG61+'29'!AG61+'31'!AG61+'30'!AG61</f>
        <v>0</v>
      </c>
      <c r="AH61" s="51">
        <f>+'1'!AH61+'3'!AH61+'2'!AH61+'6'!AH61+'5'!AH61+'4'!AH61+'8'!AH61+'7'!AH61+'10'!AH61+'9'!AH61+'11'!AH61+'12'!AH61+'13'!AH61+'15'!AH61+'14'!AH61+'16'!AH61+'17'!AH61+'19'!AH61+'20'!AH61+'22'!AH61+'18'!AH61+'21'!AH61+'25'!AH61+'23'!AH61+'26'!AH61+'24'!AH61+'28'!AH61+'27'!AH61+'29'!AH61+'31'!AH61+'30'!AH61</f>
        <v>0</v>
      </c>
      <c r="AI61" s="54">
        <f>+'1'!AI61+'3'!AI61+'2'!AI61+'6'!AI61+'5'!AI61+'4'!AI61+'8'!AI61+'7'!AI61+'10'!AI61+'9'!AI61+'11'!AI61+'12'!AI61+'13'!AI61+'15'!AI61+'14'!AI61+'16'!AI61+'17'!AI61+'19'!AI61+'20'!AI61+'22'!AI61+'18'!AI61+'21'!AI61+'25'!AI61+'23'!AI61+'26'!AI61+'24'!AI61+'28'!AI61+'27'!AI61+'29'!AI61+'31'!AI61+'30'!AI61</f>
        <v>1</v>
      </c>
      <c r="AJ61" s="57">
        <f>+'1'!AJ61+'3'!AJ61+'2'!AJ61+'6'!AJ61+'5'!AJ61+'4'!AJ61+'8'!AJ61+'7'!AJ61+'10'!AJ61+'9'!AJ61+'11'!AJ61+'12'!AJ61+'13'!AJ61+'15'!AJ61+'14'!AJ61+'16'!AJ61+'17'!AJ61+'19'!AJ61+'20'!AJ61+'22'!AJ61+'18'!AJ61+'21'!AJ61+'25'!AJ61+'23'!AJ61+'26'!AJ61+'24'!AJ61+'28'!AJ61+'27'!AJ61+'29'!AJ61+'31'!AJ61+'30'!AJ61</f>
        <v>0</v>
      </c>
      <c r="AK61" s="54">
        <f>+'1'!AK61+'3'!AK61+'2'!AK61+'6'!AK61+'5'!AK61+'4'!AK61+'8'!AK61+'7'!AK61+'10'!AK61+'9'!AK61+'11'!AK61+'12'!AK61+'13'!AK61+'15'!AK61+'14'!AK61+'16'!AK61+'17'!AK61+'19'!AK61+'20'!AK61+'22'!AK61+'18'!AK61+'21'!AK61+'25'!AK61+'23'!AK61+'26'!AK61+'24'!AK61+'28'!AK61+'27'!AK61+'29'!AK61+'31'!AK61+'30'!AK61</f>
        <v>0</v>
      </c>
      <c r="AL61" s="65">
        <f t="shared" si="6"/>
        <v>2</v>
      </c>
      <c r="AM61" s="22" t="str">
        <f t="shared" si="7"/>
        <v>OK</v>
      </c>
    </row>
    <row r="62" spans="1:39" customFormat="1">
      <c r="A62" s="68" t="s">
        <v>124</v>
      </c>
      <c r="B62" s="78">
        <v>16585</v>
      </c>
      <c r="C62" s="23" t="s">
        <v>87</v>
      </c>
      <c r="D62" s="24"/>
      <c r="E62" s="24"/>
      <c r="F62" s="24"/>
      <c r="G62" s="25"/>
      <c r="H62" s="26">
        <f>+'1'!H62+'3'!H62+'2'!H62+'6'!H62+'5'!H62+'4'!H62+'8'!H62+'7'!H62+'10'!H62+'9'!H62+'11'!H62+'12'!H62+'13'!H62+'15'!H62+'14'!H62+'16'!H62+'17'!H62+'19'!H62+'20'!H62+'22'!H62+'18'!H62+'21'!H62+'25'!H62+'23'!H62+'26'!H62+'24'!H62+'28'!H62+'27'!H62+'29'!H62+'31'!H62+'30'!H62</f>
        <v>16955</v>
      </c>
      <c r="I62" s="27">
        <f>+'1'!I62+'3'!I62+'2'!I62+'6'!I62+'5'!I62+'4'!I62+'8'!I62+'7'!I62+'10'!I62+'9'!I62+'11'!I62+'12'!I62+'13'!I62+'15'!I62+'14'!I62+'16'!I62+'17'!I62+'19'!I62+'20'!I62+'22'!I62+'18'!I62+'21'!I62+'25'!I62+'23'!I62+'26'!I62+'24'!I62+'28'!I62+'27'!I62+'29'!I62+'31'!I62+'30'!I62</f>
        <v>0</v>
      </c>
      <c r="J62" s="27"/>
      <c r="K62" s="16"/>
      <c r="L62" s="27">
        <f>+'1'!L62+'3'!L62+'2'!L62+'6'!L62+'5'!L62+'4'!L62+'8'!L62+'7'!L62+'10'!L62+'9'!L62+'11'!L62+'12'!L62+'13'!L62+'15'!L62+'14'!L62+'16'!L62+'17'!L62+'19'!L62+'20'!L62+'22'!L62+'18'!L62+'21'!L62+'25'!L62+'23'!L62+'26'!L62+'24'!L62+'28'!L62+'27'!L62+'29'!L62+'31'!L62+'30'!L62</f>
        <v>0</v>
      </c>
      <c r="M62" s="27">
        <f>+'1'!M62+'3'!M62+'2'!M62+'6'!M62+'5'!M62+'4'!M62+'8'!M62+'7'!M62+'10'!M62+'9'!M62+'11'!M62+'12'!M62+'13'!M62+'15'!M62+'14'!M62+'16'!M62+'17'!M62+'19'!M62+'20'!M62+'22'!M62+'18'!M62+'21'!M62+'25'!M62+'23'!M62+'26'!M62+'24'!M62+'28'!M62+'27'!M62+'29'!M62+'31'!M62+'30'!M62</f>
        <v>0</v>
      </c>
      <c r="N62" s="27">
        <f>+'1'!N62+'3'!N62+'2'!N62+'6'!N62+'5'!N62+'4'!N62+'8'!N62+'7'!N62+'10'!N62+'9'!N62+'11'!N62+'12'!N62+'13'!N62+'15'!N62+'14'!N62+'16'!N62+'17'!N62+'19'!N62+'20'!N62+'22'!N62+'18'!N62+'21'!N62+'25'!N62+'23'!N62+'26'!N62+'24'!N62+'28'!N62+'27'!N62+'29'!N62+'31'!N62+'30'!N62</f>
        <v>0</v>
      </c>
      <c r="O62" s="27">
        <f>+'1'!O62+'3'!O62+'2'!O62+'6'!O62+'5'!O62+'4'!O62+'8'!O62+'7'!O62+'10'!O62+'9'!O62+'11'!O62+'12'!O62+'13'!O62+'15'!O62+'14'!O62+'16'!O62+'17'!O62+'19'!O62+'20'!O62+'22'!O62+'18'!O62+'21'!O62+'25'!O62+'23'!O62+'26'!O62+'24'!O62+'28'!O62+'27'!O62+'29'!O62+'31'!O62+'30'!O62</f>
        <v>0</v>
      </c>
      <c r="P62" s="27">
        <f>+'1'!P62+'3'!P62+'2'!P62+'6'!P62+'5'!P62+'4'!P62+'8'!P62+'7'!P62+'10'!P62+'9'!P62+'11'!P62+'12'!P62+'13'!P62+'15'!P62+'14'!P62+'16'!P62+'17'!P62+'19'!P62+'20'!P62+'22'!P62+'18'!P62+'21'!P62+'25'!P62+'23'!P62+'26'!P62+'24'!P62+'28'!P62+'27'!P62+'29'!P62+'31'!P62+'30'!P62</f>
        <v>0</v>
      </c>
      <c r="Q62" s="27">
        <f>+'1'!Q62+'3'!Q62+'2'!Q62+'6'!Q62+'5'!Q62+'4'!Q62+'8'!Q62+'7'!Q62+'10'!Q62+'9'!Q62+'11'!Q62+'12'!Q62+'13'!Q62+'15'!Q62+'14'!Q62+'16'!Q62+'17'!Q62+'19'!Q62+'20'!Q62+'22'!Q62+'18'!Q62+'21'!Q62+'25'!Q62+'23'!Q62+'26'!Q62+'24'!Q62+'28'!Q62+'27'!Q62+'29'!Q62+'31'!Q62+'30'!Q62</f>
        <v>0</v>
      </c>
      <c r="R62" s="27">
        <f>+'1'!R62+'3'!R62+'2'!R62+'6'!R62+'5'!R62+'4'!R62+'8'!R62+'7'!R62+'10'!R62+'9'!R62+'11'!R62+'12'!R62+'13'!R62+'15'!R62+'14'!R62+'16'!R62+'17'!R62+'19'!R62+'20'!R62+'22'!R62+'18'!R62+'21'!R62+'25'!R62+'23'!R62+'26'!R62+'24'!R62+'28'!R62+'27'!R62+'29'!R62+'31'!R62+'30'!R62</f>
        <v>0</v>
      </c>
      <c r="S62" s="27">
        <f>+'1'!S62+'3'!S62+'2'!S62+'6'!S62+'5'!S62+'4'!S62+'8'!S62+'7'!S62+'10'!S62+'9'!S62+'11'!S62+'12'!S62+'13'!S62+'15'!S62+'14'!S62+'16'!S62+'17'!S62+'19'!S62+'20'!S62+'22'!S62+'18'!S62+'21'!S62+'25'!S62+'23'!S62+'26'!S62+'24'!S62+'28'!S62+'27'!S62+'29'!S62+'31'!S62+'30'!S62</f>
        <v>0</v>
      </c>
      <c r="T62" s="43">
        <f>+'1'!T62+'3'!T62+'2'!T62+'6'!T62+'5'!T62+'4'!T62+'8'!T62+'7'!T62+'10'!T62+'9'!T62+'11'!T62+'12'!T62+'13'!T62+'15'!T62+'14'!T62+'16'!T62+'17'!T62+'19'!T62+'20'!T62+'22'!T62+'18'!T62+'21'!T62+'25'!T62+'23'!T62+'26'!T62+'24'!T62+'28'!T62+'27'!T62+'29'!T62+'31'!T62+'30'!T62</f>
        <v>0</v>
      </c>
      <c r="U62" s="52">
        <f>+'1'!U62+'3'!U62+'2'!U62+'6'!U62+'5'!U62+'4'!U62+'8'!U62+'7'!U62+'10'!U62+'9'!U62+'11'!U62+'12'!U62+'13'!U62+'15'!U62+'14'!U62+'16'!U62+'17'!U62+'19'!U62+'20'!U62+'22'!U62+'18'!U62+'21'!U62+'25'!U62+'23'!U62+'26'!U62+'24'!U62+'28'!U62+'27'!U62+'29'!U62+'31'!U62+'30'!U62</f>
        <v>0</v>
      </c>
      <c r="V62" s="52">
        <f>+'1'!V62+'3'!V62+'2'!V62+'6'!V62+'5'!V62+'4'!V62+'8'!V62+'7'!V62+'10'!V62+'9'!V62+'11'!V62+'12'!V62+'13'!V62+'15'!V62+'14'!V62+'16'!V62+'17'!V62+'19'!V62+'20'!V62+'22'!V62+'18'!V62+'21'!V62+'25'!V62+'23'!V62+'26'!V62+'24'!V62+'28'!V62+'27'!V62+'29'!V62+'31'!V62+'30'!V62</f>
        <v>0</v>
      </c>
      <c r="W62" s="52">
        <f>+'1'!W62+'3'!W62+'2'!W62+'6'!W62+'5'!W62+'4'!W62+'8'!W62+'7'!W62+'10'!W62+'9'!W62+'11'!W62+'12'!W62+'13'!W62+'15'!W62+'14'!W62+'16'!W62+'17'!W62+'19'!W62+'20'!W62+'22'!W62+'18'!W62+'21'!W62+'25'!W62+'23'!W62+'26'!W62+'24'!W62+'28'!W62+'27'!W62+'29'!W62+'31'!W62+'30'!W62</f>
        <v>0</v>
      </c>
      <c r="X62" s="52">
        <f>+'1'!X62+'3'!X62+'2'!X62+'6'!X62+'5'!X62+'4'!X62+'8'!X62+'7'!X62+'10'!X62+'9'!X62+'11'!X62+'12'!X62+'13'!X62+'15'!X62+'14'!X62+'16'!X62+'17'!X62+'19'!X62+'20'!X62+'22'!X62+'18'!X62+'21'!X62+'25'!X62+'23'!X62+'26'!X62+'24'!X62+'28'!X62+'27'!X62+'29'!X62+'31'!X62+'30'!X62</f>
        <v>0</v>
      </c>
      <c r="Y62" s="52">
        <f>+'1'!Y62+'3'!Y62+'2'!Y62+'6'!Y62+'5'!Y62+'4'!Y62+'8'!Y62+'7'!Y62+'10'!Y62+'9'!Y62+'11'!Y62+'12'!Y62+'13'!Y62+'15'!Y62+'14'!Y62+'16'!Y62+'17'!Y62+'19'!Y62+'20'!Y62+'22'!Y62+'18'!Y62+'21'!Y62+'25'!Y62+'23'!Y62+'26'!Y62+'24'!Y62+'28'!Y62+'27'!Y62+'29'!Y62+'31'!Y62+'30'!Y62</f>
        <v>0</v>
      </c>
      <c r="Z62" s="52">
        <f>+'1'!Z62+'3'!Z62+'2'!Z62+'6'!Z62+'5'!Z62+'4'!Z62+'8'!Z62+'7'!Z62+'10'!Z62+'9'!Z62+'11'!Z62+'12'!Z62+'13'!Z62+'15'!Z62+'14'!Z62+'16'!Z62+'17'!Z62+'19'!Z62+'20'!Z62+'22'!Z62+'18'!Z62+'21'!Z62+'25'!Z62+'23'!Z62+'26'!Z62+'24'!Z62+'28'!Z62+'27'!Z62+'29'!Z62+'31'!Z62+'30'!Z62</f>
        <v>0</v>
      </c>
      <c r="AA62" s="52">
        <f>+'1'!AA62+'3'!AA62+'2'!AA62+'6'!AA62+'5'!AA62+'4'!AA62+'8'!AA62+'7'!AA62+'10'!AA62+'9'!AA62+'11'!AA62+'12'!AA62+'13'!AA62+'15'!AA62+'14'!AA62+'16'!AA62+'17'!AA62+'19'!AA62+'20'!AA62+'22'!AA62+'18'!AA62+'21'!AA62+'25'!AA62+'23'!AA62+'26'!AA62+'24'!AA62+'28'!AA62+'27'!AA62+'29'!AA62+'31'!AA62+'30'!AA62</f>
        <v>0</v>
      </c>
      <c r="AB62" s="52">
        <f>+'1'!AB62+'3'!AB62+'2'!AB62+'6'!AB62+'5'!AB62+'4'!AB62+'8'!AB62+'7'!AB62+'10'!AB62+'9'!AB62+'11'!AB62+'12'!AB62+'13'!AB62+'15'!AB62+'14'!AB62+'16'!AB62+'17'!AB62+'19'!AB62+'20'!AB62+'22'!AB62+'18'!AB62+'21'!AB62+'25'!AB62+'23'!AB62+'26'!AB62+'24'!AB62+'28'!AB62+'27'!AB62+'29'!AB62+'31'!AB62+'30'!AB62</f>
        <v>0</v>
      </c>
      <c r="AC62" s="52">
        <f>+'1'!AC62+'3'!AC62+'2'!AC62+'6'!AC62+'5'!AC62+'4'!AC62+'8'!AC62+'7'!AC62+'10'!AC62+'9'!AC62+'11'!AC62+'12'!AC62+'13'!AC62+'15'!AC62+'14'!AC62+'16'!AC62+'17'!AC62+'19'!AC62+'20'!AC62+'22'!AC62+'18'!AC62+'21'!AC62+'25'!AC62+'23'!AC62+'26'!AC62+'24'!AC62+'28'!AC62+'27'!AC62+'29'!AC62+'31'!AC62+'30'!AC62</f>
        <v>0</v>
      </c>
      <c r="AD62" s="52">
        <f>+'1'!AD62+'3'!AD62+'2'!AD62+'6'!AD62+'5'!AD62+'4'!AD62+'8'!AD62+'7'!AD62+'10'!AD62+'9'!AD62+'11'!AD62+'12'!AD62+'13'!AD62+'15'!AD62+'14'!AD62+'16'!AD62+'17'!AD62+'19'!AD62+'20'!AD62+'22'!AD62+'18'!AD62+'21'!AD62+'25'!AD62+'23'!AD62+'26'!AD62+'24'!AD62+'28'!AD62+'27'!AD62+'29'!AD62+'31'!AD62+'30'!AD62</f>
        <v>0</v>
      </c>
      <c r="AE62" s="52">
        <f>+'1'!AE62+'3'!AE62+'2'!AE62+'6'!AE62+'5'!AE62+'4'!AE62+'8'!AE62+'7'!AE62+'10'!AE62+'9'!AE62+'11'!AE62+'12'!AE62+'13'!AE62+'15'!AE62+'14'!AE62+'16'!AE62+'17'!AE62+'19'!AE62+'20'!AE62+'22'!AE62+'18'!AE62+'21'!AE62+'25'!AE62+'23'!AE62+'26'!AE62+'24'!AE62+'28'!AE62+'27'!AE62+'29'!AE62+'31'!AE62+'30'!AE62</f>
        <v>0</v>
      </c>
      <c r="AF62" s="52">
        <f>+'1'!AF62+'3'!AF62+'2'!AF62+'6'!AF62+'5'!AF62+'4'!AF62+'8'!AF62+'7'!AF62+'10'!AF62+'9'!AF62+'11'!AF62+'12'!AF62+'13'!AF62+'15'!AF62+'14'!AF62+'16'!AF62+'17'!AF62+'19'!AF62+'20'!AF62+'22'!AF62+'18'!AF62+'21'!AF62+'25'!AF62+'23'!AF62+'26'!AF62+'24'!AF62+'28'!AF62+'27'!AF62+'29'!AF62+'31'!AF62+'30'!AF62</f>
        <v>0</v>
      </c>
      <c r="AG62" s="52">
        <f>+'1'!AG62+'3'!AG62+'2'!AG62+'6'!AG62+'5'!AG62+'4'!AG62+'8'!AG62+'7'!AG62+'10'!AG62+'9'!AG62+'11'!AG62+'12'!AG62+'13'!AG62+'15'!AG62+'14'!AG62+'16'!AG62+'17'!AG62+'19'!AG62+'20'!AG62+'22'!AG62+'18'!AG62+'21'!AG62+'25'!AG62+'23'!AG62+'26'!AG62+'24'!AG62+'28'!AG62+'27'!AG62+'29'!AG62+'31'!AG62+'30'!AG62</f>
        <v>0</v>
      </c>
      <c r="AH62" s="52">
        <f>+'1'!AH62+'3'!AH62+'2'!AH62+'6'!AH62+'5'!AH62+'4'!AH62+'8'!AH62+'7'!AH62+'10'!AH62+'9'!AH62+'11'!AH62+'12'!AH62+'13'!AH62+'15'!AH62+'14'!AH62+'16'!AH62+'17'!AH62+'19'!AH62+'20'!AH62+'22'!AH62+'18'!AH62+'21'!AH62+'25'!AH62+'23'!AH62+'26'!AH62+'24'!AH62+'28'!AH62+'27'!AH62+'29'!AH62+'31'!AH62+'30'!AH62</f>
        <v>0</v>
      </c>
      <c r="AI62" s="55">
        <f>+'1'!AI62+'3'!AI62+'2'!AI62+'6'!AI62+'5'!AI62+'4'!AI62+'8'!AI62+'7'!AI62+'10'!AI62+'9'!AI62+'11'!AI62+'12'!AI62+'13'!AI62+'15'!AI62+'14'!AI62+'16'!AI62+'17'!AI62+'19'!AI62+'20'!AI62+'22'!AI62+'18'!AI62+'21'!AI62+'25'!AI62+'23'!AI62+'26'!AI62+'24'!AI62+'28'!AI62+'27'!AI62+'29'!AI62+'31'!AI62+'30'!AI62</f>
        <v>0</v>
      </c>
      <c r="AJ62" s="58">
        <f>+'1'!AJ62+'3'!AJ62+'2'!AJ62+'6'!AJ62+'5'!AJ62+'4'!AJ62+'8'!AJ62+'7'!AJ62+'10'!AJ62+'9'!AJ62+'11'!AJ62+'12'!AJ62+'13'!AJ62+'15'!AJ62+'14'!AJ62+'16'!AJ62+'17'!AJ62+'19'!AJ62+'20'!AJ62+'22'!AJ62+'18'!AJ62+'21'!AJ62+'25'!AJ62+'23'!AJ62+'26'!AJ62+'24'!AJ62+'28'!AJ62+'27'!AJ62+'29'!AJ62+'31'!AJ62+'30'!AJ62</f>
        <v>0</v>
      </c>
      <c r="AK62" s="55">
        <f>+'1'!AK62+'3'!AK62+'2'!AK62+'6'!AK62+'5'!AK62+'4'!AK62+'8'!AK62+'7'!AK62+'10'!AK62+'9'!AK62+'11'!AK62+'12'!AK62+'13'!AK62+'15'!AK62+'14'!AK62+'16'!AK62+'17'!AK62+'19'!AK62+'20'!AK62+'22'!AK62+'18'!AK62+'21'!AK62+'25'!AK62+'23'!AK62+'26'!AK62+'24'!AK62+'28'!AK62+'27'!AK62+'29'!AK62+'31'!AK62+'30'!AK62</f>
        <v>0</v>
      </c>
      <c r="AL62" s="66">
        <f t="shared" si="6"/>
        <v>0</v>
      </c>
      <c r="AM62" s="28" t="str">
        <f t="shared" si="7"/>
        <v>OK</v>
      </c>
    </row>
    <row r="63" spans="1:39" customFormat="1" hidden="1">
      <c r="A63" s="80" t="s">
        <v>125</v>
      </c>
      <c r="B63" s="77">
        <v>17107</v>
      </c>
      <c r="C63" s="17" t="s">
        <v>115</v>
      </c>
      <c r="D63" s="69"/>
      <c r="E63" s="18"/>
      <c r="F63" s="18"/>
      <c r="G63" s="19"/>
      <c r="H63" s="20">
        <f>+'1'!H63+'3'!H63+'2'!H63+'6'!H63+'5'!H63+'4'!H63+'8'!H63+'7'!H63+'10'!H63+'9'!H63+'11'!H63+'12'!H63+'13'!H63+'15'!H63+'14'!H63+'16'!H63+'17'!H63+'19'!H63+'20'!H63+'22'!H63+'18'!H63+'21'!H63+'25'!H63+'23'!H63+'26'!H63+'24'!H63+'28'!H63+'27'!H63+'29'!H63+'31'!H63+'30'!H63</f>
        <v>0</v>
      </c>
      <c r="I63" s="21">
        <f>+'1'!I63+'3'!I63+'2'!I63+'6'!I63+'5'!I63+'4'!I63+'8'!I63+'7'!I63+'10'!I63+'9'!I63+'11'!I63+'12'!I63+'13'!I63+'15'!I63+'14'!I63+'16'!I63+'17'!I63+'19'!I63+'20'!I63+'22'!I63+'18'!I63+'21'!I63+'25'!I63+'23'!I63+'26'!I63+'24'!I63+'28'!I63+'27'!I63+'29'!I63+'31'!I63+'30'!I63</f>
        <v>0</v>
      </c>
      <c r="J63" s="21"/>
      <c r="K63" s="16"/>
      <c r="L63" s="21">
        <f>+'1'!L63+'3'!L63+'2'!L63+'6'!L63+'5'!L63+'4'!L63+'8'!L63+'7'!L63+'10'!L63+'9'!L63+'11'!L63+'12'!L63+'13'!L63+'15'!L63+'14'!L63+'16'!L63+'17'!L63+'19'!L63+'20'!L63+'22'!L63+'18'!L63+'21'!L63+'25'!L63+'23'!L63+'26'!L63+'24'!L63+'28'!L63+'27'!L63+'29'!L63+'31'!L63+'30'!L63</f>
        <v>0</v>
      </c>
      <c r="M63" s="21">
        <f>+'1'!M63+'3'!M63+'2'!M63+'6'!M63+'5'!M63+'4'!M63+'8'!M63+'7'!M63+'10'!M63+'9'!M63+'11'!M63+'12'!M63+'13'!M63+'15'!M63+'14'!M63+'16'!M63+'17'!M63+'19'!M63+'20'!M63+'22'!M63+'18'!M63+'21'!M63+'25'!M63+'23'!M63+'26'!M63+'24'!M63+'28'!M63+'27'!M63+'29'!M63+'31'!M63+'30'!M63</f>
        <v>0</v>
      </c>
      <c r="N63" s="21">
        <f>+'1'!N63+'3'!N63+'2'!N63+'6'!N63+'5'!N63+'4'!N63+'8'!N63+'7'!N63+'10'!N63+'9'!N63+'11'!N63+'12'!N63+'13'!N63+'15'!N63+'14'!N63+'16'!N63+'17'!N63+'19'!N63+'20'!N63+'22'!N63+'18'!N63+'21'!N63+'25'!N63+'23'!N63+'26'!N63+'24'!N63+'28'!N63+'27'!N63+'29'!N63+'31'!N63+'30'!N63</f>
        <v>0</v>
      </c>
      <c r="O63" s="21">
        <f>+'1'!O63+'3'!O63+'2'!O63+'6'!O63+'5'!O63+'4'!O63+'8'!O63+'7'!O63+'10'!O63+'9'!O63+'11'!O63+'12'!O63+'13'!O63+'15'!O63+'14'!O63+'16'!O63+'17'!O63+'19'!O63+'20'!O63+'22'!O63+'18'!O63+'21'!O63+'25'!O63+'23'!O63+'26'!O63+'24'!O63+'28'!O63+'27'!O63+'29'!O63+'31'!O63+'30'!O63</f>
        <v>0</v>
      </c>
      <c r="P63" s="21">
        <f>+'1'!P63+'3'!P63+'2'!P63+'6'!P63+'5'!P63+'4'!P63+'8'!P63+'7'!P63+'10'!P63+'9'!P63+'11'!P63+'12'!P63+'13'!P63+'15'!P63+'14'!P63+'16'!P63+'17'!P63+'19'!P63+'20'!P63+'22'!P63+'18'!P63+'21'!P63+'25'!P63+'23'!P63+'26'!P63+'24'!P63+'28'!P63+'27'!P63+'29'!P63+'31'!P63+'30'!P63</f>
        <v>0</v>
      </c>
      <c r="Q63" s="21">
        <f>+'1'!Q63+'3'!Q63+'2'!Q63+'6'!Q63+'5'!Q63+'4'!Q63+'8'!Q63+'7'!Q63+'10'!Q63+'9'!Q63+'11'!Q63+'12'!Q63+'13'!Q63+'15'!Q63+'14'!Q63+'16'!Q63+'17'!Q63+'19'!Q63+'20'!Q63+'22'!Q63+'18'!Q63+'21'!Q63+'25'!Q63+'23'!Q63+'26'!Q63+'24'!Q63+'28'!Q63+'27'!Q63+'29'!Q63+'31'!Q63+'30'!Q63</f>
        <v>0</v>
      </c>
      <c r="R63" s="21">
        <f>+'1'!R63+'3'!R63+'2'!R63+'6'!R63+'5'!R63+'4'!R63+'8'!R63+'7'!R63+'10'!R63+'9'!R63+'11'!R63+'12'!R63+'13'!R63+'15'!R63+'14'!R63+'16'!R63+'17'!R63+'19'!R63+'20'!R63+'22'!R63+'18'!R63+'21'!R63+'25'!R63+'23'!R63+'26'!R63+'24'!R63+'28'!R63+'27'!R63+'29'!R63+'31'!R63+'30'!R63</f>
        <v>0</v>
      </c>
      <c r="S63" s="21">
        <f>+'1'!S63+'3'!S63+'2'!S63+'6'!S63+'5'!S63+'4'!S63+'8'!S63+'7'!S63+'10'!S63+'9'!S63+'11'!S63+'12'!S63+'13'!S63+'15'!S63+'14'!S63+'16'!S63+'17'!S63+'19'!S63+'20'!S63+'22'!S63+'18'!S63+'21'!S63+'25'!S63+'23'!S63+'26'!S63+'24'!S63+'28'!S63+'27'!S63+'29'!S63+'31'!S63+'30'!S63</f>
        <v>0</v>
      </c>
      <c r="T63" s="42">
        <f>+'1'!T63+'3'!T63+'2'!T63+'6'!T63+'5'!T63+'4'!T63+'8'!T63+'7'!T63+'10'!T63+'9'!T63+'11'!T63+'12'!T63+'13'!T63+'15'!T63+'14'!T63+'16'!T63+'17'!T63+'19'!T63+'20'!T63+'22'!T63+'18'!T63+'21'!T63+'25'!T63+'23'!T63+'26'!T63+'24'!T63+'28'!T63+'27'!T63+'29'!T63+'31'!T63+'30'!T63</f>
        <v>0</v>
      </c>
      <c r="U63" s="51">
        <f>+'1'!U63+'3'!U63+'2'!U63+'6'!U63+'5'!U63+'4'!U63+'8'!U63+'7'!U63+'10'!U63+'9'!U63+'11'!U63+'12'!U63+'13'!U63+'15'!U63+'14'!U63+'16'!U63+'17'!U63+'19'!U63+'20'!U63+'22'!U63+'18'!U63+'21'!U63+'25'!U63+'23'!U63+'26'!U63+'24'!U63+'28'!U63+'27'!U63+'29'!U63+'31'!U63+'30'!U63</f>
        <v>0</v>
      </c>
      <c r="V63" s="51">
        <f>+'1'!V63+'3'!V63+'2'!V63+'6'!V63+'5'!V63+'4'!V63+'8'!V63+'7'!V63+'10'!V63+'9'!V63+'11'!V63+'12'!V63+'13'!V63+'15'!V63+'14'!V63+'16'!V63+'17'!V63+'19'!V63+'20'!V63+'22'!V63+'18'!V63+'21'!V63+'25'!V63+'23'!V63+'26'!V63+'24'!V63+'28'!V63+'27'!V63+'29'!V63+'31'!V63+'30'!V63</f>
        <v>0</v>
      </c>
      <c r="W63" s="51">
        <f>+'1'!W63+'3'!W63+'2'!W63+'6'!W63+'5'!W63+'4'!W63+'8'!W63+'7'!W63+'10'!W63+'9'!W63+'11'!W63+'12'!W63+'13'!W63+'15'!W63+'14'!W63+'16'!W63+'17'!W63+'19'!W63+'20'!W63+'22'!W63+'18'!W63+'21'!W63+'25'!W63+'23'!W63+'26'!W63+'24'!W63+'28'!W63+'27'!W63+'29'!W63+'31'!W63+'30'!W63</f>
        <v>0</v>
      </c>
      <c r="X63" s="51">
        <f>+'1'!X63+'3'!X63+'2'!X63+'6'!X63+'5'!X63+'4'!X63+'8'!X63+'7'!X63+'10'!X63+'9'!X63+'11'!X63+'12'!X63+'13'!X63+'15'!X63+'14'!X63+'16'!X63+'17'!X63+'19'!X63+'20'!X63+'22'!X63+'18'!X63+'21'!X63+'25'!X63+'23'!X63+'26'!X63+'24'!X63+'28'!X63+'27'!X63+'29'!X63+'31'!X63+'30'!X63</f>
        <v>0</v>
      </c>
      <c r="Y63" s="51">
        <f>+'1'!Y63+'3'!Y63+'2'!Y63+'6'!Y63+'5'!Y63+'4'!Y63+'8'!Y63+'7'!Y63+'10'!Y63+'9'!Y63+'11'!Y63+'12'!Y63+'13'!Y63+'15'!Y63+'14'!Y63+'16'!Y63+'17'!Y63+'19'!Y63+'20'!Y63+'22'!Y63+'18'!Y63+'21'!Y63+'25'!Y63+'23'!Y63+'26'!Y63+'24'!Y63+'28'!Y63+'27'!Y63+'29'!Y63+'31'!Y63+'30'!Y63</f>
        <v>0</v>
      </c>
      <c r="Z63" s="51">
        <f>+'1'!Z63+'3'!Z63+'2'!Z63+'6'!Z63+'5'!Z63+'4'!Z63+'8'!Z63+'7'!Z63+'10'!Z63+'9'!Z63+'11'!Z63+'12'!Z63+'13'!Z63+'15'!Z63+'14'!Z63+'16'!Z63+'17'!Z63+'19'!Z63+'20'!Z63+'22'!Z63+'18'!Z63+'21'!Z63+'25'!Z63+'23'!Z63+'26'!Z63+'24'!Z63+'28'!Z63+'27'!Z63+'29'!Z63+'31'!Z63+'30'!Z63</f>
        <v>0</v>
      </c>
      <c r="AA63" s="51">
        <f>+'1'!AA63+'3'!AA63+'2'!AA63+'6'!AA63+'5'!AA63+'4'!AA63+'8'!AA63+'7'!AA63+'10'!AA63+'9'!AA63+'11'!AA63+'12'!AA63+'13'!AA63+'15'!AA63+'14'!AA63+'16'!AA63+'17'!AA63+'19'!AA63+'20'!AA63+'22'!AA63+'18'!AA63+'21'!AA63+'25'!AA63+'23'!AA63+'26'!AA63+'24'!AA63+'28'!AA63+'27'!AA63+'29'!AA63+'31'!AA63+'30'!AA63</f>
        <v>0</v>
      </c>
      <c r="AB63" s="51">
        <f>+'1'!AB63+'3'!AB63+'2'!AB63+'6'!AB63+'5'!AB63+'4'!AB63+'8'!AB63+'7'!AB63+'10'!AB63+'9'!AB63+'11'!AB63+'12'!AB63+'13'!AB63+'15'!AB63+'14'!AB63+'16'!AB63+'17'!AB63+'19'!AB63+'20'!AB63+'22'!AB63+'18'!AB63+'21'!AB63+'25'!AB63+'23'!AB63+'26'!AB63+'24'!AB63+'28'!AB63+'27'!AB63+'29'!AB63+'31'!AB63+'30'!AB63</f>
        <v>0</v>
      </c>
      <c r="AC63" s="51">
        <f>+'1'!AC63+'3'!AC63+'2'!AC63+'6'!AC63+'5'!AC63+'4'!AC63+'8'!AC63+'7'!AC63+'10'!AC63+'9'!AC63+'11'!AC63+'12'!AC63+'13'!AC63+'15'!AC63+'14'!AC63+'16'!AC63+'17'!AC63+'19'!AC63+'20'!AC63+'22'!AC63+'18'!AC63+'21'!AC63+'25'!AC63+'23'!AC63+'26'!AC63+'24'!AC63+'28'!AC63+'27'!AC63+'29'!AC63+'31'!AC63+'30'!AC63</f>
        <v>0</v>
      </c>
      <c r="AD63" s="51">
        <f>+'1'!AD63+'3'!AD63+'2'!AD63+'6'!AD63+'5'!AD63+'4'!AD63+'8'!AD63+'7'!AD63+'10'!AD63+'9'!AD63+'11'!AD63+'12'!AD63+'13'!AD63+'15'!AD63+'14'!AD63+'16'!AD63+'17'!AD63+'19'!AD63+'20'!AD63+'22'!AD63+'18'!AD63+'21'!AD63+'25'!AD63+'23'!AD63+'26'!AD63+'24'!AD63+'28'!AD63+'27'!AD63+'29'!AD63+'31'!AD63+'30'!AD63</f>
        <v>0</v>
      </c>
      <c r="AE63" s="51">
        <f>+'1'!AE63+'3'!AE63+'2'!AE63+'6'!AE63+'5'!AE63+'4'!AE63+'8'!AE63+'7'!AE63+'10'!AE63+'9'!AE63+'11'!AE63+'12'!AE63+'13'!AE63+'15'!AE63+'14'!AE63+'16'!AE63+'17'!AE63+'19'!AE63+'20'!AE63+'22'!AE63+'18'!AE63+'21'!AE63+'25'!AE63+'23'!AE63+'26'!AE63+'24'!AE63+'28'!AE63+'27'!AE63+'29'!AE63+'31'!AE63+'30'!AE63</f>
        <v>0</v>
      </c>
      <c r="AF63" s="51">
        <f>+'1'!AF63+'3'!AF63+'2'!AF63+'6'!AF63+'5'!AF63+'4'!AF63+'8'!AF63+'7'!AF63+'10'!AF63+'9'!AF63+'11'!AF63+'12'!AF63+'13'!AF63+'15'!AF63+'14'!AF63+'16'!AF63+'17'!AF63+'19'!AF63+'20'!AF63+'22'!AF63+'18'!AF63+'21'!AF63+'25'!AF63+'23'!AF63+'26'!AF63+'24'!AF63+'28'!AF63+'27'!AF63+'29'!AF63+'31'!AF63+'30'!AF63</f>
        <v>0</v>
      </c>
      <c r="AG63" s="51">
        <f>+'1'!AG63+'3'!AG63+'2'!AG63+'6'!AG63+'5'!AG63+'4'!AG63+'8'!AG63+'7'!AG63+'10'!AG63+'9'!AG63+'11'!AG63+'12'!AG63+'13'!AG63+'15'!AG63+'14'!AG63+'16'!AG63+'17'!AG63+'19'!AG63+'20'!AG63+'22'!AG63+'18'!AG63+'21'!AG63+'25'!AG63+'23'!AG63+'26'!AG63+'24'!AG63+'28'!AG63+'27'!AG63+'29'!AG63+'31'!AG63+'30'!AG63</f>
        <v>0</v>
      </c>
      <c r="AH63" s="51">
        <f>+'1'!AH63+'3'!AH63+'2'!AH63+'6'!AH63+'5'!AH63+'4'!AH63+'8'!AH63+'7'!AH63+'10'!AH63+'9'!AH63+'11'!AH63+'12'!AH63+'13'!AH63+'15'!AH63+'14'!AH63+'16'!AH63+'17'!AH63+'19'!AH63+'20'!AH63+'22'!AH63+'18'!AH63+'21'!AH63+'25'!AH63+'23'!AH63+'26'!AH63+'24'!AH63+'28'!AH63+'27'!AH63+'29'!AH63+'31'!AH63+'30'!AH63</f>
        <v>0</v>
      </c>
      <c r="AI63" s="54">
        <f>+'1'!AI63+'3'!AI63+'2'!AI63+'6'!AI63+'5'!AI63+'4'!AI63+'8'!AI63+'7'!AI63+'10'!AI63+'9'!AI63+'11'!AI63+'12'!AI63+'13'!AI63+'15'!AI63+'14'!AI63+'16'!AI63+'17'!AI63+'19'!AI63+'20'!AI63+'22'!AI63+'18'!AI63+'21'!AI63+'25'!AI63+'23'!AI63+'26'!AI63+'24'!AI63+'28'!AI63+'27'!AI63+'29'!AI63+'31'!AI63+'30'!AI63</f>
        <v>0</v>
      </c>
      <c r="AJ63" s="57">
        <f>+'1'!AJ63+'3'!AJ63+'2'!AJ63+'6'!AJ63+'5'!AJ63+'4'!AJ63+'8'!AJ63+'7'!AJ63+'10'!AJ63+'9'!AJ63+'11'!AJ63+'12'!AJ63+'13'!AJ63+'15'!AJ63+'14'!AJ63+'16'!AJ63+'17'!AJ63+'19'!AJ63+'20'!AJ63+'22'!AJ63+'18'!AJ63+'21'!AJ63+'25'!AJ63+'23'!AJ63+'26'!AJ63+'24'!AJ63+'28'!AJ63+'27'!AJ63+'29'!AJ63+'31'!AJ63+'30'!AJ63</f>
        <v>0</v>
      </c>
      <c r="AK63" s="54">
        <f>+'1'!AK63+'3'!AK63+'2'!AK63+'6'!AK63+'5'!AK63+'4'!AK63+'8'!AK63+'7'!AK63+'10'!AK63+'9'!AK63+'11'!AK63+'12'!AK63+'13'!AK63+'15'!AK63+'14'!AK63+'16'!AK63+'17'!AK63+'19'!AK63+'20'!AK63+'22'!AK63+'18'!AK63+'21'!AK63+'25'!AK63+'23'!AK63+'26'!AK63+'24'!AK63+'28'!AK63+'27'!AK63+'29'!AK63+'31'!AK63+'30'!AK63</f>
        <v>0</v>
      </c>
      <c r="AL63" s="65">
        <f t="shared" si="6"/>
        <v>0</v>
      </c>
      <c r="AM63" s="22" t="str">
        <f t="shared" si="7"/>
        <v>OK</v>
      </c>
    </row>
    <row r="64" spans="1:39" customFormat="1">
      <c r="A64" s="68" t="s">
        <v>126</v>
      </c>
      <c r="B64" s="78">
        <v>19269</v>
      </c>
      <c r="C64" s="23" t="s">
        <v>60</v>
      </c>
      <c r="D64" s="24"/>
      <c r="E64" s="24"/>
      <c r="F64" s="24"/>
      <c r="G64" s="25"/>
      <c r="H64" s="26">
        <f>+'1'!H64+'3'!H64+'2'!H64+'6'!H64+'5'!H64+'4'!H64+'8'!H64+'7'!H64+'10'!H64+'9'!H64+'11'!H64+'12'!H64+'13'!H64+'15'!H64+'14'!H64+'16'!H64+'17'!H64+'19'!H64+'20'!H64+'22'!H64+'18'!H64+'21'!H64+'25'!H64+'23'!H64+'26'!H64+'24'!H64+'28'!H64+'27'!H64+'29'!H64+'31'!H64+'30'!H64</f>
        <v>17523</v>
      </c>
      <c r="I64" s="27">
        <f>+'1'!I64+'3'!I64+'2'!I64+'6'!I64+'5'!I64+'4'!I64+'8'!I64+'7'!I64+'10'!I64+'9'!I64+'11'!I64+'12'!I64+'13'!I64+'15'!I64+'14'!I64+'16'!I64+'17'!I64+'19'!I64+'20'!I64+'22'!I64+'18'!I64+'21'!I64+'25'!I64+'23'!I64+'26'!I64+'24'!I64+'28'!I64+'27'!I64+'29'!I64+'31'!I64+'30'!I64</f>
        <v>4</v>
      </c>
      <c r="J64" s="27"/>
      <c r="K64" s="16"/>
      <c r="L64" s="27">
        <f>+'1'!L64+'3'!L64+'2'!L64+'6'!L64+'5'!L64+'4'!L64+'8'!L64+'7'!L64+'10'!L64+'9'!L64+'11'!L64+'12'!L64+'13'!L64+'15'!L64+'14'!L64+'16'!L64+'17'!L64+'19'!L64+'20'!L64+'22'!L64+'18'!L64+'21'!L64+'25'!L64+'23'!L64+'26'!L64+'24'!L64+'28'!L64+'27'!L64+'29'!L64+'31'!L64+'30'!L64</f>
        <v>0</v>
      </c>
      <c r="M64" s="27">
        <f>+'1'!M64+'3'!M64+'2'!M64+'6'!M64+'5'!M64+'4'!M64+'8'!M64+'7'!M64+'10'!M64+'9'!M64+'11'!M64+'12'!M64+'13'!M64+'15'!M64+'14'!M64+'16'!M64+'17'!M64+'19'!M64+'20'!M64+'22'!M64+'18'!M64+'21'!M64+'25'!M64+'23'!M64+'26'!M64+'24'!M64+'28'!M64+'27'!M64+'29'!M64+'31'!M64+'30'!M64</f>
        <v>0</v>
      </c>
      <c r="N64" s="27">
        <f>+'1'!N64+'3'!N64+'2'!N64+'6'!N64+'5'!N64+'4'!N64+'8'!N64+'7'!N64+'10'!N64+'9'!N64+'11'!N64+'12'!N64+'13'!N64+'15'!N64+'14'!N64+'16'!N64+'17'!N64+'19'!N64+'20'!N64+'22'!N64+'18'!N64+'21'!N64+'25'!N64+'23'!N64+'26'!N64+'24'!N64+'28'!N64+'27'!N64+'29'!N64+'31'!N64+'30'!N64</f>
        <v>0</v>
      </c>
      <c r="O64" s="27">
        <f>+'1'!O64+'3'!O64+'2'!O64+'6'!O64+'5'!O64+'4'!O64+'8'!O64+'7'!O64+'10'!O64+'9'!O64+'11'!O64+'12'!O64+'13'!O64+'15'!O64+'14'!O64+'16'!O64+'17'!O64+'19'!O64+'20'!O64+'22'!O64+'18'!O64+'21'!O64+'25'!O64+'23'!O64+'26'!O64+'24'!O64+'28'!O64+'27'!O64+'29'!O64+'31'!O64+'30'!O64</f>
        <v>0</v>
      </c>
      <c r="P64" s="27">
        <f>+'1'!P64+'3'!P64+'2'!P64+'6'!P64+'5'!P64+'4'!P64+'8'!P64+'7'!P64+'10'!P64+'9'!P64+'11'!P64+'12'!P64+'13'!P64+'15'!P64+'14'!P64+'16'!P64+'17'!P64+'19'!P64+'20'!P64+'22'!P64+'18'!P64+'21'!P64+'25'!P64+'23'!P64+'26'!P64+'24'!P64+'28'!P64+'27'!P64+'29'!P64+'31'!P64+'30'!P64</f>
        <v>0</v>
      </c>
      <c r="Q64" s="27">
        <f>+'1'!Q64+'3'!Q64+'2'!Q64+'6'!Q64+'5'!Q64+'4'!Q64+'8'!Q64+'7'!Q64+'10'!Q64+'9'!Q64+'11'!Q64+'12'!Q64+'13'!Q64+'15'!Q64+'14'!Q64+'16'!Q64+'17'!Q64+'19'!Q64+'20'!Q64+'22'!Q64+'18'!Q64+'21'!Q64+'25'!Q64+'23'!Q64+'26'!Q64+'24'!Q64+'28'!Q64+'27'!Q64+'29'!Q64+'31'!Q64+'30'!Q64</f>
        <v>0</v>
      </c>
      <c r="R64" s="27">
        <f>+'1'!R64+'3'!R64+'2'!R64+'6'!R64+'5'!R64+'4'!R64+'8'!R64+'7'!R64+'10'!R64+'9'!R64+'11'!R64+'12'!R64+'13'!R64+'15'!R64+'14'!R64+'16'!R64+'17'!R64+'19'!R64+'20'!R64+'22'!R64+'18'!R64+'21'!R64+'25'!R64+'23'!R64+'26'!R64+'24'!R64+'28'!R64+'27'!R64+'29'!R64+'31'!R64+'30'!R64</f>
        <v>0</v>
      </c>
      <c r="S64" s="27">
        <f>+'1'!S64+'3'!S64+'2'!S64+'6'!S64+'5'!S64+'4'!S64+'8'!S64+'7'!S64+'10'!S64+'9'!S64+'11'!S64+'12'!S64+'13'!S64+'15'!S64+'14'!S64+'16'!S64+'17'!S64+'19'!S64+'20'!S64+'22'!S64+'18'!S64+'21'!S64+'25'!S64+'23'!S64+'26'!S64+'24'!S64+'28'!S64+'27'!S64+'29'!S64+'31'!S64+'30'!S64</f>
        <v>0</v>
      </c>
      <c r="T64" s="43">
        <f>+'1'!T64+'3'!T64+'2'!T64+'6'!T64+'5'!T64+'4'!T64+'8'!T64+'7'!T64+'10'!T64+'9'!T64+'11'!T64+'12'!T64+'13'!T64+'15'!T64+'14'!T64+'16'!T64+'17'!T64+'19'!T64+'20'!T64+'22'!T64+'18'!T64+'21'!T64+'25'!T64+'23'!T64+'26'!T64+'24'!T64+'28'!T64+'27'!T64+'29'!T64+'31'!T64+'30'!T64</f>
        <v>0</v>
      </c>
      <c r="U64" s="52">
        <f>+'1'!U64+'3'!U64+'2'!U64+'6'!U64+'5'!U64+'4'!U64+'8'!U64+'7'!U64+'10'!U64+'9'!U64+'11'!U64+'12'!U64+'13'!U64+'15'!U64+'14'!U64+'16'!U64+'17'!U64+'19'!U64+'20'!U64+'22'!U64+'18'!U64+'21'!U64+'25'!U64+'23'!U64+'26'!U64+'24'!U64+'28'!U64+'27'!U64+'29'!U64+'31'!U64+'30'!U64</f>
        <v>0</v>
      </c>
      <c r="V64" s="52">
        <f>+'1'!V64+'3'!V64+'2'!V64+'6'!V64+'5'!V64+'4'!V64+'8'!V64+'7'!V64+'10'!V64+'9'!V64+'11'!V64+'12'!V64+'13'!V64+'15'!V64+'14'!V64+'16'!V64+'17'!V64+'19'!V64+'20'!V64+'22'!V64+'18'!V64+'21'!V64+'25'!V64+'23'!V64+'26'!V64+'24'!V64+'28'!V64+'27'!V64+'29'!V64+'31'!V64+'30'!V64</f>
        <v>2</v>
      </c>
      <c r="W64" s="52">
        <f>+'1'!W64+'3'!W64+'2'!W64+'6'!W64+'5'!W64+'4'!W64+'8'!W64+'7'!W64+'10'!W64+'9'!W64+'11'!W64+'12'!W64+'13'!W64+'15'!W64+'14'!W64+'16'!W64+'17'!W64+'19'!W64+'20'!W64+'22'!W64+'18'!W64+'21'!W64+'25'!W64+'23'!W64+'26'!W64+'24'!W64+'28'!W64+'27'!W64+'29'!W64+'31'!W64+'30'!W64</f>
        <v>0</v>
      </c>
      <c r="X64" s="52">
        <f>+'1'!X64+'3'!X64+'2'!X64+'6'!X64+'5'!X64+'4'!X64+'8'!X64+'7'!X64+'10'!X64+'9'!X64+'11'!X64+'12'!X64+'13'!X64+'15'!X64+'14'!X64+'16'!X64+'17'!X64+'19'!X64+'20'!X64+'22'!X64+'18'!X64+'21'!X64+'25'!X64+'23'!X64+'26'!X64+'24'!X64+'28'!X64+'27'!X64+'29'!X64+'31'!X64+'30'!X64</f>
        <v>0</v>
      </c>
      <c r="Y64" s="52">
        <f>+'1'!Y64+'3'!Y64+'2'!Y64+'6'!Y64+'5'!Y64+'4'!Y64+'8'!Y64+'7'!Y64+'10'!Y64+'9'!Y64+'11'!Y64+'12'!Y64+'13'!Y64+'15'!Y64+'14'!Y64+'16'!Y64+'17'!Y64+'19'!Y64+'20'!Y64+'22'!Y64+'18'!Y64+'21'!Y64+'25'!Y64+'23'!Y64+'26'!Y64+'24'!Y64+'28'!Y64+'27'!Y64+'29'!Y64+'31'!Y64+'30'!Y64</f>
        <v>0</v>
      </c>
      <c r="Z64" s="52">
        <f>+'1'!Z64+'3'!Z64+'2'!Z64+'6'!Z64+'5'!Z64+'4'!Z64+'8'!Z64+'7'!Z64+'10'!Z64+'9'!Z64+'11'!Z64+'12'!Z64+'13'!Z64+'15'!Z64+'14'!Z64+'16'!Z64+'17'!Z64+'19'!Z64+'20'!Z64+'22'!Z64+'18'!Z64+'21'!Z64+'25'!Z64+'23'!Z64+'26'!Z64+'24'!Z64+'28'!Z64+'27'!Z64+'29'!Z64+'31'!Z64+'30'!Z64</f>
        <v>0</v>
      </c>
      <c r="AA64" s="52">
        <f>+'1'!AA64+'3'!AA64+'2'!AA64+'6'!AA64+'5'!AA64+'4'!AA64+'8'!AA64+'7'!AA64+'10'!AA64+'9'!AA64+'11'!AA64+'12'!AA64+'13'!AA64+'15'!AA64+'14'!AA64+'16'!AA64+'17'!AA64+'19'!AA64+'20'!AA64+'22'!AA64+'18'!AA64+'21'!AA64+'25'!AA64+'23'!AA64+'26'!AA64+'24'!AA64+'28'!AA64+'27'!AA64+'29'!AA64+'31'!AA64+'30'!AA64</f>
        <v>0</v>
      </c>
      <c r="AB64" s="52">
        <f>+'1'!AB64+'3'!AB64+'2'!AB64+'6'!AB64+'5'!AB64+'4'!AB64+'8'!AB64+'7'!AB64+'10'!AB64+'9'!AB64+'11'!AB64+'12'!AB64+'13'!AB64+'15'!AB64+'14'!AB64+'16'!AB64+'17'!AB64+'19'!AB64+'20'!AB64+'22'!AB64+'18'!AB64+'21'!AB64+'25'!AB64+'23'!AB64+'26'!AB64+'24'!AB64+'28'!AB64+'27'!AB64+'29'!AB64+'31'!AB64+'30'!AB64</f>
        <v>0</v>
      </c>
      <c r="AC64" s="52">
        <f>+'1'!AC64+'3'!AC64+'2'!AC64+'6'!AC64+'5'!AC64+'4'!AC64+'8'!AC64+'7'!AC64+'10'!AC64+'9'!AC64+'11'!AC64+'12'!AC64+'13'!AC64+'15'!AC64+'14'!AC64+'16'!AC64+'17'!AC64+'19'!AC64+'20'!AC64+'22'!AC64+'18'!AC64+'21'!AC64+'25'!AC64+'23'!AC64+'26'!AC64+'24'!AC64+'28'!AC64+'27'!AC64+'29'!AC64+'31'!AC64+'30'!AC64</f>
        <v>0</v>
      </c>
      <c r="AD64" s="52">
        <f>+'1'!AD64+'3'!AD64+'2'!AD64+'6'!AD64+'5'!AD64+'4'!AD64+'8'!AD64+'7'!AD64+'10'!AD64+'9'!AD64+'11'!AD64+'12'!AD64+'13'!AD64+'15'!AD64+'14'!AD64+'16'!AD64+'17'!AD64+'19'!AD64+'20'!AD64+'22'!AD64+'18'!AD64+'21'!AD64+'25'!AD64+'23'!AD64+'26'!AD64+'24'!AD64+'28'!AD64+'27'!AD64+'29'!AD64+'31'!AD64+'30'!AD64</f>
        <v>0</v>
      </c>
      <c r="AE64" s="52">
        <f>+'1'!AE64+'3'!AE64+'2'!AE64+'6'!AE64+'5'!AE64+'4'!AE64+'8'!AE64+'7'!AE64+'10'!AE64+'9'!AE64+'11'!AE64+'12'!AE64+'13'!AE64+'15'!AE64+'14'!AE64+'16'!AE64+'17'!AE64+'19'!AE64+'20'!AE64+'22'!AE64+'18'!AE64+'21'!AE64+'25'!AE64+'23'!AE64+'26'!AE64+'24'!AE64+'28'!AE64+'27'!AE64+'29'!AE64+'31'!AE64+'30'!AE64</f>
        <v>0</v>
      </c>
      <c r="AF64" s="52">
        <f>+'1'!AF64+'3'!AF64+'2'!AF64+'6'!AF64+'5'!AF64+'4'!AF64+'8'!AF64+'7'!AF64+'10'!AF64+'9'!AF64+'11'!AF64+'12'!AF64+'13'!AF64+'15'!AF64+'14'!AF64+'16'!AF64+'17'!AF64+'19'!AF64+'20'!AF64+'22'!AF64+'18'!AF64+'21'!AF64+'25'!AF64+'23'!AF64+'26'!AF64+'24'!AF64+'28'!AF64+'27'!AF64+'29'!AF64+'31'!AF64+'30'!AF64</f>
        <v>0</v>
      </c>
      <c r="AG64" s="52">
        <f>+'1'!AG64+'3'!AG64+'2'!AG64+'6'!AG64+'5'!AG64+'4'!AG64+'8'!AG64+'7'!AG64+'10'!AG64+'9'!AG64+'11'!AG64+'12'!AG64+'13'!AG64+'15'!AG64+'14'!AG64+'16'!AG64+'17'!AG64+'19'!AG64+'20'!AG64+'22'!AG64+'18'!AG64+'21'!AG64+'25'!AG64+'23'!AG64+'26'!AG64+'24'!AG64+'28'!AG64+'27'!AG64+'29'!AG64+'31'!AG64+'30'!AG64</f>
        <v>2</v>
      </c>
      <c r="AH64" s="52">
        <f>+'1'!AH64+'3'!AH64+'2'!AH64+'6'!AH64+'5'!AH64+'4'!AH64+'8'!AH64+'7'!AH64+'10'!AH64+'9'!AH64+'11'!AH64+'12'!AH64+'13'!AH64+'15'!AH64+'14'!AH64+'16'!AH64+'17'!AH64+'19'!AH64+'20'!AH64+'22'!AH64+'18'!AH64+'21'!AH64+'25'!AH64+'23'!AH64+'26'!AH64+'24'!AH64+'28'!AH64+'27'!AH64+'29'!AH64+'31'!AH64+'30'!AH64</f>
        <v>0</v>
      </c>
      <c r="AI64" s="55">
        <f>+'1'!AI64+'3'!AI64+'2'!AI64+'6'!AI64+'5'!AI64+'4'!AI64+'8'!AI64+'7'!AI64+'10'!AI64+'9'!AI64+'11'!AI64+'12'!AI64+'13'!AI64+'15'!AI64+'14'!AI64+'16'!AI64+'17'!AI64+'19'!AI64+'20'!AI64+'22'!AI64+'18'!AI64+'21'!AI64+'25'!AI64+'23'!AI64+'26'!AI64+'24'!AI64+'28'!AI64+'27'!AI64+'29'!AI64+'31'!AI64+'30'!AI64</f>
        <v>0</v>
      </c>
      <c r="AJ64" s="58">
        <f>+'1'!AJ64+'3'!AJ64+'2'!AJ64+'6'!AJ64+'5'!AJ64+'4'!AJ64+'8'!AJ64+'7'!AJ64+'10'!AJ64+'9'!AJ64+'11'!AJ64+'12'!AJ64+'13'!AJ64+'15'!AJ64+'14'!AJ64+'16'!AJ64+'17'!AJ64+'19'!AJ64+'20'!AJ64+'22'!AJ64+'18'!AJ64+'21'!AJ64+'25'!AJ64+'23'!AJ64+'26'!AJ64+'24'!AJ64+'28'!AJ64+'27'!AJ64+'29'!AJ64+'31'!AJ64+'30'!AJ64</f>
        <v>0</v>
      </c>
      <c r="AK64" s="55">
        <f>+'1'!AK64+'3'!AK64+'2'!AK64+'6'!AK64+'5'!AK64+'4'!AK64+'8'!AK64+'7'!AK64+'10'!AK64+'9'!AK64+'11'!AK64+'12'!AK64+'13'!AK64+'15'!AK64+'14'!AK64+'16'!AK64+'17'!AK64+'19'!AK64+'20'!AK64+'22'!AK64+'18'!AK64+'21'!AK64+'25'!AK64+'23'!AK64+'26'!AK64+'24'!AK64+'28'!AK64+'27'!AK64+'29'!AK64+'31'!AK64+'30'!AK64</f>
        <v>0</v>
      </c>
      <c r="AL64" s="66">
        <f t="shared" si="6"/>
        <v>4</v>
      </c>
      <c r="AM64" s="28" t="str">
        <f t="shared" si="7"/>
        <v>OK</v>
      </c>
    </row>
    <row r="65" spans="1:39" customFormat="1" hidden="1">
      <c r="A65" s="80" t="s">
        <v>127</v>
      </c>
      <c r="B65" s="77">
        <v>18306</v>
      </c>
      <c r="C65" s="17" t="s">
        <v>128</v>
      </c>
      <c r="D65" s="69"/>
      <c r="E65" s="18"/>
      <c r="F65" s="18"/>
      <c r="G65" s="19"/>
      <c r="H65" s="20">
        <f>+'1'!H65+'3'!H65+'2'!H65+'6'!H65+'5'!H65+'4'!H65+'8'!H65+'7'!H65+'10'!H65+'9'!H65+'11'!H65+'12'!H65+'13'!H65+'15'!H65+'14'!H65+'16'!H65+'17'!H65+'19'!H65+'20'!H65+'22'!H65+'18'!H65+'21'!H65+'25'!H65+'23'!H65+'26'!H65+'24'!H65+'28'!H65+'27'!H65+'29'!H65+'31'!H65+'30'!H65</f>
        <v>0</v>
      </c>
      <c r="I65" s="21">
        <f>+'1'!I65+'3'!I65+'2'!I65+'6'!I65+'5'!I65+'4'!I65+'8'!I65+'7'!I65+'10'!I65+'9'!I65+'11'!I65+'12'!I65+'13'!I65+'15'!I65+'14'!I65+'16'!I65+'17'!I65+'19'!I65+'20'!I65+'22'!I65+'18'!I65+'21'!I65+'25'!I65+'23'!I65+'26'!I65+'24'!I65+'28'!I65+'27'!I65+'29'!I65+'31'!I65+'30'!I65</f>
        <v>0</v>
      </c>
      <c r="J65" s="21"/>
      <c r="K65" s="16"/>
      <c r="L65" s="21">
        <f>+'1'!L65+'3'!L65+'2'!L65+'6'!L65+'5'!L65+'4'!L65+'8'!L65+'7'!L65+'10'!L65+'9'!L65+'11'!L65+'12'!L65+'13'!L65+'15'!L65+'14'!L65+'16'!L65+'17'!L65+'19'!L65+'20'!L65+'22'!L65+'18'!L65+'21'!L65+'25'!L65+'23'!L65+'26'!L65+'24'!L65+'28'!L65+'27'!L65+'29'!L65+'31'!L65+'30'!L65</f>
        <v>0</v>
      </c>
      <c r="M65" s="21">
        <f>+'1'!M65+'3'!M65+'2'!M65+'6'!M65+'5'!M65+'4'!M65+'8'!M65+'7'!M65+'10'!M65+'9'!M65+'11'!M65+'12'!M65+'13'!M65+'15'!M65+'14'!M65+'16'!M65+'17'!M65+'19'!M65+'20'!M65+'22'!M65+'18'!M65+'21'!M65+'25'!M65+'23'!M65+'26'!M65+'24'!M65+'28'!M65+'27'!M65+'29'!M65+'31'!M65+'30'!M65</f>
        <v>0</v>
      </c>
      <c r="N65" s="21">
        <f>+'1'!N65+'3'!N65+'2'!N65+'6'!N65+'5'!N65+'4'!N65+'8'!N65+'7'!N65+'10'!N65+'9'!N65+'11'!N65+'12'!N65+'13'!N65+'15'!N65+'14'!N65+'16'!N65+'17'!N65+'19'!N65+'20'!N65+'22'!N65+'18'!N65+'21'!N65+'25'!N65+'23'!N65+'26'!N65+'24'!N65+'28'!N65+'27'!N65+'29'!N65+'31'!N65+'30'!N65</f>
        <v>0</v>
      </c>
      <c r="O65" s="21">
        <f>+'1'!O65+'3'!O65+'2'!O65+'6'!O65+'5'!O65+'4'!O65+'8'!O65+'7'!O65+'10'!O65+'9'!O65+'11'!O65+'12'!O65+'13'!O65+'15'!O65+'14'!O65+'16'!O65+'17'!O65+'19'!O65+'20'!O65+'22'!O65+'18'!O65+'21'!O65+'25'!O65+'23'!O65+'26'!O65+'24'!O65+'28'!O65+'27'!O65+'29'!O65+'31'!O65+'30'!O65</f>
        <v>0</v>
      </c>
      <c r="P65" s="21">
        <f>+'1'!P65+'3'!P65+'2'!P65+'6'!P65+'5'!P65+'4'!P65+'8'!P65+'7'!P65+'10'!P65+'9'!P65+'11'!P65+'12'!P65+'13'!P65+'15'!P65+'14'!P65+'16'!P65+'17'!P65+'19'!P65+'20'!P65+'22'!P65+'18'!P65+'21'!P65+'25'!P65+'23'!P65+'26'!P65+'24'!P65+'28'!P65+'27'!P65+'29'!P65+'31'!P65+'30'!P65</f>
        <v>0</v>
      </c>
      <c r="Q65" s="21">
        <f>+'1'!Q65+'3'!Q65+'2'!Q65+'6'!Q65+'5'!Q65+'4'!Q65+'8'!Q65+'7'!Q65+'10'!Q65+'9'!Q65+'11'!Q65+'12'!Q65+'13'!Q65+'15'!Q65+'14'!Q65+'16'!Q65+'17'!Q65+'19'!Q65+'20'!Q65+'22'!Q65+'18'!Q65+'21'!Q65+'25'!Q65+'23'!Q65+'26'!Q65+'24'!Q65+'28'!Q65+'27'!Q65+'29'!Q65+'31'!Q65+'30'!Q65</f>
        <v>0</v>
      </c>
      <c r="R65" s="21">
        <f>+'1'!R65+'3'!R65+'2'!R65+'6'!R65+'5'!R65+'4'!R65+'8'!R65+'7'!R65+'10'!R65+'9'!R65+'11'!R65+'12'!R65+'13'!R65+'15'!R65+'14'!R65+'16'!R65+'17'!R65+'19'!R65+'20'!R65+'22'!R65+'18'!R65+'21'!R65+'25'!R65+'23'!R65+'26'!R65+'24'!R65+'28'!R65+'27'!R65+'29'!R65+'31'!R65+'30'!R65</f>
        <v>0</v>
      </c>
      <c r="S65" s="21">
        <f>+'1'!S65+'3'!S65+'2'!S65+'6'!S65+'5'!S65+'4'!S65+'8'!S65+'7'!S65+'10'!S65+'9'!S65+'11'!S65+'12'!S65+'13'!S65+'15'!S65+'14'!S65+'16'!S65+'17'!S65+'19'!S65+'20'!S65+'22'!S65+'18'!S65+'21'!S65+'25'!S65+'23'!S65+'26'!S65+'24'!S65+'28'!S65+'27'!S65+'29'!S65+'31'!S65+'30'!S65</f>
        <v>0</v>
      </c>
      <c r="T65" s="42">
        <f>+'1'!T65+'3'!T65+'2'!T65+'6'!T65+'5'!T65+'4'!T65+'8'!T65+'7'!T65+'10'!T65+'9'!T65+'11'!T65+'12'!T65+'13'!T65+'15'!T65+'14'!T65+'16'!T65+'17'!T65+'19'!T65+'20'!T65+'22'!T65+'18'!T65+'21'!T65+'25'!T65+'23'!T65+'26'!T65+'24'!T65+'28'!T65+'27'!T65+'29'!T65+'31'!T65+'30'!T65</f>
        <v>0</v>
      </c>
      <c r="U65" s="51">
        <f>+'1'!U65+'3'!U65+'2'!U65+'6'!U65+'5'!U65+'4'!U65+'8'!U65+'7'!U65+'10'!U65+'9'!U65+'11'!U65+'12'!U65+'13'!U65+'15'!U65+'14'!U65+'16'!U65+'17'!U65+'19'!U65+'20'!U65+'22'!U65+'18'!U65+'21'!U65+'25'!U65+'23'!U65+'26'!U65+'24'!U65+'28'!U65+'27'!U65+'29'!U65+'31'!U65+'30'!U65</f>
        <v>0</v>
      </c>
      <c r="V65" s="51">
        <f>+'1'!V65+'3'!V65+'2'!V65+'6'!V65+'5'!V65+'4'!V65+'8'!V65+'7'!V65+'10'!V65+'9'!V65+'11'!V65+'12'!V65+'13'!V65+'15'!V65+'14'!V65+'16'!V65+'17'!V65+'19'!V65+'20'!V65+'22'!V65+'18'!V65+'21'!V65+'25'!V65+'23'!V65+'26'!V65+'24'!V65+'28'!V65+'27'!V65+'29'!V65+'31'!V65+'30'!V65</f>
        <v>0</v>
      </c>
      <c r="W65" s="51">
        <f>+'1'!W65+'3'!W65+'2'!W65+'6'!W65+'5'!W65+'4'!W65+'8'!W65+'7'!W65+'10'!W65+'9'!W65+'11'!W65+'12'!W65+'13'!W65+'15'!W65+'14'!W65+'16'!W65+'17'!W65+'19'!W65+'20'!W65+'22'!W65+'18'!W65+'21'!W65+'25'!W65+'23'!W65+'26'!W65+'24'!W65+'28'!W65+'27'!W65+'29'!W65+'31'!W65+'30'!W65</f>
        <v>0</v>
      </c>
      <c r="X65" s="51">
        <f>+'1'!X65+'3'!X65+'2'!X65+'6'!X65+'5'!X65+'4'!X65+'8'!X65+'7'!X65+'10'!X65+'9'!X65+'11'!X65+'12'!X65+'13'!X65+'15'!X65+'14'!X65+'16'!X65+'17'!X65+'19'!X65+'20'!X65+'22'!X65+'18'!X65+'21'!X65+'25'!X65+'23'!X65+'26'!X65+'24'!X65+'28'!X65+'27'!X65+'29'!X65+'31'!X65+'30'!X65</f>
        <v>0</v>
      </c>
      <c r="Y65" s="51">
        <f>+'1'!Y65+'3'!Y65+'2'!Y65+'6'!Y65+'5'!Y65+'4'!Y65+'8'!Y65+'7'!Y65+'10'!Y65+'9'!Y65+'11'!Y65+'12'!Y65+'13'!Y65+'15'!Y65+'14'!Y65+'16'!Y65+'17'!Y65+'19'!Y65+'20'!Y65+'22'!Y65+'18'!Y65+'21'!Y65+'25'!Y65+'23'!Y65+'26'!Y65+'24'!Y65+'28'!Y65+'27'!Y65+'29'!Y65+'31'!Y65+'30'!Y65</f>
        <v>0</v>
      </c>
      <c r="Z65" s="51">
        <f>+'1'!Z65+'3'!Z65+'2'!Z65+'6'!Z65+'5'!Z65+'4'!Z65+'8'!Z65+'7'!Z65+'10'!Z65+'9'!Z65+'11'!Z65+'12'!Z65+'13'!Z65+'15'!Z65+'14'!Z65+'16'!Z65+'17'!Z65+'19'!Z65+'20'!Z65+'22'!Z65+'18'!Z65+'21'!Z65+'25'!Z65+'23'!Z65+'26'!Z65+'24'!Z65+'28'!Z65+'27'!Z65+'29'!Z65+'31'!Z65+'30'!Z65</f>
        <v>0</v>
      </c>
      <c r="AA65" s="51">
        <f>+'1'!AA65+'3'!AA65+'2'!AA65+'6'!AA65+'5'!AA65+'4'!AA65+'8'!AA65+'7'!AA65+'10'!AA65+'9'!AA65+'11'!AA65+'12'!AA65+'13'!AA65+'15'!AA65+'14'!AA65+'16'!AA65+'17'!AA65+'19'!AA65+'20'!AA65+'22'!AA65+'18'!AA65+'21'!AA65+'25'!AA65+'23'!AA65+'26'!AA65+'24'!AA65+'28'!AA65+'27'!AA65+'29'!AA65+'31'!AA65+'30'!AA65</f>
        <v>0</v>
      </c>
      <c r="AB65" s="51">
        <f>+'1'!AB65+'3'!AB65+'2'!AB65+'6'!AB65+'5'!AB65+'4'!AB65+'8'!AB65+'7'!AB65+'10'!AB65+'9'!AB65+'11'!AB65+'12'!AB65+'13'!AB65+'15'!AB65+'14'!AB65+'16'!AB65+'17'!AB65+'19'!AB65+'20'!AB65+'22'!AB65+'18'!AB65+'21'!AB65+'25'!AB65+'23'!AB65+'26'!AB65+'24'!AB65+'28'!AB65+'27'!AB65+'29'!AB65+'31'!AB65+'30'!AB65</f>
        <v>0</v>
      </c>
      <c r="AC65" s="51">
        <f>+'1'!AC65+'3'!AC65+'2'!AC65+'6'!AC65+'5'!AC65+'4'!AC65+'8'!AC65+'7'!AC65+'10'!AC65+'9'!AC65+'11'!AC65+'12'!AC65+'13'!AC65+'15'!AC65+'14'!AC65+'16'!AC65+'17'!AC65+'19'!AC65+'20'!AC65+'22'!AC65+'18'!AC65+'21'!AC65+'25'!AC65+'23'!AC65+'26'!AC65+'24'!AC65+'28'!AC65+'27'!AC65+'29'!AC65+'31'!AC65+'30'!AC65</f>
        <v>0</v>
      </c>
      <c r="AD65" s="51">
        <f>+'1'!AD65+'3'!AD65+'2'!AD65+'6'!AD65+'5'!AD65+'4'!AD65+'8'!AD65+'7'!AD65+'10'!AD65+'9'!AD65+'11'!AD65+'12'!AD65+'13'!AD65+'15'!AD65+'14'!AD65+'16'!AD65+'17'!AD65+'19'!AD65+'20'!AD65+'22'!AD65+'18'!AD65+'21'!AD65+'25'!AD65+'23'!AD65+'26'!AD65+'24'!AD65+'28'!AD65+'27'!AD65+'29'!AD65+'31'!AD65+'30'!AD65</f>
        <v>0</v>
      </c>
      <c r="AE65" s="51">
        <f>+'1'!AE65+'3'!AE65+'2'!AE65+'6'!AE65+'5'!AE65+'4'!AE65+'8'!AE65+'7'!AE65+'10'!AE65+'9'!AE65+'11'!AE65+'12'!AE65+'13'!AE65+'15'!AE65+'14'!AE65+'16'!AE65+'17'!AE65+'19'!AE65+'20'!AE65+'22'!AE65+'18'!AE65+'21'!AE65+'25'!AE65+'23'!AE65+'26'!AE65+'24'!AE65+'28'!AE65+'27'!AE65+'29'!AE65+'31'!AE65+'30'!AE65</f>
        <v>0</v>
      </c>
      <c r="AF65" s="51">
        <f>+'1'!AF65+'3'!AF65+'2'!AF65+'6'!AF65+'5'!AF65+'4'!AF65+'8'!AF65+'7'!AF65+'10'!AF65+'9'!AF65+'11'!AF65+'12'!AF65+'13'!AF65+'15'!AF65+'14'!AF65+'16'!AF65+'17'!AF65+'19'!AF65+'20'!AF65+'22'!AF65+'18'!AF65+'21'!AF65+'25'!AF65+'23'!AF65+'26'!AF65+'24'!AF65+'28'!AF65+'27'!AF65+'29'!AF65+'31'!AF65+'30'!AF65</f>
        <v>0</v>
      </c>
      <c r="AG65" s="51">
        <f>+'1'!AG65+'3'!AG65+'2'!AG65+'6'!AG65+'5'!AG65+'4'!AG65+'8'!AG65+'7'!AG65+'10'!AG65+'9'!AG65+'11'!AG65+'12'!AG65+'13'!AG65+'15'!AG65+'14'!AG65+'16'!AG65+'17'!AG65+'19'!AG65+'20'!AG65+'22'!AG65+'18'!AG65+'21'!AG65+'25'!AG65+'23'!AG65+'26'!AG65+'24'!AG65+'28'!AG65+'27'!AG65+'29'!AG65+'31'!AG65+'30'!AG65</f>
        <v>0</v>
      </c>
      <c r="AH65" s="51">
        <f>+'1'!AH65+'3'!AH65+'2'!AH65+'6'!AH65+'5'!AH65+'4'!AH65+'8'!AH65+'7'!AH65+'10'!AH65+'9'!AH65+'11'!AH65+'12'!AH65+'13'!AH65+'15'!AH65+'14'!AH65+'16'!AH65+'17'!AH65+'19'!AH65+'20'!AH65+'22'!AH65+'18'!AH65+'21'!AH65+'25'!AH65+'23'!AH65+'26'!AH65+'24'!AH65+'28'!AH65+'27'!AH65+'29'!AH65+'31'!AH65+'30'!AH65</f>
        <v>0</v>
      </c>
      <c r="AI65" s="54">
        <f>+'1'!AI65+'3'!AI65+'2'!AI65+'6'!AI65+'5'!AI65+'4'!AI65+'8'!AI65+'7'!AI65+'10'!AI65+'9'!AI65+'11'!AI65+'12'!AI65+'13'!AI65+'15'!AI65+'14'!AI65+'16'!AI65+'17'!AI65+'19'!AI65+'20'!AI65+'22'!AI65+'18'!AI65+'21'!AI65+'25'!AI65+'23'!AI65+'26'!AI65+'24'!AI65+'28'!AI65+'27'!AI65+'29'!AI65+'31'!AI65+'30'!AI65</f>
        <v>0</v>
      </c>
      <c r="AJ65" s="57">
        <f>+'1'!AJ65+'3'!AJ65+'2'!AJ65+'6'!AJ65+'5'!AJ65+'4'!AJ65+'8'!AJ65+'7'!AJ65+'10'!AJ65+'9'!AJ65+'11'!AJ65+'12'!AJ65+'13'!AJ65+'15'!AJ65+'14'!AJ65+'16'!AJ65+'17'!AJ65+'19'!AJ65+'20'!AJ65+'22'!AJ65+'18'!AJ65+'21'!AJ65+'25'!AJ65+'23'!AJ65+'26'!AJ65+'24'!AJ65+'28'!AJ65+'27'!AJ65+'29'!AJ65+'31'!AJ65+'30'!AJ65</f>
        <v>0</v>
      </c>
      <c r="AK65" s="54">
        <f>+'1'!AK65+'3'!AK65+'2'!AK65+'6'!AK65+'5'!AK65+'4'!AK65+'8'!AK65+'7'!AK65+'10'!AK65+'9'!AK65+'11'!AK65+'12'!AK65+'13'!AK65+'15'!AK65+'14'!AK65+'16'!AK65+'17'!AK65+'19'!AK65+'20'!AK65+'22'!AK65+'18'!AK65+'21'!AK65+'25'!AK65+'23'!AK65+'26'!AK65+'24'!AK65+'28'!AK65+'27'!AK65+'29'!AK65+'31'!AK65+'30'!AK65</f>
        <v>0</v>
      </c>
      <c r="AL65" s="65">
        <f t="shared" ref="AL65:AL96" si="8">SUM(L65:AK65)</f>
        <v>0</v>
      </c>
      <c r="AM65" s="22" t="str">
        <f t="shared" ref="AM65:AM96" si="9">IF(AL65=I65,"OK","NG")</f>
        <v>OK</v>
      </c>
    </row>
    <row r="66" spans="1:39" customFormat="1">
      <c r="A66" s="68" t="s">
        <v>129</v>
      </c>
      <c r="B66" s="78">
        <v>19834</v>
      </c>
      <c r="C66" s="23" t="s">
        <v>64</v>
      </c>
      <c r="D66" s="24"/>
      <c r="E66" s="24"/>
      <c r="F66" s="24"/>
      <c r="G66" s="25"/>
      <c r="H66" s="26">
        <f>+'1'!H66+'3'!H66+'2'!H66+'6'!H66+'5'!H66+'4'!H66+'8'!H66+'7'!H66+'10'!H66+'9'!H66+'11'!H66+'12'!H66+'13'!H66+'15'!H66+'14'!H66+'16'!H66+'17'!H66+'19'!H66+'20'!H66+'22'!H66+'18'!H66+'21'!H66+'25'!H66+'23'!H66+'26'!H66+'24'!H66+'28'!H66+'27'!H66+'29'!H66+'31'!H66+'30'!H66</f>
        <v>19600</v>
      </c>
      <c r="I66" s="27">
        <f>+'1'!I66+'3'!I66+'2'!I66+'6'!I66+'5'!I66+'4'!I66+'8'!I66+'7'!I66+'10'!I66+'9'!I66+'11'!I66+'12'!I66+'13'!I66+'15'!I66+'14'!I66+'16'!I66+'17'!I66+'19'!I66+'20'!I66+'22'!I66+'18'!I66+'21'!I66+'25'!I66+'23'!I66+'26'!I66+'24'!I66+'28'!I66+'27'!I66+'29'!I66+'31'!I66+'30'!I66</f>
        <v>43</v>
      </c>
      <c r="J66" s="27"/>
      <c r="K66" s="16"/>
      <c r="L66" s="27">
        <f>+'1'!L66+'3'!L66+'2'!L66+'6'!L66+'5'!L66+'4'!L66+'8'!L66+'7'!L66+'10'!L66+'9'!L66+'11'!L66+'12'!L66+'13'!L66+'15'!L66+'14'!L66+'16'!L66+'17'!L66+'19'!L66+'20'!L66+'22'!L66+'18'!L66+'21'!L66+'25'!L66+'23'!L66+'26'!L66+'24'!L66+'28'!L66+'27'!L66+'29'!L66+'31'!L66+'30'!L66</f>
        <v>20</v>
      </c>
      <c r="M66" s="27">
        <f>+'1'!M66+'3'!M66+'2'!M66+'6'!M66+'5'!M66+'4'!M66+'8'!M66+'7'!M66+'10'!M66+'9'!M66+'11'!M66+'12'!M66+'13'!M66+'15'!M66+'14'!M66+'16'!M66+'17'!M66+'19'!M66+'20'!M66+'22'!M66+'18'!M66+'21'!M66+'25'!M66+'23'!M66+'26'!M66+'24'!M66+'28'!M66+'27'!M66+'29'!M66+'31'!M66+'30'!M66</f>
        <v>6</v>
      </c>
      <c r="N66" s="27">
        <f>+'1'!N66+'3'!N66+'2'!N66+'6'!N66+'5'!N66+'4'!N66+'8'!N66+'7'!N66+'10'!N66+'9'!N66+'11'!N66+'12'!N66+'13'!N66+'15'!N66+'14'!N66+'16'!N66+'17'!N66+'19'!N66+'20'!N66+'22'!N66+'18'!N66+'21'!N66+'25'!N66+'23'!N66+'26'!N66+'24'!N66+'28'!N66+'27'!N66+'29'!N66+'31'!N66+'30'!N66</f>
        <v>0</v>
      </c>
      <c r="O66" s="27">
        <f>+'1'!O66+'3'!O66+'2'!O66+'6'!O66+'5'!O66+'4'!O66+'8'!O66+'7'!O66+'10'!O66+'9'!O66+'11'!O66+'12'!O66+'13'!O66+'15'!O66+'14'!O66+'16'!O66+'17'!O66+'19'!O66+'20'!O66+'22'!O66+'18'!O66+'21'!O66+'25'!O66+'23'!O66+'26'!O66+'24'!O66+'28'!O66+'27'!O66+'29'!O66+'31'!O66+'30'!O66</f>
        <v>0</v>
      </c>
      <c r="P66" s="27">
        <f>+'1'!P66+'3'!P66+'2'!P66+'6'!P66+'5'!P66+'4'!P66+'8'!P66+'7'!P66+'10'!P66+'9'!P66+'11'!P66+'12'!P66+'13'!P66+'15'!P66+'14'!P66+'16'!P66+'17'!P66+'19'!P66+'20'!P66+'22'!P66+'18'!P66+'21'!P66+'25'!P66+'23'!P66+'26'!P66+'24'!P66+'28'!P66+'27'!P66+'29'!P66+'31'!P66+'30'!P66</f>
        <v>4</v>
      </c>
      <c r="Q66" s="27">
        <f>+'1'!Q66+'3'!Q66+'2'!Q66+'6'!Q66+'5'!Q66+'4'!Q66+'8'!Q66+'7'!Q66+'10'!Q66+'9'!Q66+'11'!Q66+'12'!Q66+'13'!Q66+'15'!Q66+'14'!Q66+'16'!Q66+'17'!Q66+'19'!Q66+'20'!Q66+'22'!Q66+'18'!Q66+'21'!Q66+'25'!Q66+'23'!Q66+'26'!Q66+'24'!Q66+'28'!Q66+'27'!Q66+'29'!Q66+'31'!Q66+'30'!Q66</f>
        <v>0</v>
      </c>
      <c r="R66" s="27">
        <f>+'1'!R66+'3'!R66+'2'!R66+'6'!R66+'5'!R66+'4'!R66+'8'!R66+'7'!R66+'10'!R66+'9'!R66+'11'!R66+'12'!R66+'13'!R66+'15'!R66+'14'!R66+'16'!R66+'17'!R66+'19'!R66+'20'!R66+'22'!R66+'18'!R66+'21'!R66+'25'!R66+'23'!R66+'26'!R66+'24'!R66+'28'!R66+'27'!R66+'29'!R66+'31'!R66+'30'!R66</f>
        <v>0</v>
      </c>
      <c r="S66" s="27">
        <f>+'1'!S66+'3'!S66+'2'!S66+'6'!S66+'5'!S66+'4'!S66+'8'!S66+'7'!S66+'10'!S66+'9'!S66+'11'!S66+'12'!S66+'13'!S66+'15'!S66+'14'!S66+'16'!S66+'17'!S66+'19'!S66+'20'!S66+'22'!S66+'18'!S66+'21'!S66+'25'!S66+'23'!S66+'26'!S66+'24'!S66+'28'!S66+'27'!S66+'29'!S66+'31'!S66+'30'!S66</f>
        <v>0</v>
      </c>
      <c r="T66" s="43">
        <f>+'1'!T66+'3'!T66+'2'!T66+'6'!T66+'5'!T66+'4'!T66+'8'!T66+'7'!T66+'10'!T66+'9'!T66+'11'!T66+'12'!T66+'13'!T66+'15'!T66+'14'!T66+'16'!T66+'17'!T66+'19'!T66+'20'!T66+'22'!T66+'18'!T66+'21'!T66+'25'!T66+'23'!T66+'26'!T66+'24'!T66+'28'!T66+'27'!T66+'29'!T66+'31'!T66+'30'!T66</f>
        <v>0</v>
      </c>
      <c r="U66" s="52">
        <f>+'1'!U66+'3'!U66+'2'!U66+'6'!U66+'5'!U66+'4'!U66+'8'!U66+'7'!U66+'10'!U66+'9'!U66+'11'!U66+'12'!U66+'13'!U66+'15'!U66+'14'!U66+'16'!U66+'17'!U66+'19'!U66+'20'!U66+'22'!U66+'18'!U66+'21'!U66+'25'!U66+'23'!U66+'26'!U66+'24'!U66+'28'!U66+'27'!U66+'29'!U66+'31'!U66+'30'!U66</f>
        <v>0</v>
      </c>
      <c r="V66" s="52">
        <f>+'1'!V66+'3'!V66+'2'!V66+'6'!V66+'5'!V66+'4'!V66+'8'!V66+'7'!V66+'10'!V66+'9'!V66+'11'!V66+'12'!V66+'13'!V66+'15'!V66+'14'!V66+'16'!V66+'17'!V66+'19'!V66+'20'!V66+'22'!V66+'18'!V66+'21'!V66+'25'!V66+'23'!V66+'26'!V66+'24'!V66+'28'!V66+'27'!V66+'29'!V66+'31'!V66+'30'!V66</f>
        <v>0</v>
      </c>
      <c r="W66" s="52">
        <f>+'1'!W66+'3'!W66+'2'!W66+'6'!W66+'5'!W66+'4'!W66+'8'!W66+'7'!W66+'10'!W66+'9'!W66+'11'!W66+'12'!W66+'13'!W66+'15'!W66+'14'!W66+'16'!W66+'17'!W66+'19'!W66+'20'!W66+'22'!W66+'18'!W66+'21'!W66+'25'!W66+'23'!W66+'26'!W66+'24'!W66+'28'!W66+'27'!W66+'29'!W66+'31'!W66+'30'!W66</f>
        <v>0</v>
      </c>
      <c r="X66" s="52">
        <f>+'1'!X66+'3'!X66+'2'!X66+'6'!X66+'5'!X66+'4'!X66+'8'!X66+'7'!X66+'10'!X66+'9'!X66+'11'!X66+'12'!X66+'13'!X66+'15'!X66+'14'!X66+'16'!X66+'17'!X66+'19'!X66+'20'!X66+'22'!X66+'18'!X66+'21'!X66+'25'!X66+'23'!X66+'26'!X66+'24'!X66+'28'!X66+'27'!X66+'29'!X66+'31'!X66+'30'!X66</f>
        <v>0</v>
      </c>
      <c r="Y66" s="52">
        <f>+'1'!Y66+'3'!Y66+'2'!Y66+'6'!Y66+'5'!Y66+'4'!Y66+'8'!Y66+'7'!Y66+'10'!Y66+'9'!Y66+'11'!Y66+'12'!Y66+'13'!Y66+'15'!Y66+'14'!Y66+'16'!Y66+'17'!Y66+'19'!Y66+'20'!Y66+'22'!Y66+'18'!Y66+'21'!Y66+'25'!Y66+'23'!Y66+'26'!Y66+'24'!Y66+'28'!Y66+'27'!Y66+'29'!Y66+'31'!Y66+'30'!Y66</f>
        <v>4</v>
      </c>
      <c r="Z66" s="52">
        <f>+'1'!Z66+'3'!Z66+'2'!Z66+'6'!Z66+'5'!Z66+'4'!Z66+'8'!Z66+'7'!Z66+'10'!Z66+'9'!Z66+'11'!Z66+'12'!Z66+'13'!Z66+'15'!Z66+'14'!Z66+'16'!Z66+'17'!Z66+'19'!Z66+'20'!Z66+'22'!Z66+'18'!Z66+'21'!Z66+'25'!Z66+'23'!Z66+'26'!Z66+'24'!Z66+'28'!Z66+'27'!Z66+'29'!Z66+'31'!Z66+'30'!Z66</f>
        <v>0</v>
      </c>
      <c r="AA66" s="52">
        <f>+'1'!AA66+'3'!AA66+'2'!AA66+'6'!AA66+'5'!AA66+'4'!AA66+'8'!AA66+'7'!AA66+'10'!AA66+'9'!AA66+'11'!AA66+'12'!AA66+'13'!AA66+'15'!AA66+'14'!AA66+'16'!AA66+'17'!AA66+'19'!AA66+'20'!AA66+'22'!AA66+'18'!AA66+'21'!AA66+'25'!AA66+'23'!AA66+'26'!AA66+'24'!AA66+'28'!AA66+'27'!AA66+'29'!AA66+'31'!AA66+'30'!AA66</f>
        <v>0</v>
      </c>
      <c r="AB66" s="52">
        <f>+'1'!AB66+'3'!AB66+'2'!AB66+'6'!AB66+'5'!AB66+'4'!AB66+'8'!AB66+'7'!AB66+'10'!AB66+'9'!AB66+'11'!AB66+'12'!AB66+'13'!AB66+'15'!AB66+'14'!AB66+'16'!AB66+'17'!AB66+'19'!AB66+'20'!AB66+'22'!AB66+'18'!AB66+'21'!AB66+'25'!AB66+'23'!AB66+'26'!AB66+'24'!AB66+'28'!AB66+'27'!AB66+'29'!AB66+'31'!AB66+'30'!AB66</f>
        <v>0</v>
      </c>
      <c r="AC66" s="52">
        <f>+'1'!AC66+'3'!AC66+'2'!AC66+'6'!AC66+'5'!AC66+'4'!AC66+'8'!AC66+'7'!AC66+'10'!AC66+'9'!AC66+'11'!AC66+'12'!AC66+'13'!AC66+'15'!AC66+'14'!AC66+'16'!AC66+'17'!AC66+'19'!AC66+'20'!AC66+'22'!AC66+'18'!AC66+'21'!AC66+'25'!AC66+'23'!AC66+'26'!AC66+'24'!AC66+'28'!AC66+'27'!AC66+'29'!AC66+'31'!AC66+'30'!AC66</f>
        <v>9</v>
      </c>
      <c r="AD66" s="52">
        <f>+'1'!AD66+'3'!AD66+'2'!AD66+'6'!AD66+'5'!AD66+'4'!AD66+'8'!AD66+'7'!AD66+'10'!AD66+'9'!AD66+'11'!AD66+'12'!AD66+'13'!AD66+'15'!AD66+'14'!AD66+'16'!AD66+'17'!AD66+'19'!AD66+'20'!AD66+'22'!AD66+'18'!AD66+'21'!AD66+'25'!AD66+'23'!AD66+'26'!AD66+'24'!AD66+'28'!AD66+'27'!AD66+'29'!AD66+'31'!AD66+'30'!AD66</f>
        <v>0</v>
      </c>
      <c r="AE66" s="52">
        <f>+'1'!AE66+'3'!AE66+'2'!AE66+'6'!AE66+'5'!AE66+'4'!AE66+'8'!AE66+'7'!AE66+'10'!AE66+'9'!AE66+'11'!AE66+'12'!AE66+'13'!AE66+'15'!AE66+'14'!AE66+'16'!AE66+'17'!AE66+'19'!AE66+'20'!AE66+'22'!AE66+'18'!AE66+'21'!AE66+'25'!AE66+'23'!AE66+'26'!AE66+'24'!AE66+'28'!AE66+'27'!AE66+'29'!AE66+'31'!AE66+'30'!AE66</f>
        <v>0</v>
      </c>
      <c r="AF66" s="52">
        <f>+'1'!AF66+'3'!AF66+'2'!AF66+'6'!AF66+'5'!AF66+'4'!AF66+'8'!AF66+'7'!AF66+'10'!AF66+'9'!AF66+'11'!AF66+'12'!AF66+'13'!AF66+'15'!AF66+'14'!AF66+'16'!AF66+'17'!AF66+'19'!AF66+'20'!AF66+'22'!AF66+'18'!AF66+'21'!AF66+'25'!AF66+'23'!AF66+'26'!AF66+'24'!AF66+'28'!AF66+'27'!AF66+'29'!AF66+'31'!AF66+'30'!AF66</f>
        <v>0</v>
      </c>
      <c r="AG66" s="52">
        <f>+'1'!AG66+'3'!AG66+'2'!AG66+'6'!AG66+'5'!AG66+'4'!AG66+'8'!AG66+'7'!AG66+'10'!AG66+'9'!AG66+'11'!AG66+'12'!AG66+'13'!AG66+'15'!AG66+'14'!AG66+'16'!AG66+'17'!AG66+'19'!AG66+'20'!AG66+'22'!AG66+'18'!AG66+'21'!AG66+'25'!AG66+'23'!AG66+'26'!AG66+'24'!AG66+'28'!AG66+'27'!AG66+'29'!AG66+'31'!AG66+'30'!AG66</f>
        <v>0</v>
      </c>
      <c r="AH66" s="52">
        <f>+'1'!AH66+'3'!AH66+'2'!AH66+'6'!AH66+'5'!AH66+'4'!AH66+'8'!AH66+'7'!AH66+'10'!AH66+'9'!AH66+'11'!AH66+'12'!AH66+'13'!AH66+'15'!AH66+'14'!AH66+'16'!AH66+'17'!AH66+'19'!AH66+'20'!AH66+'22'!AH66+'18'!AH66+'21'!AH66+'25'!AH66+'23'!AH66+'26'!AH66+'24'!AH66+'28'!AH66+'27'!AH66+'29'!AH66+'31'!AH66+'30'!AH66</f>
        <v>0</v>
      </c>
      <c r="AI66" s="55">
        <f>+'1'!AI66+'3'!AI66+'2'!AI66+'6'!AI66+'5'!AI66+'4'!AI66+'8'!AI66+'7'!AI66+'10'!AI66+'9'!AI66+'11'!AI66+'12'!AI66+'13'!AI66+'15'!AI66+'14'!AI66+'16'!AI66+'17'!AI66+'19'!AI66+'20'!AI66+'22'!AI66+'18'!AI66+'21'!AI66+'25'!AI66+'23'!AI66+'26'!AI66+'24'!AI66+'28'!AI66+'27'!AI66+'29'!AI66+'31'!AI66+'30'!AI66</f>
        <v>0</v>
      </c>
      <c r="AJ66" s="58">
        <f>+'1'!AJ66+'3'!AJ66+'2'!AJ66+'6'!AJ66+'5'!AJ66+'4'!AJ66+'8'!AJ66+'7'!AJ66+'10'!AJ66+'9'!AJ66+'11'!AJ66+'12'!AJ66+'13'!AJ66+'15'!AJ66+'14'!AJ66+'16'!AJ66+'17'!AJ66+'19'!AJ66+'20'!AJ66+'22'!AJ66+'18'!AJ66+'21'!AJ66+'25'!AJ66+'23'!AJ66+'26'!AJ66+'24'!AJ66+'28'!AJ66+'27'!AJ66+'29'!AJ66+'31'!AJ66+'30'!AJ66</f>
        <v>0</v>
      </c>
      <c r="AK66" s="55">
        <f>+'1'!AK66+'3'!AK66+'2'!AK66+'6'!AK66+'5'!AK66+'4'!AK66+'8'!AK66+'7'!AK66+'10'!AK66+'9'!AK66+'11'!AK66+'12'!AK66+'13'!AK66+'15'!AK66+'14'!AK66+'16'!AK66+'17'!AK66+'19'!AK66+'20'!AK66+'22'!AK66+'18'!AK66+'21'!AK66+'25'!AK66+'23'!AK66+'26'!AK66+'24'!AK66+'28'!AK66+'27'!AK66+'29'!AK66+'31'!AK66+'30'!AK66</f>
        <v>0</v>
      </c>
      <c r="AL66" s="66">
        <f t="shared" si="8"/>
        <v>43</v>
      </c>
      <c r="AM66" s="28" t="str">
        <f t="shared" si="9"/>
        <v>OK</v>
      </c>
    </row>
    <row r="67" spans="1:39" customFormat="1">
      <c r="A67" s="82" t="s">
        <v>130</v>
      </c>
      <c r="B67" s="77">
        <v>20277</v>
      </c>
      <c r="C67" s="17" t="s">
        <v>131</v>
      </c>
      <c r="D67" s="69"/>
      <c r="E67" s="18"/>
      <c r="F67" s="18"/>
      <c r="G67" s="19"/>
      <c r="H67" s="20">
        <f>+'1'!H67+'3'!H67+'2'!H67+'6'!H67+'5'!H67+'4'!H67+'8'!H67+'7'!H67+'10'!H67+'9'!H67+'11'!H67+'12'!H67+'13'!H67+'15'!H67+'14'!H67+'16'!H67+'17'!H67+'19'!H67+'20'!H67+'22'!H67+'18'!H67+'21'!H67+'25'!H67+'23'!H67+'26'!H67+'24'!H67+'28'!H67+'27'!H67+'29'!H67+'31'!H67+'30'!H67</f>
        <v>15580</v>
      </c>
      <c r="I67" s="21">
        <f>+'1'!I67+'3'!I67+'2'!I67+'6'!I67+'5'!I67+'4'!I67+'8'!I67+'7'!I67+'10'!I67+'9'!I67+'11'!I67+'12'!I67+'13'!I67+'15'!I67+'14'!I67+'16'!I67+'17'!I67+'19'!I67+'20'!I67+'22'!I67+'18'!I67+'21'!I67+'25'!I67+'23'!I67+'26'!I67+'24'!I67+'28'!I67+'27'!I67+'29'!I67+'31'!I67+'30'!I67</f>
        <v>0</v>
      </c>
      <c r="J67" s="21"/>
      <c r="K67" s="16"/>
      <c r="L67" s="21">
        <f>+'1'!L67+'3'!L67+'2'!L67+'6'!L67+'5'!L67+'4'!L67+'8'!L67+'7'!L67+'10'!L67+'9'!L67+'11'!L67+'12'!L67+'13'!L67+'15'!L67+'14'!L67+'16'!L67+'17'!L67+'19'!L67+'20'!L67+'22'!L67+'18'!L67+'21'!L67+'25'!L67+'23'!L67+'26'!L67+'24'!L67+'28'!L67+'27'!L67+'29'!L67+'31'!L67+'30'!L67</f>
        <v>0</v>
      </c>
      <c r="M67" s="21">
        <f>+'1'!M67+'3'!M67+'2'!M67+'6'!M67+'5'!M67+'4'!M67+'8'!M67+'7'!M67+'10'!M67+'9'!M67+'11'!M67+'12'!M67+'13'!M67+'15'!M67+'14'!M67+'16'!M67+'17'!M67+'19'!M67+'20'!M67+'22'!M67+'18'!M67+'21'!M67+'25'!M67+'23'!M67+'26'!M67+'24'!M67+'28'!M67+'27'!M67+'29'!M67+'31'!M67+'30'!M67</f>
        <v>0</v>
      </c>
      <c r="N67" s="21">
        <f>+'1'!N67+'3'!N67+'2'!N67+'6'!N67+'5'!N67+'4'!N67+'8'!N67+'7'!N67+'10'!N67+'9'!N67+'11'!N67+'12'!N67+'13'!N67+'15'!N67+'14'!N67+'16'!N67+'17'!N67+'19'!N67+'20'!N67+'22'!N67+'18'!N67+'21'!N67+'25'!N67+'23'!N67+'26'!N67+'24'!N67+'28'!N67+'27'!N67+'29'!N67+'31'!N67+'30'!N67</f>
        <v>0</v>
      </c>
      <c r="O67" s="21">
        <f>+'1'!O67+'3'!O67+'2'!O67+'6'!O67+'5'!O67+'4'!O67+'8'!O67+'7'!O67+'10'!O67+'9'!O67+'11'!O67+'12'!O67+'13'!O67+'15'!O67+'14'!O67+'16'!O67+'17'!O67+'19'!O67+'20'!O67+'22'!O67+'18'!O67+'21'!O67+'25'!O67+'23'!O67+'26'!O67+'24'!O67+'28'!O67+'27'!O67+'29'!O67+'31'!O67+'30'!O67</f>
        <v>0</v>
      </c>
      <c r="P67" s="21">
        <f>+'1'!P67+'3'!P67+'2'!P67+'6'!P67+'5'!P67+'4'!P67+'8'!P67+'7'!P67+'10'!P67+'9'!P67+'11'!P67+'12'!P67+'13'!P67+'15'!P67+'14'!P67+'16'!P67+'17'!P67+'19'!P67+'20'!P67+'22'!P67+'18'!P67+'21'!P67+'25'!P67+'23'!P67+'26'!P67+'24'!P67+'28'!P67+'27'!P67+'29'!P67+'31'!P67+'30'!P67</f>
        <v>0</v>
      </c>
      <c r="Q67" s="21">
        <f>+'1'!Q67+'3'!Q67+'2'!Q67+'6'!Q67+'5'!Q67+'4'!Q67+'8'!Q67+'7'!Q67+'10'!Q67+'9'!Q67+'11'!Q67+'12'!Q67+'13'!Q67+'15'!Q67+'14'!Q67+'16'!Q67+'17'!Q67+'19'!Q67+'20'!Q67+'22'!Q67+'18'!Q67+'21'!Q67+'25'!Q67+'23'!Q67+'26'!Q67+'24'!Q67+'28'!Q67+'27'!Q67+'29'!Q67+'31'!Q67+'30'!Q67</f>
        <v>0</v>
      </c>
      <c r="R67" s="21">
        <f>+'1'!R67+'3'!R67+'2'!R67+'6'!R67+'5'!R67+'4'!R67+'8'!R67+'7'!R67+'10'!R67+'9'!R67+'11'!R67+'12'!R67+'13'!R67+'15'!R67+'14'!R67+'16'!R67+'17'!R67+'19'!R67+'20'!R67+'22'!R67+'18'!R67+'21'!R67+'25'!R67+'23'!R67+'26'!R67+'24'!R67+'28'!R67+'27'!R67+'29'!R67+'31'!R67+'30'!R67</f>
        <v>0</v>
      </c>
      <c r="S67" s="21">
        <f>+'1'!S67+'3'!S67+'2'!S67+'6'!S67+'5'!S67+'4'!S67+'8'!S67+'7'!S67+'10'!S67+'9'!S67+'11'!S67+'12'!S67+'13'!S67+'15'!S67+'14'!S67+'16'!S67+'17'!S67+'19'!S67+'20'!S67+'22'!S67+'18'!S67+'21'!S67+'25'!S67+'23'!S67+'26'!S67+'24'!S67+'28'!S67+'27'!S67+'29'!S67+'31'!S67+'30'!S67</f>
        <v>0</v>
      </c>
      <c r="T67" s="42">
        <f>+'1'!T67+'3'!T67+'2'!T67+'6'!T67+'5'!T67+'4'!T67+'8'!T67+'7'!T67+'10'!T67+'9'!T67+'11'!T67+'12'!T67+'13'!T67+'15'!T67+'14'!T67+'16'!T67+'17'!T67+'19'!T67+'20'!T67+'22'!T67+'18'!T67+'21'!T67+'25'!T67+'23'!T67+'26'!T67+'24'!T67+'28'!T67+'27'!T67+'29'!T67+'31'!T67+'30'!T67</f>
        <v>0</v>
      </c>
      <c r="U67" s="51">
        <f>+'1'!U67+'3'!U67+'2'!U67+'6'!U67+'5'!U67+'4'!U67+'8'!U67+'7'!U67+'10'!U67+'9'!U67+'11'!U67+'12'!U67+'13'!U67+'15'!U67+'14'!U67+'16'!U67+'17'!U67+'19'!U67+'20'!U67+'22'!U67+'18'!U67+'21'!U67+'25'!U67+'23'!U67+'26'!U67+'24'!U67+'28'!U67+'27'!U67+'29'!U67+'31'!U67+'30'!U67</f>
        <v>0</v>
      </c>
      <c r="V67" s="51">
        <f>+'1'!V67+'3'!V67+'2'!V67+'6'!V67+'5'!V67+'4'!V67+'8'!V67+'7'!V67+'10'!V67+'9'!V67+'11'!V67+'12'!V67+'13'!V67+'15'!V67+'14'!V67+'16'!V67+'17'!V67+'19'!V67+'20'!V67+'22'!V67+'18'!V67+'21'!V67+'25'!V67+'23'!V67+'26'!V67+'24'!V67+'28'!V67+'27'!V67+'29'!V67+'31'!V67+'30'!V67</f>
        <v>0</v>
      </c>
      <c r="W67" s="51">
        <f>+'1'!W67+'3'!W67+'2'!W67+'6'!W67+'5'!W67+'4'!W67+'8'!W67+'7'!W67+'10'!W67+'9'!W67+'11'!W67+'12'!W67+'13'!W67+'15'!W67+'14'!W67+'16'!W67+'17'!W67+'19'!W67+'20'!W67+'22'!W67+'18'!W67+'21'!W67+'25'!W67+'23'!W67+'26'!W67+'24'!W67+'28'!W67+'27'!W67+'29'!W67+'31'!W67+'30'!W67</f>
        <v>0</v>
      </c>
      <c r="X67" s="51">
        <f>+'1'!X67+'3'!X67+'2'!X67+'6'!X67+'5'!X67+'4'!X67+'8'!X67+'7'!X67+'10'!X67+'9'!X67+'11'!X67+'12'!X67+'13'!X67+'15'!X67+'14'!X67+'16'!X67+'17'!X67+'19'!X67+'20'!X67+'22'!X67+'18'!X67+'21'!X67+'25'!X67+'23'!X67+'26'!X67+'24'!X67+'28'!X67+'27'!X67+'29'!X67+'31'!X67+'30'!X67</f>
        <v>0</v>
      </c>
      <c r="Y67" s="51">
        <f>+'1'!Y67+'3'!Y67+'2'!Y67+'6'!Y67+'5'!Y67+'4'!Y67+'8'!Y67+'7'!Y67+'10'!Y67+'9'!Y67+'11'!Y67+'12'!Y67+'13'!Y67+'15'!Y67+'14'!Y67+'16'!Y67+'17'!Y67+'19'!Y67+'20'!Y67+'22'!Y67+'18'!Y67+'21'!Y67+'25'!Y67+'23'!Y67+'26'!Y67+'24'!Y67+'28'!Y67+'27'!Y67+'29'!Y67+'31'!Y67+'30'!Y67</f>
        <v>0</v>
      </c>
      <c r="Z67" s="51">
        <f>+'1'!Z67+'3'!Z67+'2'!Z67+'6'!Z67+'5'!Z67+'4'!Z67+'8'!Z67+'7'!Z67+'10'!Z67+'9'!Z67+'11'!Z67+'12'!Z67+'13'!Z67+'15'!Z67+'14'!Z67+'16'!Z67+'17'!Z67+'19'!Z67+'20'!Z67+'22'!Z67+'18'!Z67+'21'!Z67+'25'!Z67+'23'!Z67+'26'!Z67+'24'!Z67+'28'!Z67+'27'!Z67+'29'!Z67+'31'!Z67+'30'!Z67</f>
        <v>0</v>
      </c>
      <c r="AA67" s="51">
        <f>+'1'!AA67+'3'!AA67+'2'!AA67+'6'!AA67+'5'!AA67+'4'!AA67+'8'!AA67+'7'!AA67+'10'!AA67+'9'!AA67+'11'!AA67+'12'!AA67+'13'!AA67+'15'!AA67+'14'!AA67+'16'!AA67+'17'!AA67+'19'!AA67+'20'!AA67+'22'!AA67+'18'!AA67+'21'!AA67+'25'!AA67+'23'!AA67+'26'!AA67+'24'!AA67+'28'!AA67+'27'!AA67+'29'!AA67+'31'!AA67+'30'!AA67</f>
        <v>0</v>
      </c>
      <c r="AB67" s="51">
        <f>+'1'!AB67+'3'!AB67+'2'!AB67+'6'!AB67+'5'!AB67+'4'!AB67+'8'!AB67+'7'!AB67+'10'!AB67+'9'!AB67+'11'!AB67+'12'!AB67+'13'!AB67+'15'!AB67+'14'!AB67+'16'!AB67+'17'!AB67+'19'!AB67+'20'!AB67+'22'!AB67+'18'!AB67+'21'!AB67+'25'!AB67+'23'!AB67+'26'!AB67+'24'!AB67+'28'!AB67+'27'!AB67+'29'!AB67+'31'!AB67+'30'!AB67</f>
        <v>0</v>
      </c>
      <c r="AC67" s="51">
        <f>+'1'!AC67+'3'!AC67+'2'!AC67+'6'!AC67+'5'!AC67+'4'!AC67+'8'!AC67+'7'!AC67+'10'!AC67+'9'!AC67+'11'!AC67+'12'!AC67+'13'!AC67+'15'!AC67+'14'!AC67+'16'!AC67+'17'!AC67+'19'!AC67+'20'!AC67+'22'!AC67+'18'!AC67+'21'!AC67+'25'!AC67+'23'!AC67+'26'!AC67+'24'!AC67+'28'!AC67+'27'!AC67+'29'!AC67+'31'!AC67+'30'!AC67</f>
        <v>0</v>
      </c>
      <c r="AD67" s="51">
        <f>+'1'!AD67+'3'!AD67+'2'!AD67+'6'!AD67+'5'!AD67+'4'!AD67+'8'!AD67+'7'!AD67+'10'!AD67+'9'!AD67+'11'!AD67+'12'!AD67+'13'!AD67+'15'!AD67+'14'!AD67+'16'!AD67+'17'!AD67+'19'!AD67+'20'!AD67+'22'!AD67+'18'!AD67+'21'!AD67+'25'!AD67+'23'!AD67+'26'!AD67+'24'!AD67+'28'!AD67+'27'!AD67+'29'!AD67+'31'!AD67+'30'!AD67</f>
        <v>0</v>
      </c>
      <c r="AE67" s="51">
        <f>+'1'!AE67+'3'!AE67+'2'!AE67+'6'!AE67+'5'!AE67+'4'!AE67+'8'!AE67+'7'!AE67+'10'!AE67+'9'!AE67+'11'!AE67+'12'!AE67+'13'!AE67+'15'!AE67+'14'!AE67+'16'!AE67+'17'!AE67+'19'!AE67+'20'!AE67+'22'!AE67+'18'!AE67+'21'!AE67+'25'!AE67+'23'!AE67+'26'!AE67+'24'!AE67+'28'!AE67+'27'!AE67+'29'!AE67+'31'!AE67+'30'!AE67</f>
        <v>0</v>
      </c>
      <c r="AF67" s="51">
        <f>+'1'!AF67+'3'!AF67+'2'!AF67+'6'!AF67+'5'!AF67+'4'!AF67+'8'!AF67+'7'!AF67+'10'!AF67+'9'!AF67+'11'!AF67+'12'!AF67+'13'!AF67+'15'!AF67+'14'!AF67+'16'!AF67+'17'!AF67+'19'!AF67+'20'!AF67+'22'!AF67+'18'!AF67+'21'!AF67+'25'!AF67+'23'!AF67+'26'!AF67+'24'!AF67+'28'!AF67+'27'!AF67+'29'!AF67+'31'!AF67+'30'!AF67</f>
        <v>0</v>
      </c>
      <c r="AG67" s="51">
        <f>+'1'!AG67+'3'!AG67+'2'!AG67+'6'!AG67+'5'!AG67+'4'!AG67+'8'!AG67+'7'!AG67+'10'!AG67+'9'!AG67+'11'!AG67+'12'!AG67+'13'!AG67+'15'!AG67+'14'!AG67+'16'!AG67+'17'!AG67+'19'!AG67+'20'!AG67+'22'!AG67+'18'!AG67+'21'!AG67+'25'!AG67+'23'!AG67+'26'!AG67+'24'!AG67+'28'!AG67+'27'!AG67+'29'!AG67+'31'!AG67+'30'!AG67</f>
        <v>0</v>
      </c>
      <c r="AH67" s="51">
        <f>+'1'!AH67+'3'!AH67+'2'!AH67+'6'!AH67+'5'!AH67+'4'!AH67+'8'!AH67+'7'!AH67+'10'!AH67+'9'!AH67+'11'!AH67+'12'!AH67+'13'!AH67+'15'!AH67+'14'!AH67+'16'!AH67+'17'!AH67+'19'!AH67+'20'!AH67+'22'!AH67+'18'!AH67+'21'!AH67+'25'!AH67+'23'!AH67+'26'!AH67+'24'!AH67+'28'!AH67+'27'!AH67+'29'!AH67+'31'!AH67+'30'!AH67</f>
        <v>0</v>
      </c>
      <c r="AI67" s="54">
        <f>+'1'!AI67+'3'!AI67+'2'!AI67+'6'!AI67+'5'!AI67+'4'!AI67+'8'!AI67+'7'!AI67+'10'!AI67+'9'!AI67+'11'!AI67+'12'!AI67+'13'!AI67+'15'!AI67+'14'!AI67+'16'!AI67+'17'!AI67+'19'!AI67+'20'!AI67+'22'!AI67+'18'!AI67+'21'!AI67+'25'!AI67+'23'!AI67+'26'!AI67+'24'!AI67+'28'!AI67+'27'!AI67+'29'!AI67+'31'!AI67+'30'!AI67</f>
        <v>0</v>
      </c>
      <c r="AJ67" s="57">
        <f>+'1'!AJ67+'3'!AJ67+'2'!AJ67+'6'!AJ67+'5'!AJ67+'4'!AJ67+'8'!AJ67+'7'!AJ67+'10'!AJ67+'9'!AJ67+'11'!AJ67+'12'!AJ67+'13'!AJ67+'15'!AJ67+'14'!AJ67+'16'!AJ67+'17'!AJ67+'19'!AJ67+'20'!AJ67+'22'!AJ67+'18'!AJ67+'21'!AJ67+'25'!AJ67+'23'!AJ67+'26'!AJ67+'24'!AJ67+'28'!AJ67+'27'!AJ67+'29'!AJ67+'31'!AJ67+'30'!AJ67</f>
        <v>0</v>
      </c>
      <c r="AK67" s="54">
        <f>+'1'!AK67+'3'!AK67+'2'!AK67+'6'!AK67+'5'!AK67+'4'!AK67+'8'!AK67+'7'!AK67+'10'!AK67+'9'!AK67+'11'!AK67+'12'!AK67+'13'!AK67+'15'!AK67+'14'!AK67+'16'!AK67+'17'!AK67+'19'!AK67+'20'!AK67+'22'!AK67+'18'!AK67+'21'!AK67+'25'!AK67+'23'!AK67+'26'!AK67+'24'!AK67+'28'!AK67+'27'!AK67+'29'!AK67+'31'!AK67+'30'!AK67</f>
        <v>0</v>
      </c>
      <c r="AL67" s="65">
        <f t="shared" si="8"/>
        <v>0</v>
      </c>
      <c r="AM67" s="22" t="str">
        <f t="shared" si="9"/>
        <v>OK</v>
      </c>
    </row>
    <row r="68" spans="1:39" customFormat="1">
      <c r="A68" s="81" t="s">
        <v>132</v>
      </c>
      <c r="B68" s="78">
        <v>20269</v>
      </c>
      <c r="C68" s="23" t="s">
        <v>131</v>
      </c>
      <c r="D68" s="24"/>
      <c r="E68" s="24"/>
      <c r="F68" s="24"/>
      <c r="G68" s="25"/>
      <c r="H68" s="26">
        <f>+'1'!H68+'3'!H68+'2'!H68+'6'!H68+'5'!H68+'4'!H68+'8'!H68+'7'!H68+'10'!H68+'9'!H68+'11'!H68+'12'!H68+'13'!H68+'15'!H68+'14'!H68+'16'!H68+'17'!H68+'19'!H68+'20'!H68+'22'!H68+'18'!H68+'21'!H68+'25'!H68+'23'!H68+'26'!H68+'24'!H68+'28'!H68+'27'!H68+'29'!H68+'31'!H68+'30'!H68</f>
        <v>7921</v>
      </c>
      <c r="I68" s="27">
        <f>+'1'!I68+'3'!I68+'2'!I68+'6'!I68+'5'!I68+'4'!I68+'8'!I68+'7'!I68+'10'!I68+'9'!I68+'11'!I68+'12'!I68+'13'!I68+'15'!I68+'14'!I68+'16'!I68+'17'!I68+'19'!I68+'20'!I68+'22'!I68+'18'!I68+'21'!I68+'25'!I68+'23'!I68+'26'!I68+'24'!I68+'28'!I68+'27'!I68+'29'!I68+'31'!I68+'30'!I68</f>
        <v>1</v>
      </c>
      <c r="J68" s="27"/>
      <c r="K68" s="16"/>
      <c r="L68" s="27">
        <f>+'1'!L68+'3'!L68+'2'!L68+'6'!L68+'5'!L68+'4'!L68+'8'!L68+'7'!L68+'10'!L68+'9'!L68+'11'!L68+'12'!L68+'13'!L68+'15'!L68+'14'!L68+'16'!L68+'17'!L68+'19'!L68+'20'!L68+'22'!L68+'18'!L68+'21'!L68+'25'!L68+'23'!L68+'26'!L68+'24'!L68+'28'!L68+'27'!L68+'29'!L68+'31'!L68+'30'!L68</f>
        <v>0</v>
      </c>
      <c r="M68" s="27">
        <f>+'1'!M68+'3'!M68+'2'!M68+'6'!M68+'5'!M68+'4'!M68+'8'!M68+'7'!M68+'10'!M68+'9'!M68+'11'!M68+'12'!M68+'13'!M68+'15'!M68+'14'!M68+'16'!M68+'17'!M68+'19'!M68+'20'!M68+'22'!M68+'18'!M68+'21'!M68+'25'!M68+'23'!M68+'26'!M68+'24'!M68+'28'!M68+'27'!M68+'29'!M68+'31'!M68+'30'!M68</f>
        <v>0</v>
      </c>
      <c r="N68" s="27">
        <f>+'1'!N68+'3'!N68+'2'!N68+'6'!N68+'5'!N68+'4'!N68+'8'!N68+'7'!N68+'10'!N68+'9'!N68+'11'!N68+'12'!N68+'13'!N68+'15'!N68+'14'!N68+'16'!N68+'17'!N68+'19'!N68+'20'!N68+'22'!N68+'18'!N68+'21'!N68+'25'!N68+'23'!N68+'26'!N68+'24'!N68+'28'!N68+'27'!N68+'29'!N68+'31'!N68+'30'!N68</f>
        <v>0</v>
      </c>
      <c r="O68" s="27">
        <f>+'1'!O68+'3'!O68+'2'!O68+'6'!O68+'5'!O68+'4'!O68+'8'!O68+'7'!O68+'10'!O68+'9'!O68+'11'!O68+'12'!O68+'13'!O68+'15'!O68+'14'!O68+'16'!O68+'17'!O68+'19'!O68+'20'!O68+'22'!O68+'18'!O68+'21'!O68+'25'!O68+'23'!O68+'26'!O68+'24'!O68+'28'!O68+'27'!O68+'29'!O68+'31'!O68+'30'!O68</f>
        <v>0</v>
      </c>
      <c r="P68" s="27">
        <f>+'1'!P68+'3'!P68+'2'!P68+'6'!P68+'5'!P68+'4'!P68+'8'!P68+'7'!P68+'10'!P68+'9'!P68+'11'!P68+'12'!P68+'13'!P68+'15'!P68+'14'!P68+'16'!P68+'17'!P68+'19'!P68+'20'!P68+'22'!P68+'18'!P68+'21'!P68+'25'!P68+'23'!P68+'26'!P68+'24'!P68+'28'!P68+'27'!P68+'29'!P68+'31'!P68+'30'!P68</f>
        <v>0</v>
      </c>
      <c r="Q68" s="27">
        <f>+'1'!Q68+'3'!Q68+'2'!Q68+'6'!Q68+'5'!Q68+'4'!Q68+'8'!Q68+'7'!Q68+'10'!Q68+'9'!Q68+'11'!Q68+'12'!Q68+'13'!Q68+'15'!Q68+'14'!Q68+'16'!Q68+'17'!Q68+'19'!Q68+'20'!Q68+'22'!Q68+'18'!Q68+'21'!Q68+'25'!Q68+'23'!Q68+'26'!Q68+'24'!Q68+'28'!Q68+'27'!Q68+'29'!Q68+'31'!Q68+'30'!Q68</f>
        <v>0</v>
      </c>
      <c r="R68" s="27">
        <f>+'1'!R68+'3'!R68+'2'!R68+'6'!R68+'5'!R68+'4'!R68+'8'!R68+'7'!R68+'10'!R68+'9'!R68+'11'!R68+'12'!R68+'13'!R68+'15'!R68+'14'!R68+'16'!R68+'17'!R68+'19'!R68+'20'!R68+'22'!R68+'18'!R68+'21'!R68+'25'!R68+'23'!R68+'26'!R68+'24'!R68+'28'!R68+'27'!R68+'29'!R68+'31'!R68+'30'!R68</f>
        <v>0</v>
      </c>
      <c r="S68" s="27">
        <f>+'1'!S68+'3'!S68+'2'!S68+'6'!S68+'5'!S68+'4'!S68+'8'!S68+'7'!S68+'10'!S68+'9'!S68+'11'!S68+'12'!S68+'13'!S68+'15'!S68+'14'!S68+'16'!S68+'17'!S68+'19'!S68+'20'!S68+'22'!S68+'18'!S68+'21'!S68+'25'!S68+'23'!S68+'26'!S68+'24'!S68+'28'!S68+'27'!S68+'29'!S68+'31'!S68+'30'!S68</f>
        <v>0</v>
      </c>
      <c r="T68" s="43">
        <f>+'1'!T68+'3'!T68+'2'!T68+'6'!T68+'5'!T68+'4'!T68+'8'!T68+'7'!T68+'10'!T68+'9'!T68+'11'!T68+'12'!T68+'13'!T68+'15'!T68+'14'!T68+'16'!T68+'17'!T68+'19'!T68+'20'!T68+'22'!T68+'18'!T68+'21'!T68+'25'!T68+'23'!T68+'26'!T68+'24'!T68+'28'!T68+'27'!T68+'29'!T68+'31'!T68+'30'!T68</f>
        <v>0</v>
      </c>
      <c r="U68" s="52">
        <f>+'1'!U68+'3'!U68+'2'!U68+'6'!U68+'5'!U68+'4'!U68+'8'!U68+'7'!U68+'10'!U68+'9'!U68+'11'!U68+'12'!U68+'13'!U68+'15'!U68+'14'!U68+'16'!U68+'17'!U68+'19'!U68+'20'!U68+'22'!U68+'18'!U68+'21'!U68+'25'!U68+'23'!U68+'26'!U68+'24'!U68+'28'!U68+'27'!U68+'29'!U68+'31'!U68+'30'!U68</f>
        <v>0</v>
      </c>
      <c r="V68" s="52">
        <f>+'1'!V68+'3'!V68+'2'!V68+'6'!V68+'5'!V68+'4'!V68+'8'!V68+'7'!V68+'10'!V68+'9'!V68+'11'!V68+'12'!V68+'13'!V68+'15'!V68+'14'!V68+'16'!V68+'17'!V68+'19'!V68+'20'!V68+'22'!V68+'18'!V68+'21'!V68+'25'!V68+'23'!V68+'26'!V68+'24'!V68+'28'!V68+'27'!V68+'29'!V68+'31'!V68+'30'!V68</f>
        <v>0</v>
      </c>
      <c r="W68" s="52">
        <f>+'1'!W68+'3'!W68+'2'!W68+'6'!W68+'5'!W68+'4'!W68+'8'!W68+'7'!W68+'10'!W68+'9'!W68+'11'!W68+'12'!W68+'13'!W68+'15'!W68+'14'!W68+'16'!W68+'17'!W68+'19'!W68+'20'!W68+'22'!W68+'18'!W68+'21'!W68+'25'!W68+'23'!W68+'26'!W68+'24'!W68+'28'!W68+'27'!W68+'29'!W68+'31'!W68+'30'!W68</f>
        <v>0</v>
      </c>
      <c r="X68" s="52">
        <f>+'1'!X68+'3'!X68+'2'!X68+'6'!X68+'5'!X68+'4'!X68+'8'!X68+'7'!X68+'10'!X68+'9'!X68+'11'!X68+'12'!X68+'13'!X68+'15'!X68+'14'!X68+'16'!X68+'17'!X68+'19'!X68+'20'!X68+'22'!X68+'18'!X68+'21'!X68+'25'!X68+'23'!X68+'26'!X68+'24'!X68+'28'!X68+'27'!X68+'29'!X68+'31'!X68+'30'!X68</f>
        <v>0</v>
      </c>
      <c r="Y68" s="52">
        <f>+'1'!Y68+'3'!Y68+'2'!Y68+'6'!Y68+'5'!Y68+'4'!Y68+'8'!Y68+'7'!Y68+'10'!Y68+'9'!Y68+'11'!Y68+'12'!Y68+'13'!Y68+'15'!Y68+'14'!Y68+'16'!Y68+'17'!Y68+'19'!Y68+'20'!Y68+'22'!Y68+'18'!Y68+'21'!Y68+'25'!Y68+'23'!Y68+'26'!Y68+'24'!Y68+'28'!Y68+'27'!Y68+'29'!Y68+'31'!Y68+'30'!Y68</f>
        <v>0</v>
      </c>
      <c r="Z68" s="52">
        <f>+'1'!Z68+'3'!Z68+'2'!Z68+'6'!Z68+'5'!Z68+'4'!Z68+'8'!Z68+'7'!Z68+'10'!Z68+'9'!Z68+'11'!Z68+'12'!Z68+'13'!Z68+'15'!Z68+'14'!Z68+'16'!Z68+'17'!Z68+'19'!Z68+'20'!Z68+'22'!Z68+'18'!Z68+'21'!Z68+'25'!Z68+'23'!Z68+'26'!Z68+'24'!Z68+'28'!Z68+'27'!Z68+'29'!Z68+'31'!Z68+'30'!Z68</f>
        <v>0</v>
      </c>
      <c r="AA68" s="52">
        <f>+'1'!AA68+'3'!AA68+'2'!AA68+'6'!AA68+'5'!AA68+'4'!AA68+'8'!AA68+'7'!AA68+'10'!AA68+'9'!AA68+'11'!AA68+'12'!AA68+'13'!AA68+'15'!AA68+'14'!AA68+'16'!AA68+'17'!AA68+'19'!AA68+'20'!AA68+'22'!AA68+'18'!AA68+'21'!AA68+'25'!AA68+'23'!AA68+'26'!AA68+'24'!AA68+'28'!AA68+'27'!AA68+'29'!AA68+'31'!AA68+'30'!AA68</f>
        <v>0</v>
      </c>
      <c r="AB68" s="52">
        <f>+'1'!AB68+'3'!AB68+'2'!AB68+'6'!AB68+'5'!AB68+'4'!AB68+'8'!AB68+'7'!AB68+'10'!AB68+'9'!AB68+'11'!AB68+'12'!AB68+'13'!AB68+'15'!AB68+'14'!AB68+'16'!AB68+'17'!AB68+'19'!AB68+'20'!AB68+'22'!AB68+'18'!AB68+'21'!AB68+'25'!AB68+'23'!AB68+'26'!AB68+'24'!AB68+'28'!AB68+'27'!AB68+'29'!AB68+'31'!AB68+'30'!AB68</f>
        <v>1</v>
      </c>
      <c r="AC68" s="52">
        <f>+'1'!AC68+'3'!AC68+'2'!AC68+'6'!AC68+'5'!AC68+'4'!AC68+'8'!AC68+'7'!AC68+'10'!AC68+'9'!AC68+'11'!AC68+'12'!AC68+'13'!AC68+'15'!AC68+'14'!AC68+'16'!AC68+'17'!AC68+'19'!AC68+'20'!AC68+'22'!AC68+'18'!AC68+'21'!AC68+'25'!AC68+'23'!AC68+'26'!AC68+'24'!AC68+'28'!AC68+'27'!AC68+'29'!AC68+'31'!AC68+'30'!AC68</f>
        <v>0</v>
      </c>
      <c r="AD68" s="52">
        <f>+'1'!AD68+'3'!AD68+'2'!AD68+'6'!AD68+'5'!AD68+'4'!AD68+'8'!AD68+'7'!AD68+'10'!AD68+'9'!AD68+'11'!AD68+'12'!AD68+'13'!AD68+'15'!AD68+'14'!AD68+'16'!AD68+'17'!AD68+'19'!AD68+'20'!AD68+'22'!AD68+'18'!AD68+'21'!AD68+'25'!AD68+'23'!AD68+'26'!AD68+'24'!AD68+'28'!AD68+'27'!AD68+'29'!AD68+'31'!AD68+'30'!AD68</f>
        <v>0</v>
      </c>
      <c r="AE68" s="52">
        <f>+'1'!AE68+'3'!AE68+'2'!AE68+'6'!AE68+'5'!AE68+'4'!AE68+'8'!AE68+'7'!AE68+'10'!AE68+'9'!AE68+'11'!AE68+'12'!AE68+'13'!AE68+'15'!AE68+'14'!AE68+'16'!AE68+'17'!AE68+'19'!AE68+'20'!AE68+'22'!AE68+'18'!AE68+'21'!AE68+'25'!AE68+'23'!AE68+'26'!AE68+'24'!AE68+'28'!AE68+'27'!AE68+'29'!AE68+'31'!AE68+'30'!AE68</f>
        <v>0</v>
      </c>
      <c r="AF68" s="52">
        <f>+'1'!AF68+'3'!AF68+'2'!AF68+'6'!AF68+'5'!AF68+'4'!AF68+'8'!AF68+'7'!AF68+'10'!AF68+'9'!AF68+'11'!AF68+'12'!AF68+'13'!AF68+'15'!AF68+'14'!AF68+'16'!AF68+'17'!AF68+'19'!AF68+'20'!AF68+'22'!AF68+'18'!AF68+'21'!AF68+'25'!AF68+'23'!AF68+'26'!AF68+'24'!AF68+'28'!AF68+'27'!AF68+'29'!AF68+'31'!AF68+'30'!AF68</f>
        <v>0</v>
      </c>
      <c r="AG68" s="52">
        <f>+'1'!AG68+'3'!AG68+'2'!AG68+'6'!AG68+'5'!AG68+'4'!AG68+'8'!AG68+'7'!AG68+'10'!AG68+'9'!AG68+'11'!AG68+'12'!AG68+'13'!AG68+'15'!AG68+'14'!AG68+'16'!AG68+'17'!AG68+'19'!AG68+'20'!AG68+'22'!AG68+'18'!AG68+'21'!AG68+'25'!AG68+'23'!AG68+'26'!AG68+'24'!AG68+'28'!AG68+'27'!AG68+'29'!AG68+'31'!AG68+'30'!AG68</f>
        <v>0</v>
      </c>
      <c r="AH68" s="52">
        <f>+'1'!AH68+'3'!AH68+'2'!AH68+'6'!AH68+'5'!AH68+'4'!AH68+'8'!AH68+'7'!AH68+'10'!AH68+'9'!AH68+'11'!AH68+'12'!AH68+'13'!AH68+'15'!AH68+'14'!AH68+'16'!AH68+'17'!AH68+'19'!AH68+'20'!AH68+'22'!AH68+'18'!AH68+'21'!AH68+'25'!AH68+'23'!AH68+'26'!AH68+'24'!AH68+'28'!AH68+'27'!AH68+'29'!AH68+'31'!AH68+'30'!AH68</f>
        <v>0</v>
      </c>
      <c r="AI68" s="55">
        <f>+'1'!AI68+'3'!AI68+'2'!AI68+'6'!AI68+'5'!AI68+'4'!AI68+'8'!AI68+'7'!AI68+'10'!AI68+'9'!AI68+'11'!AI68+'12'!AI68+'13'!AI68+'15'!AI68+'14'!AI68+'16'!AI68+'17'!AI68+'19'!AI68+'20'!AI68+'22'!AI68+'18'!AI68+'21'!AI68+'25'!AI68+'23'!AI68+'26'!AI68+'24'!AI68+'28'!AI68+'27'!AI68+'29'!AI68+'31'!AI68+'30'!AI68</f>
        <v>0</v>
      </c>
      <c r="AJ68" s="58">
        <f>+'1'!AJ68+'3'!AJ68+'2'!AJ68+'6'!AJ68+'5'!AJ68+'4'!AJ68+'8'!AJ68+'7'!AJ68+'10'!AJ68+'9'!AJ68+'11'!AJ68+'12'!AJ68+'13'!AJ68+'15'!AJ68+'14'!AJ68+'16'!AJ68+'17'!AJ68+'19'!AJ68+'20'!AJ68+'22'!AJ68+'18'!AJ68+'21'!AJ68+'25'!AJ68+'23'!AJ68+'26'!AJ68+'24'!AJ68+'28'!AJ68+'27'!AJ68+'29'!AJ68+'31'!AJ68+'30'!AJ68</f>
        <v>0</v>
      </c>
      <c r="AK68" s="55">
        <f>+'1'!AK68+'3'!AK68+'2'!AK68+'6'!AK68+'5'!AK68+'4'!AK68+'8'!AK68+'7'!AK68+'10'!AK68+'9'!AK68+'11'!AK68+'12'!AK68+'13'!AK68+'15'!AK68+'14'!AK68+'16'!AK68+'17'!AK68+'19'!AK68+'20'!AK68+'22'!AK68+'18'!AK68+'21'!AK68+'25'!AK68+'23'!AK68+'26'!AK68+'24'!AK68+'28'!AK68+'27'!AK68+'29'!AK68+'31'!AK68+'30'!AK68</f>
        <v>0</v>
      </c>
      <c r="AL68" s="66">
        <f t="shared" si="8"/>
        <v>1</v>
      </c>
      <c r="AM68" s="28" t="str">
        <f t="shared" si="9"/>
        <v>OK</v>
      </c>
    </row>
    <row r="69" spans="1:39" customFormat="1" hidden="1">
      <c r="A69" s="80" t="s">
        <v>133</v>
      </c>
      <c r="B69" s="77">
        <v>14023</v>
      </c>
      <c r="C69" s="17" t="s">
        <v>134</v>
      </c>
      <c r="D69" s="69"/>
      <c r="E69" s="18"/>
      <c r="F69" s="18"/>
      <c r="G69" s="19"/>
      <c r="H69" s="20">
        <f>+'1'!H69+'3'!H69+'2'!H69+'6'!H69+'5'!H69+'4'!H69+'8'!H69+'7'!H69+'10'!H69+'9'!H69+'11'!H69+'12'!H69+'13'!H69+'15'!H69+'14'!H69+'16'!H69+'17'!H69+'19'!H69+'20'!H69+'22'!H69+'18'!H69+'21'!H69+'25'!H69+'23'!H69+'26'!H69+'24'!H69+'28'!H69+'27'!H69+'29'!H69+'31'!H69+'30'!H69</f>
        <v>0</v>
      </c>
      <c r="I69" s="21">
        <f>+'1'!I69+'3'!I69+'2'!I69+'6'!I69+'5'!I69+'4'!I69+'8'!I69+'7'!I69+'10'!I69+'9'!I69+'11'!I69+'12'!I69+'13'!I69+'15'!I69+'14'!I69+'16'!I69+'17'!I69+'19'!I69+'20'!I69+'22'!I69+'18'!I69+'21'!I69+'25'!I69+'23'!I69+'26'!I69+'24'!I69+'28'!I69+'27'!I69+'29'!I69+'31'!I69+'30'!I69</f>
        <v>0</v>
      </c>
      <c r="J69" s="21"/>
      <c r="K69" s="16"/>
      <c r="L69" s="21">
        <f>+'1'!L69+'3'!L69+'2'!L69+'6'!L69+'5'!L69+'4'!L69+'8'!L69+'7'!L69+'10'!L69+'9'!L69+'11'!L69+'12'!L69+'13'!L69+'15'!L69+'14'!L69+'16'!L69+'17'!L69+'19'!L69+'20'!L69+'22'!L69+'18'!L69+'21'!L69+'25'!L69+'23'!L69+'26'!L69+'24'!L69+'28'!L69+'27'!L69+'29'!L69+'31'!L69+'30'!L69</f>
        <v>0</v>
      </c>
      <c r="M69" s="21">
        <f>+'1'!M69+'3'!M69+'2'!M69+'6'!M69+'5'!M69+'4'!M69+'8'!M69+'7'!M69+'10'!M69+'9'!M69+'11'!M69+'12'!M69+'13'!M69+'15'!M69+'14'!M69+'16'!M69+'17'!M69+'19'!M69+'20'!M69+'22'!M69+'18'!M69+'21'!M69+'25'!M69+'23'!M69+'26'!M69+'24'!M69+'28'!M69+'27'!M69+'29'!M69+'31'!M69+'30'!M69</f>
        <v>0</v>
      </c>
      <c r="N69" s="21">
        <f>+'1'!N69+'3'!N69+'2'!N69+'6'!N69+'5'!N69+'4'!N69+'8'!N69+'7'!N69+'10'!N69+'9'!N69+'11'!N69+'12'!N69+'13'!N69+'15'!N69+'14'!N69+'16'!N69+'17'!N69+'19'!N69+'20'!N69+'22'!N69+'18'!N69+'21'!N69+'25'!N69+'23'!N69+'26'!N69+'24'!N69+'28'!N69+'27'!N69+'29'!N69+'31'!N69+'30'!N69</f>
        <v>0</v>
      </c>
      <c r="O69" s="21">
        <f>+'1'!O69+'3'!O69+'2'!O69+'6'!O69+'5'!O69+'4'!O69+'8'!O69+'7'!O69+'10'!O69+'9'!O69+'11'!O69+'12'!O69+'13'!O69+'15'!O69+'14'!O69+'16'!O69+'17'!O69+'19'!O69+'20'!O69+'22'!O69+'18'!O69+'21'!O69+'25'!O69+'23'!O69+'26'!O69+'24'!O69+'28'!O69+'27'!O69+'29'!O69+'31'!O69+'30'!O69</f>
        <v>0</v>
      </c>
      <c r="P69" s="21">
        <f>+'1'!P69+'3'!P69+'2'!P69+'6'!P69+'5'!P69+'4'!P69+'8'!P69+'7'!P69+'10'!P69+'9'!P69+'11'!P69+'12'!P69+'13'!P69+'15'!P69+'14'!P69+'16'!P69+'17'!P69+'19'!P69+'20'!P69+'22'!P69+'18'!P69+'21'!P69+'25'!P69+'23'!P69+'26'!P69+'24'!P69+'28'!P69+'27'!P69+'29'!P69+'31'!P69+'30'!P69</f>
        <v>0</v>
      </c>
      <c r="Q69" s="21">
        <f>+'1'!Q69+'3'!Q69+'2'!Q69+'6'!Q69+'5'!Q69+'4'!Q69+'8'!Q69+'7'!Q69+'10'!Q69+'9'!Q69+'11'!Q69+'12'!Q69+'13'!Q69+'15'!Q69+'14'!Q69+'16'!Q69+'17'!Q69+'19'!Q69+'20'!Q69+'22'!Q69+'18'!Q69+'21'!Q69+'25'!Q69+'23'!Q69+'26'!Q69+'24'!Q69+'28'!Q69+'27'!Q69+'29'!Q69+'31'!Q69+'30'!Q69</f>
        <v>0</v>
      </c>
      <c r="R69" s="21">
        <f>+'1'!R69+'3'!R69+'2'!R69+'6'!R69+'5'!R69+'4'!R69+'8'!R69+'7'!R69+'10'!R69+'9'!R69+'11'!R69+'12'!R69+'13'!R69+'15'!R69+'14'!R69+'16'!R69+'17'!R69+'19'!R69+'20'!R69+'22'!R69+'18'!R69+'21'!R69+'25'!R69+'23'!R69+'26'!R69+'24'!R69+'28'!R69+'27'!R69+'29'!R69+'31'!R69+'30'!R69</f>
        <v>0</v>
      </c>
      <c r="S69" s="21">
        <f>+'1'!S69+'3'!S69+'2'!S69+'6'!S69+'5'!S69+'4'!S69+'8'!S69+'7'!S69+'10'!S69+'9'!S69+'11'!S69+'12'!S69+'13'!S69+'15'!S69+'14'!S69+'16'!S69+'17'!S69+'19'!S69+'20'!S69+'22'!S69+'18'!S69+'21'!S69+'25'!S69+'23'!S69+'26'!S69+'24'!S69+'28'!S69+'27'!S69+'29'!S69+'31'!S69+'30'!S69</f>
        <v>0</v>
      </c>
      <c r="T69" s="42">
        <f>+'1'!T69+'3'!T69+'2'!T69+'6'!T69+'5'!T69+'4'!T69+'8'!T69+'7'!T69+'10'!T69+'9'!T69+'11'!T69+'12'!T69+'13'!T69+'15'!T69+'14'!T69+'16'!T69+'17'!T69+'19'!T69+'20'!T69+'22'!T69+'18'!T69+'21'!T69+'25'!T69+'23'!T69+'26'!T69+'24'!T69+'28'!T69+'27'!T69+'29'!T69+'31'!T69+'30'!T69</f>
        <v>0</v>
      </c>
      <c r="U69" s="51">
        <f>+'1'!U69+'3'!U69+'2'!U69+'6'!U69+'5'!U69+'4'!U69+'8'!U69+'7'!U69+'10'!U69+'9'!U69+'11'!U69+'12'!U69+'13'!U69+'15'!U69+'14'!U69+'16'!U69+'17'!U69+'19'!U69+'20'!U69+'22'!U69+'18'!U69+'21'!U69+'25'!U69+'23'!U69+'26'!U69+'24'!U69+'28'!U69+'27'!U69+'29'!U69+'31'!U69+'30'!U69</f>
        <v>0</v>
      </c>
      <c r="V69" s="51">
        <f>+'1'!V69+'3'!V69+'2'!V69+'6'!V69+'5'!V69+'4'!V69+'8'!V69+'7'!V69+'10'!V69+'9'!V69+'11'!V69+'12'!V69+'13'!V69+'15'!V69+'14'!V69+'16'!V69+'17'!V69+'19'!V69+'20'!V69+'22'!V69+'18'!V69+'21'!V69+'25'!V69+'23'!V69+'26'!V69+'24'!V69+'28'!V69+'27'!V69+'29'!V69+'31'!V69+'30'!V69</f>
        <v>0</v>
      </c>
      <c r="W69" s="51">
        <f>+'1'!W69+'3'!W69+'2'!W69+'6'!W69+'5'!W69+'4'!W69+'8'!W69+'7'!W69+'10'!W69+'9'!W69+'11'!W69+'12'!W69+'13'!W69+'15'!W69+'14'!W69+'16'!W69+'17'!W69+'19'!W69+'20'!W69+'22'!W69+'18'!W69+'21'!W69+'25'!W69+'23'!W69+'26'!W69+'24'!W69+'28'!W69+'27'!W69+'29'!W69+'31'!W69+'30'!W69</f>
        <v>0</v>
      </c>
      <c r="X69" s="51">
        <f>+'1'!X69+'3'!X69+'2'!X69+'6'!X69+'5'!X69+'4'!X69+'8'!X69+'7'!X69+'10'!X69+'9'!X69+'11'!X69+'12'!X69+'13'!X69+'15'!X69+'14'!X69+'16'!X69+'17'!X69+'19'!X69+'20'!X69+'22'!X69+'18'!X69+'21'!X69+'25'!X69+'23'!X69+'26'!X69+'24'!X69+'28'!X69+'27'!X69+'29'!X69+'31'!X69+'30'!X69</f>
        <v>0</v>
      </c>
      <c r="Y69" s="51">
        <f>+'1'!Y69+'3'!Y69+'2'!Y69+'6'!Y69+'5'!Y69+'4'!Y69+'8'!Y69+'7'!Y69+'10'!Y69+'9'!Y69+'11'!Y69+'12'!Y69+'13'!Y69+'15'!Y69+'14'!Y69+'16'!Y69+'17'!Y69+'19'!Y69+'20'!Y69+'22'!Y69+'18'!Y69+'21'!Y69+'25'!Y69+'23'!Y69+'26'!Y69+'24'!Y69+'28'!Y69+'27'!Y69+'29'!Y69+'31'!Y69+'30'!Y69</f>
        <v>0</v>
      </c>
      <c r="Z69" s="51">
        <f>+'1'!Z69+'3'!Z69+'2'!Z69+'6'!Z69+'5'!Z69+'4'!Z69+'8'!Z69+'7'!Z69+'10'!Z69+'9'!Z69+'11'!Z69+'12'!Z69+'13'!Z69+'15'!Z69+'14'!Z69+'16'!Z69+'17'!Z69+'19'!Z69+'20'!Z69+'22'!Z69+'18'!Z69+'21'!Z69+'25'!Z69+'23'!Z69+'26'!Z69+'24'!Z69+'28'!Z69+'27'!Z69+'29'!Z69+'31'!Z69+'30'!Z69</f>
        <v>0</v>
      </c>
      <c r="AA69" s="51">
        <f>+'1'!AA69+'3'!AA69+'2'!AA69+'6'!AA69+'5'!AA69+'4'!AA69+'8'!AA69+'7'!AA69+'10'!AA69+'9'!AA69+'11'!AA69+'12'!AA69+'13'!AA69+'15'!AA69+'14'!AA69+'16'!AA69+'17'!AA69+'19'!AA69+'20'!AA69+'22'!AA69+'18'!AA69+'21'!AA69+'25'!AA69+'23'!AA69+'26'!AA69+'24'!AA69+'28'!AA69+'27'!AA69+'29'!AA69+'31'!AA69+'30'!AA69</f>
        <v>0</v>
      </c>
      <c r="AB69" s="51">
        <f>+'1'!AB69+'3'!AB69+'2'!AB69+'6'!AB69+'5'!AB69+'4'!AB69+'8'!AB69+'7'!AB69+'10'!AB69+'9'!AB69+'11'!AB69+'12'!AB69+'13'!AB69+'15'!AB69+'14'!AB69+'16'!AB69+'17'!AB69+'19'!AB69+'20'!AB69+'22'!AB69+'18'!AB69+'21'!AB69+'25'!AB69+'23'!AB69+'26'!AB69+'24'!AB69+'28'!AB69+'27'!AB69+'29'!AB69+'31'!AB69+'30'!AB69</f>
        <v>0</v>
      </c>
      <c r="AC69" s="51">
        <f>+'1'!AC69+'3'!AC69+'2'!AC69+'6'!AC69+'5'!AC69+'4'!AC69+'8'!AC69+'7'!AC69+'10'!AC69+'9'!AC69+'11'!AC69+'12'!AC69+'13'!AC69+'15'!AC69+'14'!AC69+'16'!AC69+'17'!AC69+'19'!AC69+'20'!AC69+'22'!AC69+'18'!AC69+'21'!AC69+'25'!AC69+'23'!AC69+'26'!AC69+'24'!AC69+'28'!AC69+'27'!AC69+'29'!AC69+'31'!AC69+'30'!AC69</f>
        <v>0</v>
      </c>
      <c r="AD69" s="51">
        <f>+'1'!AD69+'3'!AD69+'2'!AD69+'6'!AD69+'5'!AD69+'4'!AD69+'8'!AD69+'7'!AD69+'10'!AD69+'9'!AD69+'11'!AD69+'12'!AD69+'13'!AD69+'15'!AD69+'14'!AD69+'16'!AD69+'17'!AD69+'19'!AD69+'20'!AD69+'22'!AD69+'18'!AD69+'21'!AD69+'25'!AD69+'23'!AD69+'26'!AD69+'24'!AD69+'28'!AD69+'27'!AD69+'29'!AD69+'31'!AD69+'30'!AD69</f>
        <v>0</v>
      </c>
      <c r="AE69" s="51">
        <f>+'1'!AE69+'3'!AE69+'2'!AE69+'6'!AE69+'5'!AE69+'4'!AE69+'8'!AE69+'7'!AE69+'10'!AE69+'9'!AE69+'11'!AE69+'12'!AE69+'13'!AE69+'15'!AE69+'14'!AE69+'16'!AE69+'17'!AE69+'19'!AE69+'20'!AE69+'22'!AE69+'18'!AE69+'21'!AE69+'25'!AE69+'23'!AE69+'26'!AE69+'24'!AE69+'28'!AE69+'27'!AE69+'29'!AE69+'31'!AE69+'30'!AE69</f>
        <v>0</v>
      </c>
      <c r="AF69" s="51">
        <f>+'1'!AF69+'3'!AF69+'2'!AF69+'6'!AF69+'5'!AF69+'4'!AF69+'8'!AF69+'7'!AF69+'10'!AF69+'9'!AF69+'11'!AF69+'12'!AF69+'13'!AF69+'15'!AF69+'14'!AF69+'16'!AF69+'17'!AF69+'19'!AF69+'20'!AF69+'22'!AF69+'18'!AF69+'21'!AF69+'25'!AF69+'23'!AF69+'26'!AF69+'24'!AF69+'28'!AF69+'27'!AF69+'29'!AF69+'31'!AF69+'30'!AF69</f>
        <v>0</v>
      </c>
      <c r="AG69" s="51">
        <f>+'1'!AG69+'3'!AG69+'2'!AG69+'6'!AG69+'5'!AG69+'4'!AG69+'8'!AG69+'7'!AG69+'10'!AG69+'9'!AG69+'11'!AG69+'12'!AG69+'13'!AG69+'15'!AG69+'14'!AG69+'16'!AG69+'17'!AG69+'19'!AG69+'20'!AG69+'22'!AG69+'18'!AG69+'21'!AG69+'25'!AG69+'23'!AG69+'26'!AG69+'24'!AG69+'28'!AG69+'27'!AG69+'29'!AG69+'31'!AG69+'30'!AG69</f>
        <v>0</v>
      </c>
      <c r="AH69" s="51">
        <f>+'1'!AH69+'3'!AH69+'2'!AH69+'6'!AH69+'5'!AH69+'4'!AH69+'8'!AH69+'7'!AH69+'10'!AH69+'9'!AH69+'11'!AH69+'12'!AH69+'13'!AH69+'15'!AH69+'14'!AH69+'16'!AH69+'17'!AH69+'19'!AH69+'20'!AH69+'22'!AH69+'18'!AH69+'21'!AH69+'25'!AH69+'23'!AH69+'26'!AH69+'24'!AH69+'28'!AH69+'27'!AH69+'29'!AH69+'31'!AH69+'30'!AH69</f>
        <v>0</v>
      </c>
      <c r="AI69" s="54">
        <f>+'1'!AI69+'3'!AI69+'2'!AI69+'6'!AI69+'5'!AI69+'4'!AI69+'8'!AI69+'7'!AI69+'10'!AI69+'9'!AI69+'11'!AI69+'12'!AI69+'13'!AI69+'15'!AI69+'14'!AI69+'16'!AI69+'17'!AI69+'19'!AI69+'20'!AI69+'22'!AI69+'18'!AI69+'21'!AI69+'25'!AI69+'23'!AI69+'26'!AI69+'24'!AI69+'28'!AI69+'27'!AI69+'29'!AI69+'31'!AI69+'30'!AI69</f>
        <v>0</v>
      </c>
      <c r="AJ69" s="57">
        <f>+'1'!AJ69+'3'!AJ69+'2'!AJ69+'6'!AJ69+'5'!AJ69+'4'!AJ69+'8'!AJ69+'7'!AJ69+'10'!AJ69+'9'!AJ69+'11'!AJ69+'12'!AJ69+'13'!AJ69+'15'!AJ69+'14'!AJ69+'16'!AJ69+'17'!AJ69+'19'!AJ69+'20'!AJ69+'22'!AJ69+'18'!AJ69+'21'!AJ69+'25'!AJ69+'23'!AJ69+'26'!AJ69+'24'!AJ69+'28'!AJ69+'27'!AJ69+'29'!AJ69+'31'!AJ69+'30'!AJ69</f>
        <v>0</v>
      </c>
      <c r="AK69" s="54">
        <f>+'1'!AK69+'3'!AK69+'2'!AK69+'6'!AK69+'5'!AK69+'4'!AK69+'8'!AK69+'7'!AK69+'10'!AK69+'9'!AK69+'11'!AK69+'12'!AK69+'13'!AK69+'15'!AK69+'14'!AK69+'16'!AK69+'17'!AK69+'19'!AK69+'20'!AK69+'22'!AK69+'18'!AK69+'21'!AK69+'25'!AK69+'23'!AK69+'26'!AK69+'24'!AK69+'28'!AK69+'27'!AK69+'29'!AK69+'31'!AK69+'30'!AK69</f>
        <v>0</v>
      </c>
      <c r="AL69" s="65">
        <f t="shared" si="8"/>
        <v>0</v>
      </c>
      <c r="AM69" s="22" t="str">
        <f t="shared" si="9"/>
        <v>OK</v>
      </c>
    </row>
    <row r="70" spans="1:39" customFormat="1">
      <c r="A70" s="68" t="s">
        <v>135</v>
      </c>
      <c r="B70" s="78">
        <v>20955</v>
      </c>
      <c r="C70" s="23" t="s">
        <v>131</v>
      </c>
      <c r="D70" s="24"/>
      <c r="E70" s="24"/>
      <c r="F70" s="24"/>
      <c r="G70" s="25"/>
      <c r="H70" s="26">
        <f>+'1'!H70+'3'!H70+'2'!H70+'6'!H70+'5'!H70+'4'!H70+'8'!H70+'7'!H70+'10'!H70+'9'!H70+'11'!H70+'12'!H70+'13'!H70+'15'!H70+'14'!H70+'16'!H70+'17'!H70+'19'!H70+'20'!H70+'22'!H70+'18'!H70+'21'!H70+'25'!H70+'23'!H70+'26'!H70+'24'!H70+'28'!H70+'27'!H70+'29'!H70+'31'!H70+'30'!H70</f>
        <v>14094</v>
      </c>
      <c r="I70" s="27">
        <f>+'1'!I70+'3'!I70+'2'!I70+'6'!I70+'5'!I70+'4'!I70+'8'!I70+'7'!I70+'10'!I70+'9'!I70+'11'!I70+'12'!I70+'13'!I70+'15'!I70+'14'!I70+'16'!I70+'17'!I70+'19'!I70+'20'!I70+'22'!I70+'18'!I70+'21'!I70+'25'!I70+'23'!I70+'26'!I70+'24'!I70+'28'!I70+'27'!I70+'29'!I70+'31'!I70+'30'!I70</f>
        <v>13</v>
      </c>
      <c r="J70" s="27"/>
      <c r="K70" s="16"/>
      <c r="L70" s="27">
        <f>+'1'!L70+'3'!L70+'2'!L70+'6'!L70+'5'!L70+'4'!L70+'8'!L70+'7'!L70+'10'!L70+'9'!L70+'11'!L70+'12'!L70+'13'!L70+'15'!L70+'14'!L70+'16'!L70+'17'!L70+'19'!L70+'20'!L70+'22'!L70+'18'!L70+'21'!L70+'25'!L70+'23'!L70+'26'!L70+'24'!L70+'28'!L70+'27'!L70+'29'!L70+'31'!L70+'30'!L70</f>
        <v>1</v>
      </c>
      <c r="M70" s="27">
        <f>+'1'!M70+'3'!M70+'2'!M70+'6'!M70+'5'!M70+'4'!M70+'8'!M70+'7'!M70+'10'!M70+'9'!M70+'11'!M70+'12'!M70+'13'!M70+'15'!M70+'14'!M70+'16'!M70+'17'!M70+'19'!M70+'20'!M70+'22'!M70+'18'!M70+'21'!M70+'25'!M70+'23'!M70+'26'!M70+'24'!M70+'28'!M70+'27'!M70+'29'!M70+'31'!M70+'30'!M70</f>
        <v>0</v>
      </c>
      <c r="N70" s="27">
        <f>+'1'!N70+'3'!N70+'2'!N70+'6'!N70+'5'!N70+'4'!N70+'8'!N70+'7'!N70+'10'!N70+'9'!N70+'11'!N70+'12'!N70+'13'!N70+'15'!N70+'14'!N70+'16'!N70+'17'!N70+'19'!N70+'20'!N70+'22'!N70+'18'!N70+'21'!N70+'25'!N70+'23'!N70+'26'!N70+'24'!N70+'28'!N70+'27'!N70+'29'!N70+'31'!N70+'30'!N70</f>
        <v>0</v>
      </c>
      <c r="O70" s="27">
        <f>+'1'!O70+'3'!O70+'2'!O70+'6'!O70+'5'!O70+'4'!O70+'8'!O70+'7'!O70+'10'!O70+'9'!O70+'11'!O70+'12'!O70+'13'!O70+'15'!O70+'14'!O70+'16'!O70+'17'!O70+'19'!O70+'20'!O70+'22'!O70+'18'!O70+'21'!O70+'25'!O70+'23'!O70+'26'!O70+'24'!O70+'28'!O70+'27'!O70+'29'!O70+'31'!O70+'30'!O70</f>
        <v>0</v>
      </c>
      <c r="P70" s="27">
        <f>+'1'!P70+'3'!P70+'2'!P70+'6'!P70+'5'!P70+'4'!P70+'8'!P70+'7'!P70+'10'!P70+'9'!P70+'11'!P70+'12'!P70+'13'!P70+'15'!P70+'14'!P70+'16'!P70+'17'!P70+'19'!P70+'20'!P70+'22'!P70+'18'!P70+'21'!P70+'25'!P70+'23'!P70+'26'!P70+'24'!P70+'28'!P70+'27'!P70+'29'!P70+'31'!P70+'30'!P70</f>
        <v>0</v>
      </c>
      <c r="Q70" s="27">
        <f>+'1'!Q70+'3'!Q70+'2'!Q70+'6'!Q70+'5'!Q70+'4'!Q70+'8'!Q70+'7'!Q70+'10'!Q70+'9'!Q70+'11'!Q70+'12'!Q70+'13'!Q70+'15'!Q70+'14'!Q70+'16'!Q70+'17'!Q70+'19'!Q70+'20'!Q70+'22'!Q70+'18'!Q70+'21'!Q70+'25'!Q70+'23'!Q70+'26'!Q70+'24'!Q70+'28'!Q70+'27'!Q70+'29'!Q70+'31'!Q70+'30'!Q70</f>
        <v>0</v>
      </c>
      <c r="R70" s="27">
        <f>+'1'!R70+'3'!R70+'2'!R70+'6'!R70+'5'!R70+'4'!R70+'8'!R70+'7'!R70+'10'!R70+'9'!R70+'11'!R70+'12'!R70+'13'!R70+'15'!R70+'14'!R70+'16'!R70+'17'!R70+'19'!R70+'20'!R70+'22'!R70+'18'!R70+'21'!R70+'25'!R70+'23'!R70+'26'!R70+'24'!R70+'28'!R70+'27'!R70+'29'!R70+'31'!R70+'30'!R70</f>
        <v>0</v>
      </c>
      <c r="S70" s="27">
        <f>+'1'!S70+'3'!S70+'2'!S70+'6'!S70+'5'!S70+'4'!S70+'8'!S70+'7'!S70+'10'!S70+'9'!S70+'11'!S70+'12'!S70+'13'!S70+'15'!S70+'14'!S70+'16'!S70+'17'!S70+'19'!S70+'20'!S70+'22'!S70+'18'!S70+'21'!S70+'25'!S70+'23'!S70+'26'!S70+'24'!S70+'28'!S70+'27'!S70+'29'!S70+'31'!S70+'30'!S70</f>
        <v>0</v>
      </c>
      <c r="T70" s="43">
        <f>+'1'!T70+'3'!T70+'2'!T70+'6'!T70+'5'!T70+'4'!T70+'8'!T70+'7'!T70+'10'!T70+'9'!T70+'11'!T70+'12'!T70+'13'!T70+'15'!T70+'14'!T70+'16'!T70+'17'!T70+'19'!T70+'20'!T70+'22'!T70+'18'!T70+'21'!T70+'25'!T70+'23'!T70+'26'!T70+'24'!T70+'28'!T70+'27'!T70+'29'!T70+'31'!T70+'30'!T70</f>
        <v>0</v>
      </c>
      <c r="U70" s="52">
        <f>+'1'!U70+'3'!U70+'2'!U70+'6'!U70+'5'!U70+'4'!U70+'8'!U70+'7'!U70+'10'!U70+'9'!U70+'11'!U70+'12'!U70+'13'!U70+'15'!U70+'14'!U70+'16'!U70+'17'!U70+'19'!U70+'20'!U70+'22'!U70+'18'!U70+'21'!U70+'25'!U70+'23'!U70+'26'!U70+'24'!U70+'28'!U70+'27'!U70+'29'!U70+'31'!U70+'30'!U70</f>
        <v>0</v>
      </c>
      <c r="V70" s="52">
        <f>+'1'!V70+'3'!V70+'2'!V70+'6'!V70+'5'!V70+'4'!V70+'8'!V70+'7'!V70+'10'!V70+'9'!V70+'11'!V70+'12'!V70+'13'!V70+'15'!V70+'14'!V70+'16'!V70+'17'!V70+'19'!V70+'20'!V70+'22'!V70+'18'!V70+'21'!V70+'25'!V70+'23'!V70+'26'!V70+'24'!V70+'28'!V70+'27'!V70+'29'!V70+'31'!V70+'30'!V70</f>
        <v>0</v>
      </c>
      <c r="W70" s="52">
        <f>+'1'!W70+'3'!W70+'2'!W70+'6'!W70+'5'!W70+'4'!W70+'8'!W70+'7'!W70+'10'!W70+'9'!W70+'11'!W70+'12'!W70+'13'!W70+'15'!W70+'14'!W70+'16'!W70+'17'!W70+'19'!W70+'20'!W70+'22'!W70+'18'!W70+'21'!W70+'25'!W70+'23'!W70+'26'!W70+'24'!W70+'28'!W70+'27'!W70+'29'!W70+'31'!W70+'30'!W70</f>
        <v>0</v>
      </c>
      <c r="X70" s="52">
        <f>+'1'!X70+'3'!X70+'2'!X70+'6'!X70+'5'!X70+'4'!X70+'8'!X70+'7'!X70+'10'!X70+'9'!X70+'11'!X70+'12'!X70+'13'!X70+'15'!X70+'14'!X70+'16'!X70+'17'!X70+'19'!X70+'20'!X70+'22'!X70+'18'!X70+'21'!X70+'25'!X70+'23'!X70+'26'!X70+'24'!X70+'28'!X70+'27'!X70+'29'!X70+'31'!X70+'30'!X70</f>
        <v>0</v>
      </c>
      <c r="Y70" s="52">
        <f>+'1'!Y70+'3'!Y70+'2'!Y70+'6'!Y70+'5'!Y70+'4'!Y70+'8'!Y70+'7'!Y70+'10'!Y70+'9'!Y70+'11'!Y70+'12'!Y70+'13'!Y70+'15'!Y70+'14'!Y70+'16'!Y70+'17'!Y70+'19'!Y70+'20'!Y70+'22'!Y70+'18'!Y70+'21'!Y70+'25'!Y70+'23'!Y70+'26'!Y70+'24'!Y70+'28'!Y70+'27'!Y70+'29'!Y70+'31'!Y70+'30'!Y70</f>
        <v>0</v>
      </c>
      <c r="Z70" s="52">
        <f>+'1'!Z70+'3'!Z70+'2'!Z70+'6'!Z70+'5'!Z70+'4'!Z70+'8'!Z70+'7'!Z70+'10'!Z70+'9'!Z70+'11'!Z70+'12'!Z70+'13'!Z70+'15'!Z70+'14'!Z70+'16'!Z70+'17'!Z70+'19'!Z70+'20'!Z70+'22'!Z70+'18'!Z70+'21'!Z70+'25'!Z70+'23'!Z70+'26'!Z70+'24'!Z70+'28'!Z70+'27'!Z70+'29'!Z70+'31'!Z70+'30'!Z70</f>
        <v>0</v>
      </c>
      <c r="AA70" s="52">
        <f>+'1'!AA70+'3'!AA70+'2'!AA70+'6'!AA70+'5'!AA70+'4'!AA70+'8'!AA70+'7'!AA70+'10'!AA70+'9'!AA70+'11'!AA70+'12'!AA70+'13'!AA70+'15'!AA70+'14'!AA70+'16'!AA70+'17'!AA70+'19'!AA70+'20'!AA70+'22'!AA70+'18'!AA70+'21'!AA70+'25'!AA70+'23'!AA70+'26'!AA70+'24'!AA70+'28'!AA70+'27'!AA70+'29'!AA70+'31'!AA70+'30'!AA70</f>
        <v>0</v>
      </c>
      <c r="AB70" s="52">
        <f>+'1'!AB70+'3'!AB70+'2'!AB70+'6'!AB70+'5'!AB70+'4'!AB70+'8'!AB70+'7'!AB70+'10'!AB70+'9'!AB70+'11'!AB70+'12'!AB70+'13'!AB70+'15'!AB70+'14'!AB70+'16'!AB70+'17'!AB70+'19'!AB70+'20'!AB70+'22'!AB70+'18'!AB70+'21'!AB70+'25'!AB70+'23'!AB70+'26'!AB70+'24'!AB70+'28'!AB70+'27'!AB70+'29'!AB70+'31'!AB70+'30'!AB70</f>
        <v>0</v>
      </c>
      <c r="AC70" s="52">
        <f>+'1'!AC70+'3'!AC70+'2'!AC70+'6'!AC70+'5'!AC70+'4'!AC70+'8'!AC70+'7'!AC70+'10'!AC70+'9'!AC70+'11'!AC70+'12'!AC70+'13'!AC70+'15'!AC70+'14'!AC70+'16'!AC70+'17'!AC70+'19'!AC70+'20'!AC70+'22'!AC70+'18'!AC70+'21'!AC70+'25'!AC70+'23'!AC70+'26'!AC70+'24'!AC70+'28'!AC70+'27'!AC70+'29'!AC70+'31'!AC70+'30'!AC70</f>
        <v>12</v>
      </c>
      <c r="AD70" s="52">
        <f>+'1'!AD70+'3'!AD70+'2'!AD70+'6'!AD70+'5'!AD70+'4'!AD70+'8'!AD70+'7'!AD70+'10'!AD70+'9'!AD70+'11'!AD70+'12'!AD70+'13'!AD70+'15'!AD70+'14'!AD70+'16'!AD70+'17'!AD70+'19'!AD70+'20'!AD70+'22'!AD70+'18'!AD70+'21'!AD70+'25'!AD70+'23'!AD70+'26'!AD70+'24'!AD70+'28'!AD70+'27'!AD70+'29'!AD70+'31'!AD70+'30'!AD70</f>
        <v>0</v>
      </c>
      <c r="AE70" s="52">
        <f>+'1'!AE70+'3'!AE70+'2'!AE70+'6'!AE70+'5'!AE70+'4'!AE70+'8'!AE70+'7'!AE70+'10'!AE70+'9'!AE70+'11'!AE70+'12'!AE70+'13'!AE70+'15'!AE70+'14'!AE70+'16'!AE70+'17'!AE70+'19'!AE70+'20'!AE70+'22'!AE70+'18'!AE70+'21'!AE70+'25'!AE70+'23'!AE70+'26'!AE70+'24'!AE70+'28'!AE70+'27'!AE70+'29'!AE70+'31'!AE70+'30'!AE70</f>
        <v>0</v>
      </c>
      <c r="AF70" s="52">
        <f>+'1'!AF70+'3'!AF70+'2'!AF70+'6'!AF70+'5'!AF70+'4'!AF70+'8'!AF70+'7'!AF70+'10'!AF70+'9'!AF70+'11'!AF70+'12'!AF70+'13'!AF70+'15'!AF70+'14'!AF70+'16'!AF70+'17'!AF70+'19'!AF70+'20'!AF70+'22'!AF70+'18'!AF70+'21'!AF70+'25'!AF70+'23'!AF70+'26'!AF70+'24'!AF70+'28'!AF70+'27'!AF70+'29'!AF70+'31'!AF70+'30'!AF70</f>
        <v>0</v>
      </c>
      <c r="AG70" s="52">
        <f>+'1'!AG70+'3'!AG70+'2'!AG70+'6'!AG70+'5'!AG70+'4'!AG70+'8'!AG70+'7'!AG70+'10'!AG70+'9'!AG70+'11'!AG70+'12'!AG70+'13'!AG70+'15'!AG70+'14'!AG70+'16'!AG70+'17'!AG70+'19'!AG70+'20'!AG70+'22'!AG70+'18'!AG70+'21'!AG70+'25'!AG70+'23'!AG70+'26'!AG70+'24'!AG70+'28'!AG70+'27'!AG70+'29'!AG70+'31'!AG70+'30'!AG70</f>
        <v>0</v>
      </c>
      <c r="AH70" s="52">
        <f>+'1'!AH70+'3'!AH70+'2'!AH70+'6'!AH70+'5'!AH70+'4'!AH70+'8'!AH70+'7'!AH70+'10'!AH70+'9'!AH70+'11'!AH70+'12'!AH70+'13'!AH70+'15'!AH70+'14'!AH70+'16'!AH70+'17'!AH70+'19'!AH70+'20'!AH70+'22'!AH70+'18'!AH70+'21'!AH70+'25'!AH70+'23'!AH70+'26'!AH70+'24'!AH70+'28'!AH70+'27'!AH70+'29'!AH70+'31'!AH70+'30'!AH70</f>
        <v>0</v>
      </c>
      <c r="AI70" s="55">
        <f>+'1'!AI70+'3'!AI70+'2'!AI70+'6'!AI70+'5'!AI70+'4'!AI70+'8'!AI70+'7'!AI70+'10'!AI70+'9'!AI70+'11'!AI70+'12'!AI70+'13'!AI70+'15'!AI70+'14'!AI70+'16'!AI70+'17'!AI70+'19'!AI70+'20'!AI70+'22'!AI70+'18'!AI70+'21'!AI70+'25'!AI70+'23'!AI70+'26'!AI70+'24'!AI70+'28'!AI70+'27'!AI70+'29'!AI70+'31'!AI70+'30'!AI70</f>
        <v>0</v>
      </c>
      <c r="AJ70" s="58">
        <f>+'1'!AJ70+'3'!AJ70+'2'!AJ70+'6'!AJ70+'5'!AJ70+'4'!AJ70+'8'!AJ70+'7'!AJ70+'10'!AJ70+'9'!AJ70+'11'!AJ70+'12'!AJ70+'13'!AJ70+'15'!AJ70+'14'!AJ70+'16'!AJ70+'17'!AJ70+'19'!AJ70+'20'!AJ70+'22'!AJ70+'18'!AJ70+'21'!AJ70+'25'!AJ70+'23'!AJ70+'26'!AJ70+'24'!AJ70+'28'!AJ70+'27'!AJ70+'29'!AJ70+'31'!AJ70+'30'!AJ70</f>
        <v>0</v>
      </c>
      <c r="AK70" s="55">
        <f>+'1'!AK70+'3'!AK70+'2'!AK70+'6'!AK70+'5'!AK70+'4'!AK70+'8'!AK70+'7'!AK70+'10'!AK70+'9'!AK70+'11'!AK70+'12'!AK70+'13'!AK70+'15'!AK70+'14'!AK70+'16'!AK70+'17'!AK70+'19'!AK70+'20'!AK70+'22'!AK70+'18'!AK70+'21'!AK70+'25'!AK70+'23'!AK70+'26'!AK70+'24'!AK70+'28'!AK70+'27'!AK70+'29'!AK70+'31'!AK70+'30'!AK70</f>
        <v>0</v>
      </c>
      <c r="AL70" s="66">
        <f t="shared" si="8"/>
        <v>13</v>
      </c>
      <c r="AM70" s="28" t="str">
        <f t="shared" si="9"/>
        <v>OK</v>
      </c>
    </row>
    <row r="71" spans="1:39" customFormat="1">
      <c r="A71" s="80" t="s">
        <v>136</v>
      </c>
      <c r="B71" s="77">
        <v>21298</v>
      </c>
      <c r="C71" s="17" t="s">
        <v>87</v>
      </c>
      <c r="D71" s="69"/>
      <c r="E71" s="18"/>
      <c r="F71" s="18"/>
      <c r="G71" s="19"/>
      <c r="H71" s="20">
        <f>+'1'!H71+'3'!H71+'2'!H71+'6'!H71+'5'!H71+'4'!H71+'8'!H71+'7'!H71+'10'!H71+'9'!H71+'11'!H71+'12'!H71+'13'!H71+'15'!H71+'14'!H71+'16'!H71+'17'!H71+'19'!H71+'20'!H71+'22'!H71+'18'!H71+'21'!H71+'25'!H71+'23'!H71+'26'!H71+'24'!H71+'28'!H71+'27'!H71+'29'!H71+'31'!H71+'30'!H71</f>
        <v>5163</v>
      </c>
      <c r="I71" s="21">
        <f>+'1'!I71+'3'!I71+'2'!I71+'6'!I71+'5'!I71+'4'!I71+'8'!I71+'7'!I71+'10'!I71+'9'!I71+'11'!I71+'12'!I71+'13'!I71+'15'!I71+'14'!I71+'16'!I71+'17'!I71+'19'!I71+'20'!I71+'22'!I71+'18'!I71+'21'!I71+'25'!I71+'23'!I71+'26'!I71+'24'!I71+'28'!I71+'27'!I71+'29'!I71+'31'!I71+'30'!I71</f>
        <v>17</v>
      </c>
      <c r="J71" s="21"/>
      <c r="K71" s="16"/>
      <c r="L71" s="21">
        <f>+'1'!L71+'3'!L71+'2'!L71+'6'!L71+'5'!L71+'4'!L71+'8'!L71+'7'!L71+'10'!L71+'9'!L71+'11'!L71+'12'!L71+'13'!L71+'15'!L71+'14'!L71+'16'!L71+'17'!L71+'19'!L71+'20'!L71+'22'!L71+'18'!L71+'21'!L71+'25'!L71+'23'!L71+'26'!L71+'24'!L71+'28'!L71+'27'!L71+'29'!L71+'31'!L71+'30'!L71</f>
        <v>0</v>
      </c>
      <c r="M71" s="21">
        <f>+'1'!M71+'3'!M71+'2'!M71+'6'!M71+'5'!M71+'4'!M71+'8'!M71+'7'!M71+'10'!M71+'9'!M71+'11'!M71+'12'!M71+'13'!M71+'15'!M71+'14'!M71+'16'!M71+'17'!M71+'19'!M71+'20'!M71+'22'!M71+'18'!M71+'21'!M71+'25'!M71+'23'!M71+'26'!M71+'24'!M71+'28'!M71+'27'!M71+'29'!M71+'31'!M71+'30'!M71</f>
        <v>0</v>
      </c>
      <c r="N71" s="21">
        <f>+'1'!N71+'3'!N71+'2'!N71+'6'!N71+'5'!N71+'4'!N71+'8'!N71+'7'!N71+'10'!N71+'9'!N71+'11'!N71+'12'!N71+'13'!N71+'15'!N71+'14'!N71+'16'!N71+'17'!N71+'19'!N71+'20'!N71+'22'!N71+'18'!N71+'21'!N71+'25'!N71+'23'!N71+'26'!N71+'24'!N71+'28'!N71+'27'!N71+'29'!N71+'31'!N71+'30'!N71</f>
        <v>0</v>
      </c>
      <c r="O71" s="21">
        <f>+'1'!O71+'3'!O71+'2'!O71+'6'!O71+'5'!O71+'4'!O71+'8'!O71+'7'!O71+'10'!O71+'9'!O71+'11'!O71+'12'!O71+'13'!O71+'15'!O71+'14'!O71+'16'!O71+'17'!O71+'19'!O71+'20'!O71+'22'!O71+'18'!O71+'21'!O71+'25'!O71+'23'!O71+'26'!O71+'24'!O71+'28'!O71+'27'!O71+'29'!O71+'31'!O71+'30'!O71</f>
        <v>0</v>
      </c>
      <c r="P71" s="21">
        <f>+'1'!P71+'3'!P71+'2'!P71+'6'!P71+'5'!P71+'4'!P71+'8'!P71+'7'!P71+'10'!P71+'9'!P71+'11'!P71+'12'!P71+'13'!P71+'15'!P71+'14'!P71+'16'!P71+'17'!P71+'19'!P71+'20'!P71+'22'!P71+'18'!P71+'21'!P71+'25'!P71+'23'!P71+'26'!P71+'24'!P71+'28'!P71+'27'!P71+'29'!P71+'31'!P71+'30'!P71</f>
        <v>0</v>
      </c>
      <c r="Q71" s="21">
        <f>+'1'!Q71+'3'!Q71+'2'!Q71+'6'!Q71+'5'!Q71+'4'!Q71+'8'!Q71+'7'!Q71+'10'!Q71+'9'!Q71+'11'!Q71+'12'!Q71+'13'!Q71+'15'!Q71+'14'!Q71+'16'!Q71+'17'!Q71+'19'!Q71+'20'!Q71+'22'!Q71+'18'!Q71+'21'!Q71+'25'!Q71+'23'!Q71+'26'!Q71+'24'!Q71+'28'!Q71+'27'!Q71+'29'!Q71+'31'!Q71+'30'!Q71</f>
        <v>0</v>
      </c>
      <c r="R71" s="21">
        <f>+'1'!R71+'3'!R71+'2'!R71+'6'!R71+'5'!R71+'4'!R71+'8'!R71+'7'!R71+'10'!R71+'9'!R71+'11'!R71+'12'!R71+'13'!R71+'15'!R71+'14'!R71+'16'!R71+'17'!R71+'19'!R71+'20'!R71+'22'!R71+'18'!R71+'21'!R71+'25'!R71+'23'!R71+'26'!R71+'24'!R71+'28'!R71+'27'!R71+'29'!R71+'31'!R71+'30'!R71</f>
        <v>0</v>
      </c>
      <c r="S71" s="21">
        <f>+'1'!S71+'3'!S71+'2'!S71+'6'!S71+'5'!S71+'4'!S71+'8'!S71+'7'!S71+'10'!S71+'9'!S71+'11'!S71+'12'!S71+'13'!S71+'15'!S71+'14'!S71+'16'!S71+'17'!S71+'19'!S71+'20'!S71+'22'!S71+'18'!S71+'21'!S71+'25'!S71+'23'!S71+'26'!S71+'24'!S71+'28'!S71+'27'!S71+'29'!S71+'31'!S71+'30'!S71</f>
        <v>0</v>
      </c>
      <c r="T71" s="42">
        <f>+'1'!T71+'3'!T71+'2'!T71+'6'!T71+'5'!T71+'4'!T71+'8'!T71+'7'!T71+'10'!T71+'9'!T71+'11'!T71+'12'!T71+'13'!T71+'15'!T71+'14'!T71+'16'!T71+'17'!T71+'19'!T71+'20'!T71+'22'!T71+'18'!T71+'21'!T71+'25'!T71+'23'!T71+'26'!T71+'24'!T71+'28'!T71+'27'!T71+'29'!T71+'31'!T71+'30'!T71</f>
        <v>0</v>
      </c>
      <c r="U71" s="51">
        <f>+'1'!U71+'3'!U71+'2'!U71+'6'!U71+'5'!U71+'4'!U71+'8'!U71+'7'!U71+'10'!U71+'9'!U71+'11'!U71+'12'!U71+'13'!U71+'15'!U71+'14'!U71+'16'!U71+'17'!U71+'19'!U71+'20'!U71+'22'!U71+'18'!U71+'21'!U71+'25'!U71+'23'!U71+'26'!U71+'24'!U71+'28'!U71+'27'!U71+'29'!U71+'31'!U71+'30'!U71</f>
        <v>0</v>
      </c>
      <c r="V71" s="51">
        <f>+'1'!V71+'3'!V71+'2'!V71+'6'!V71+'5'!V71+'4'!V71+'8'!V71+'7'!V71+'10'!V71+'9'!V71+'11'!V71+'12'!V71+'13'!V71+'15'!V71+'14'!V71+'16'!V71+'17'!V71+'19'!V71+'20'!V71+'22'!V71+'18'!V71+'21'!V71+'25'!V71+'23'!V71+'26'!V71+'24'!V71+'28'!V71+'27'!V71+'29'!V71+'31'!V71+'30'!V71</f>
        <v>0</v>
      </c>
      <c r="W71" s="51">
        <f>+'1'!W71+'3'!W71+'2'!W71+'6'!W71+'5'!W71+'4'!W71+'8'!W71+'7'!W71+'10'!W71+'9'!W71+'11'!W71+'12'!W71+'13'!W71+'15'!W71+'14'!W71+'16'!W71+'17'!W71+'19'!W71+'20'!W71+'22'!W71+'18'!W71+'21'!W71+'25'!W71+'23'!W71+'26'!W71+'24'!W71+'28'!W71+'27'!W71+'29'!W71+'31'!W71+'30'!W71</f>
        <v>0</v>
      </c>
      <c r="X71" s="51">
        <f>+'1'!X71+'3'!X71+'2'!X71+'6'!X71+'5'!X71+'4'!X71+'8'!X71+'7'!X71+'10'!X71+'9'!X71+'11'!X71+'12'!X71+'13'!X71+'15'!X71+'14'!X71+'16'!X71+'17'!X71+'19'!X71+'20'!X71+'22'!X71+'18'!X71+'21'!X71+'25'!X71+'23'!X71+'26'!X71+'24'!X71+'28'!X71+'27'!X71+'29'!X71+'31'!X71+'30'!X71</f>
        <v>0</v>
      </c>
      <c r="Y71" s="51">
        <f>+'1'!Y71+'3'!Y71+'2'!Y71+'6'!Y71+'5'!Y71+'4'!Y71+'8'!Y71+'7'!Y71+'10'!Y71+'9'!Y71+'11'!Y71+'12'!Y71+'13'!Y71+'15'!Y71+'14'!Y71+'16'!Y71+'17'!Y71+'19'!Y71+'20'!Y71+'22'!Y71+'18'!Y71+'21'!Y71+'25'!Y71+'23'!Y71+'26'!Y71+'24'!Y71+'28'!Y71+'27'!Y71+'29'!Y71+'31'!Y71+'30'!Y71</f>
        <v>0</v>
      </c>
      <c r="Z71" s="51">
        <f>+'1'!Z71+'3'!Z71+'2'!Z71+'6'!Z71+'5'!Z71+'4'!Z71+'8'!Z71+'7'!Z71+'10'!Z71+'9'!Z71+'11'!Z71+'12'!Z71+'13'!Z71+'15'!Z71+'14'!Z71+'16'!Z71+'17'!Z71+'19'!Z71+'20'!Z71+'22'!Z71+'18'!Z71+'21'!Z71+'25'!Z71+'23'!Z71+'26'!Z71+'24'!Z71+'28'!Z71+'27'!Z71+'29'!Z71+'31'!Z71+'30'!Z71</f>
        <v>0</v>
      </c>
      <c r="AA71" s="51">
        <f>+'1'!AA71+'3'!AA71+'2'!AA71+'6'!AA71+'5'!AA71+'4'!AA71+'8'!AA71+'7'!AA71+'10'!AA71+'9'!AA71+'11'!AA71+'12'!AA71+'13'!AA71+'15'!AA71+'14'!AA71+'16'!AA71+'17'!AA71+'19'!AA71+'20'!AA71+'22'!AA71+'18'!AA71+'21'!AA71+'25'!AA71+'23'!AA71+'26'!AA71+'24'!AA71+'28'!AA71+'27'!AA71+'29'!AA71+'31'!AA71+'30'!AA71</f>
        <v>0</v>
      </c>
      <c r="AB71" s="51">
        <f>+'1'!AB71+'3'!AB71+'2'!AB71+'6'!AB71+'5'!AB71+'4'!AB71+'8'!AB71+'7'!AB71+'10'!AB71+'9'!AB71+'11'!AB71+'12'!AB71+'13'!AB71+'15'!AB71+'14'!AB71+'16'!AB71+'17'!AB71+'19'!AB71+'20'!AB71+'22'!AB71+'18'!AB71+'21'!AB71+'25'!AB71+'23'!AB71+'26'!AB71+'24'!AB71+'28'!AB71+'27'!AB71+'29'!AB71+'31'!AB71+'30'!AB71</f>
        <v>0</v>
      </c>
      <c r="AC71" s="51">
        <f>+'1'!AC71+'3'!AC71+'2'!AC71+'6'!AC71+'5'!AC71+'4'!AC71+'8'!AC71+'7'!AC71+'10'!AC71+'9'!AC71+'11'!AC71+'12'!AC71+'13'!AC71+'15'!AC71+'14'!AC71+'16'!AC71+'17'!AC71+'19'!AC71+'20'!AC71+'22'!AC71+'18'!AC71+'21'!AC71+'25'!AC71+'23'!AC71+'26'!AC71+'24'!AC71+'28'!AC71+'27'!AC71+'29'!AC71+'31'!AC71+'30'!AC71</f>
        <v>0</v>
      </c>
      <c r="AD71" s="51">
        <f>+'1'!AD71+'3'!AD71+'2'!AD71+'6'!AD71+'5'!AD71+'4'!AD71+'8'!AD71+'7'!AD71+'10'!AD71+'9'!AD71+'11'!AD71+'12'!AD71+'13'!AD71+'15'!AD71+'14'!AD71+'16'!AD71+'17'!AD71+'19'!AD71+'20'!AD71+'22'!AD71+'18'!AD71+'21'!AD71+'25'!AD71+'23'!AD71+'26'!AD71+'24'!AD71+'28'!AD71+'27'!AD71+'29'!AD71+'31'!AD71+'30'!AD71</f>
        <v>0</v>
      </c>
      <c r="AE71" s="51">
        <f>+'1'!AE71+'3'!AE71+'2'!AE71+'6'!AE71+'5'!AE71+'4'!AE71+'8'!AE71+'7'!AE71+'10'!AE71+'9'!AE71+'11'!AE71+'12'!AE71+'13'!AE71+'15'!AE71+'14'!AE71+'16'!AE71+'17'!AE71+'19'!AE71+'20'!AE71+'22'!AE71+'18'!AE71+'21'!AE71+'25'!AE71+'23'!AE71+'26'!AE71+'24'!AE71+'28'!AE71+'27'!AE71+'29'!AE71+'31'!AE71+'30'!AE71</f>
        <v>0</v>
      </c>
      <c r="AF71" s="51">
        <f>+'1'!AF71+'3'!AF71+'2'!AF71+'6'!AF71+'5'!AF71+'4'!AF71+'8'!AF71+'7'!AF71+'10'!AF71+'9'!AF71+'11'!AF71+'12'!AF71+'13'!AF71+'15'!AF71+'14'!AF71+'16'!AF71+'17'!AF71+'19'!AF71+'20'!AF71+'22'!AF71+'18'!AF71+'21'!AF71+'25'!AF71+'23'!AF71+'26'!AF71+'24'!AF71+'28'!AF71+'27'!AF71+'29'!AF71+'31'!AF71+'30'!AF71</f>
        <v>0</v>
      </c>
      <c r="AG71" s="51">
        <f>+'1'!AG71+'3'!AG71+'2'!AG71+'6'!AG71+'5'!AG71+'4'!AG71+'8'!AG71+'7'!AG71+'10'!AG71+'9'!AG71+'11'!AG71+'12'!AG71+'13'!AG71+'15'!AG71+'14'!AG71+'16'!AG71+'17'!AG71+'19'!AG71+'20'!AG71+'22'!AG71+'18'!AG71+'21'!AG71+'25'!AG71+'23'!AG71+'26'!AG71+'24'!AG71+'28'!AG71+'27'!AG71+'29'!AG71+'31'!AG71+'30'!AG71</f>
        <v>6</v>
      </c>
      <c r="AH71" s="51">
        <f>+'1'!AH71+'3'!AH71+'2'!AH71+'6'!AH71+'5'!AH71+'4'!AH71+'8'!AH71+'7'!AH71+'10'!AH71+'9'!AH71+'11'!AH71+'12'!AH71+'13'!AH71+'15'!AH71+'14'!AH71+'16'!AH71+'17'!AH71+'19'!AH71+'20'!AH71+'22'!AH71+'18'!AH71+'21'!AH71+'25'!AH71+'23'!AH71+'26'!AH71+'24'!AH71+'28'!AH71+'27'!AH71+'29'!AH71+'31'!AH71+'30'!AH71</f>
        <v>0</v>
      </c>
      <c r="AI71" s="54">
        <f>+'1'!AI71+'3'!AI71+'2'!AI71+'6'!AI71+'5'!AI71+'4'!AI71+'8'!AI71+'7'!AI71+'10'!AI71+'9'!AI71+'11'!AI71+'12'!AI71+'13'!AI71+'15'!AI71+'14'!AI71+'16'!AI71+'17'!AI71+'19'!AI71+'20'!AI71+'22'!AI71+'18'!AI71+'21'!AI71+'25'!AI71+'23'!AI71+'26'!AI71+'24'!AI71+'28'!AI71+'27'!AI71+'29'!AI71+'31'!AI71+'30'!AI71</f>
        <v>11</v>
      </c>
      <c r="AJ71" s="57">
        <f>+'1'!AJ71+'3'!AJ71+'2'!AJ71+'6'!AJ71+'5'!AJ71+'4'!AJ71+'8'!AJ71+'7'!AJ71+'10'!AJ71+'9'!AJ71+'11'!AJ71+'12'!AJ71+'13'!AJ71+'15'!AJ71+'14'!AJ71+'16'!AJ71+'17'!AJ71+'19'!AJ71+'20'!AJ71+'22'!AJ71+'18'!AJ71+'21'!AJ71+'25'!AJ71+'23'!AJ71+'26'!AJ71+'24'!AJ71+'28'!AJ71+'27'!AJ71+'29'!AJ71+'31'!AJ71+'30'!AJ71</f>
        <v>0</v>
      </c>
      <c r="AK71" s="54">
        <f>+'1'!AK71+'3'!AK71+'2'!AK71+'6'!AK71+'5'!AK71+'4'!AK71+'8'!AK71+'7'!AK71+'10'!AK71+'9'!AK71+'11'!AK71+'12'!AK71+'13'!AK71+'15'!AK71+'14'!AK71+'16'!AK71+'17'!AK71+'19'!AK71+'20'!AK71+'22'!AK71+'18'!AK71+'21'!AK71+'25'!AK71+'23'!AK71+'26'!AK71+'24'!AK71+'28'!AK71+'27'!AK71+'29'!AK71+'31'!AK71+'30'!AK71</f>
        <v>0</v>
      </c>
      <c r="AL71" s="65">
        <f t="shared" si="8"/>
        <v>17</v>
      </c>
      <c r="AM71" s="22" t="str">
        <f t="shared" si="9"/>
        <v>OK</v>
      </c>
    </row>
    <row r="72" spans="1:39" customFormat="1" hidden="1">
      <c r="A72" s="68" t="s">
        <v>141</v>
      </c>
      <c r="B72" s="78">
        <v>21809</v>
      </c>
      <c r="C72" s="23" t="s">
        <v>62</v>
      </c>
      <c r="D72" s="24"/>
      <c r="E72" s="24"/>
      <c r="F72" s="24"/>
      <c r="G72" s="25"/>
      <c r="H72" s="26">
        <f>+'1'!H72+'3'!H72+'2'!H72+'6'!H72+'5'!H72+'4'!H72+'8'!H72+'7'!H72+'10'!H72+'9'!H72+'11'!H72+'12'!H72+'13'!H72+'15'!H72+'14'!H72+'16'!H72+'17'!H72+'19'!H72+'20'!H72+'22'!H72+'18'!H72+'21'!H72+'25'!H72+'23'!H72+'26'!H72+'24'!H72+'28'!H72+'27'!H72+'29'!H72+'31'!H72+'30'!H72</f>
        <v>0</v>
      </c>
      <c r="I72" s="27">
        <f>+'1'!I72+'3'!I72+'2'!I72+'6'!I72+'5'!I72+'4'!I72+'8'!I72+'7'!I72+'10'!I72+'9'!I72+'11'!I72+'12'!I72+'13'!I72+'15'!I72+'14'!I72+'16'!I72+'17'!I72+'19'!I72+'20'!I72+'22'!I72+'18'!I72+'21'!I72+'25'!I72+'23'!I72+'26'!I72+'24'!I72+'28'!I72+'27'!I72+'29'!I72+'31'!I72+'30'!I72</f>
        <v>0</v>
      </c>
      <c r="J72" s="27"/>
      <c r="K72" s="16"/>
      <c r="L72" s="27">
        <f>+'1'!L72+'3'!L72+'2'!L72+'6'!L72+'5'!L72+'4'!L72+'8'!L72+'7'!L72+'10'!L72+'9'!L72+'11'!L72+'12'!L72+'13'!L72+'15'!L72+'14'!L72+'16'!L72+'17'!L72+'19'!L72+'20'!L72+'22'!L72+'18'!L72+'21'!L72+'25'!L72+'23'!L72+'26'!L72+'24'!L72+'28'!L72+'27'!L72+'29'!L72+'31'!L72+'30'!L72</f>
        <v>0</v>
      </c>
      <c r="M72" s="27">
        <f>+'1'!M72+'3'!M72+'2'!M72+'6'!M72+'5'!M72+'4'!M72+'8'!M72+'7'!M72+'10'!M72+'9'!M72+'11'!M72+'12'!M72+'13'!M72+'15'!M72+'14'!M72+'16'!M72+'17'!M72+'19'!M72+'20'!M72+'22'!M72+'18'!M72+'21'!M72+'25'!M72+'23'!M72+'26'!M72+'24'!M72+'28'!M72+'27'!M72+'29'!M72+'31'!M72+'30'!M72</f>
        <v>0</v>
      </c>
      <c r="N72" s="27">
        <f>+'1'!N72+'3'!N72+'2'!N72+'6'!N72+'5'!N72+'4'!N72+'8'!N72+'7'!N72+'10'!N72+'9'!N72+'11'!N72+'12'!N72+'13'!N72+'15'!N72+'14'!N72+'16'!N72+'17'!N72+'19'!N72+'20'!N72+'22'!N72+'18'!N72+'21'!N72+'25'!N72+'23'!N72+'26'!N72+'24'!N72+'28'!N72+'27'!N72+'29'!N72+'31'!N72+'30'!N72</f>
        <v>0</v>
      </c>
      <c r="O72" s="27">
        <f>+'1'!O72+'3'!O72+'2'!O72+'6'!O72+'5'!O72+'4'!O72+'8'!O72+'7'!O72+'10'!O72+'9'!O72+'11'!O72+'12'!O72+'13'!O72+'15'!O72+'14'!O72+'16'!O72+'17'!O72+'19'!O72+'20'!O72+'22'!O72+'18'!O72+'21'!O72+'25'!O72+'23'!O72+'26'!O72+'24'!O72+'28'!O72+'27'!O72+'29'!O72+'31'!O72+'30'!O72</f>
        <v>0</v>
      </c>
      <c r="P72" s="27">
        <f>+'1'!P72+'3'!P72+'2'!P72+'6'!P72+'5'!P72+'4'!P72+'8'!P72+'7'!P72+'10'!P72+'9'!P72+'11'!P72+'12'!P72+'13'!P72+'15'!P72+'14'!P72+'16'!P72+'17'!P72+'19'!P72+'20'!P72+'22'!P72+'18'!P72+'21'!P72+'25'!P72+'23'!P72+'26'!P72+'24'!P72+'28'!P72+'27'!P72+'29'!P72+'31'!P72+'30'!P72</f>
        <v>0</v>
      </c>
      <c r="Q72" s="27">
        <f>+'1'!Q72+'3'!Q72+'2'!Q72+'6'!Q72+'5'!Q72+'4'!Q72+'8'!Q72+'7'!Q72+'10'!Q72+'9'!Q72+'11'!Q72+'12'!Q72+'13'!Q72+'15'!Q72+'14'!Q72+'16'!Q72+'17'!Q72+'19'!Q72+'20'!Q72+'22'!Q72+'18'!Q72+'21'!Q72+'25'!Q72+'23'!Q72+'26'!Q72+'24'!Q72+'28'!Q72+'27'!Q72+'29'!Q72+'31'!Q72+'30'!Q72</f>
        <v>0</v>
      </c>
      <c r="R72" s="27">
        <f>+'1'!R72+'3'!R72+'2'!R72+'6'!R72+'5'!R72+'4'!R72+'8'!R72+'7'!R72+'10'!R72+'9'!R72+'11'!R72+'12'!R72+'13'!R72+'15'!R72+'14'!R72+'16'!R72+'17'!R72+'19'!R72+'20'!R72+'22'!R72+'18'!R72+'21'!R72+'25'!R72+'23'!R72+'26'!R72+'24'!R72+'28'!R72+'27'!R72+'29'!R72+'31'!R72+'30'!R72</f>
        <v>0</v>
      </c>
      <c r="S72" s="27">
        <f>+'1'!S72+'3'!S72+'2'!S72+'6'!S72+'5'!S72+'4'!S72+'8'!S72+'7'!S72+'10'!S72+'9'!S72+'11'!S72+'12'!S72+'13'!S72+'15'!S72+'14'!S72+'16'!S72+'17'!S72+'19'!S72+'20'!S72+'22'!S72+'18'!S72+'21'!S72+'25'!S72+'23'!S72+'26'!S72+'24'!S72+'28'!S72+'27'!S72+'29'!S72+'31'!S72+'30'!S72</f>
        <v>0</v>
      </c>
      <c r="T72" s="43">
        <f>+'1'!T72+'3'!T72+'2'!T72+'6'!T72+'5'!T72+'4'!T72+'8'!T72+'7'!T72+'10'!T72+'9'!T72+'11'!T72+'12'!T72+'13'!T72+'15'!T72+'14'!T72+'16'!T72+'17'!T72+'19'!T72+'20'!T72+'22'!T72+'18'!T72+'21'!T72+'25'!T72+'23'!T72+'26'!T72+'24'!T72+'28'!T72+'27'!T72+'29'!T72+'31'!T72+'30'!T72</f>
        <v>0</v>
      </c>
      <c r="U72" s="52">
        <f>+'1'!U72+'3'!U72+'2'!U72+'6'!U72+'5'!U72+'4'!U72+'8'!U72+'7'!U72+'10'!U72+'9'!U72+'11'!U72+'12'!U72+'13'!U72+'15'!U72+'14'!U72+'16'!U72+'17'!U72+'19'!U72+'20'!U72+'22'!U72+'18'!U72+'21'!U72+'25'!U72+'23'!U72+'26'!U72+'24'!U72+'28'!U72+'27'!U72+'29'!U72+'31'!U72+'30'!U72</f>
        <v>0</v>
      </c>
      <c r="V72" s="52">
        <f>+'1'!V72+'3'!V72+'2'!V72+'6'!V72+'5'!V72+'4'!V72+'8'!V72+'7'!V72+'10'!V72+'9'!V72+'11'!V72+'12'!V72+'13'!V72+'15'!V72+'14'!V72+'16'!V72+'17'!V72+'19'!V72+'20'!V72+'22'!V72+'18'!V72+'21'!V72+'25'!V72+'23'!V72+'26'!V72+'24'!V72+'28'!V72+'27'!V72+'29'!V72+'31'!V72+'30'!V72</f>
        <v>0</v>
      </c>
      <c r="W72" s="52">
        <f>+'1'!W72+'3'!W72+'2'!W72+'6'!W72+'5'!W72+'4'!W72+'8'!W72+'7'!W72+'10'!W72+'9'!W72+'11'!W72+'12'!W72+'13'!W72+'15'!W72+'14'!W72+'16'!W72+'17'!W72+'19'!W72+'20'!W72+'22'!W72+'18'!W72+'21'!W72+'25'!W72+'23'!W72+'26'!W72+'24'!W72+'28'!W72+'27'!W72+'29'!W72+'31'!W72+'30'!W72</f>
        <v>0</v>
      </c>
      <c r="X72" s="52">
        <f>+'1'!X72+'3'!X72+'2'!X72+'6'!X72+'5'!X72+'4'!X72+'8'!X72+'7'!X72+'10'!X72+'9'!X72+'11'!X72+'12'!X72+'13'!X72+'15'!X72+'14'!X72+'16'!X72+'17'!X72+'19'!X72+'20'!X72+'22'!X72+'18'!X72+'21'!X72+'25'!X72+'23'!X72+'26'!X72+'24'!X72+'28'!X72+'27'!X72+'29'!X72+'31'!X72+'30'!X72</f>
        <v>0</v>
      </c>
      <c r="Y72" s="52">
        <f>+'1'!Y72+'3'!Y72+'2'!Y72+'6'!Y72+'5'!Y72+'4'!Y72+'8'!Y72+'7'!Y72+'10'!Y72+'9'!Y72+'11'!Y72+'12'!Y72+'13'!Y72+'15'!Y72+'14'!Y72+'16'!Y72+'17'!Y72+'19'!Y72+'20'!Y72+'22'!Y72+'18'!Y72+'21'!Y72+'25'!Y72+'23'!Y72+'26'!Y72+'24'!Y72+'28'!Y72+'27'!Y72+'29'!Y72+'31'!Y72+'30'!Y72</f>
        <v>0</v>
      </c>
      <c r="Z72" s="52">
        <f>+'1'!Z72+'3'!Z72+'2'!Z72+'6'!Z72+'5'!Z72+'4'!Z72+'8'!Z72+'7'!Z72+'10'!Z72+'9'!Z72+'11'!Z72+'12'!Z72+'13'!Z72+'15'!Z72+'14'!Z72+'16'!Z72+'17'!Z72+'19'!Z72+'20'!Z72+'22'!Z72+'18'!Z72+'21'!Z72+'25'!Z72+'23'!Z72+'26'!Z72+'24'!Z72+'28'!Z72+'27'!Z72+'29'!Z72+'31'!Z72+'30'!Z72</f>
        <v>0</v>
      </c>
      <c r="AA72" s="52">
        <f>+'1'!AA72+'3'!AA72+'2'!AA72+'6'!AA72+'5'!AA72+'4'!AA72+'8'!AA72+'7'!AA72+'10'!AA72+'9'!AA72+'11'!AA72+'12'!AA72+'13'!AA72+'15'!AA72+'14'!AA72+'16'!AA72+'17'!AA72+'19'!AA72+'20'!AA72+'22'!AA72+'18'!AA72+'21'!AA72+'25'!AA72+'23'!AA72+'26'!AA72+'24'!AA72+'28'!AA72+'27'!AA72+'29'!AA72+'31'!AA72+'30'!AA72</f>
        <v>0</v>
      </c>
      <c r="AB72" s="52">
        <f>+'1'!AB72+'3'!AB72+'2'!AB72+'6'!AB72+'5'!AB72+'4'!AB72+'8'!AB72+'7'!AB72+'10'!AB72+'9'!AB72+'11'!AB72+'12'!AB72+'13'!AB72+'15'!AB72+'14'!AB72+'16'!AB72+'17'!AB72+'19'!AB72+'20'!AB72+'22'!AB72+'18'!AB72+'21'!AB72+'25'!AB72+'23'!AB72+'26'!AB72+'24'!AB72+'28'!AB72+'27'!AB72+'29'!AB72+'31'!AB72+'30'!AB72</f>
        <v>0</v>
      </c>
      <c r="AC72" s="52">
        <f>+'1'!AC72+'3'!AC72+'2'!AC72+'6'!AC72+'5'!AC72+'4'!AC72+'8'!AC72+'7'!AC72+'10'!AC72+'9'!AC72+'11'!AC72+'12'!AC72+'13'!AC72+'15'!AC72+'14'!AC72+'16'!AC72+'17'!AC72+'19'!AC72+'20'!AC72+'22'!AC72+'18'!AC72+'21'!AC72+'25'!AC72+'23'!AC72+'26'!AC72+'24'!AC72+'28'!AC72+'27'!AC72+'29'!AC72+'31'!AC72+'30'!AC72</f>
        <v>0</v>
      </c>
      <c r="AD72" s="52">
        <f>+'1'!AD72+'3'!AD72+'2'!AD72+'6'!AD72+'5'!AD72+'4'!AD72+'8'!AD72+'7'!AD72+'10'!AD72+'9'!AD72+'11'!AD72+'12'!AD72+'13'!AD72+'15'!AD72+'14'!AD72+'16'!AD72+'17'!AD72+'19'!AD72+'20'!AD72+'22'!AD72+'18'!AD72+'21'!AD72+'25'!AD72+'23'!AD72+'26'!AD72+'24'!AD72+'28'!AD72+'27'!AD72+'29'!AD72+'31'!AD72+'30'!AD72</f>
        <v>0</v>
      </c>
      <c r="AE72" s="52">
        <f>+'1'!AE72+'3'!AE72+'2'!AE72+'6'!AE72+'5'!AE72+'4'!AE72+'8'!AE72+'7'!AE72+'10'!AE72+'9'!AE72+'11'!AE72+'12'!AE72+'13'!AE72+'15'!AE72+'14'!AE72+'16'!AE72+'17'!AE72+'19'!AE72+'20'!AE72+'22'!AE72+'18'!AE72+'21'!AE72+'25'!AE72+'23'!AE72+'26'!AE72+'24'!AE72+'28'!AE72+'27'!AE72+'29'!AE72+'31'!AE72+'30'!AE72</f>
        <v>0</v>
      </c>
      <c r="AF72" s="52">
        <f>+'1'!AF72+'3'!AF72+'2'!AF72+'6'!AF72+'5'!AF72+'4'!AF72+'8'!AF72+'7'!AF72+'10'!AF72+'9'!AF72+'11'!AF72+'12'!AF72+'13'!AF72+'15'!AF72+'14'!AF72+'16'!AF72+'17'!AF72+'19'!AF72+'20'!AF72+'22'!AF72+'18'!AF72+'21'!AF72+'25'!AF72+'23'!AF72+'26'!AF72+'24'!AF72+'28'!AF72+'27'!AF72+'29'!AF72+'31'!AF72+'30'!AF72</f>
        <v>0</v>
      </c>
      <c r="AG72" s="52">
        <f>+'1'!AG72+'3'!AG72+'2'!AG72+'6'!AG72+'5'!AG72+'4'!AG72+'8'!AG72+'7'!AG72+'10'!AG72+'9'!AG72+'11'!AG72+'12'!AG72+'13'!AG72+'15'!AG72+'14'!AG72+'16'!AG72+'17'!AG72+'19'!AG72+'20'!AG72+'22'!AG72+'18'!AG72+'21'!AG72+'25'!AG72+'23'!AG72+'26'!AG72+'24'!AG72+'28'!AG72+'27'!AG72+'29'!AG72+'31'!AG72+'30'!AG72</f>
        <v>0</v>
      </c>
      <c r="AH72" s="52">
        <f>+'1'!AH72+'3'!AH72+'2'!AH72+'6'!AH72+'5'!AH72+'4'!AH72+'8'!AH72+'7'!AH72+'10'!AH72+'9'!AH72+'11'!AH72+'12'!AH72+'13'!AH72+'15'!AH72+'14'!AH72+'16'!AH72+'17'!AH72+'19'!AH72+'20'!AH72+'22'!AH72+'18'!AH72+'21'!AH72+'25'!AH72+'23'!AH72+'26'!AH72+'24'!AH72+'28'!AH72+'27'!AH72+'29'!AH72+'31'!AH72+'30'!AH72</f>
        <v>0</v>
      </c>
      <c r="AI72" s="55">
        <f>+'1'!AI72+'3'!AI72+'2'!AI72+'6'!AI72+'5'!AI72+'4'!AI72+'8'!AI72+'7'!AI72+'10'!AI72+'9'!AI72+'11'!AI72+'12'!AI72+'13'!AI72+'15'!AI72+'14'!AI72+'16'!AI72+'17'!AI72+'19'!AI72+'20'!AI72+'22'!AI72+'18'!AI72+'21'!AI72+'25'!AI72+'23'!AI72+'26'!AI72+'24'!AI72+'28'!AI72+'27'!AI72+'29'!AI72+'31'!AI72+'30'!AI72</f>
        <v>0</v>
      </c>
      <c r="AJ72" s="58">
        <f>+'1'!AJ72+'3'!AJ72+'2'!AJ72+'6'!AJ72+'5'!AJ72+'4'!AJ72+'8'!AJ72+'7'!AJ72+'10'!AJ72+'9'!AJ72+'11'!AJ72+'12'!AJ72+'13'!AJ72+'15'!AJ72+'14'!AJ72+'16'!AJ72+'17'!AJ72+'19'!AJ72+'20'!AJ72+'22'!AJ72+'18'!AJ72+'21'!AJ72+'25'!AJ72+'23'!AJ72+'26'!AJ72+'24'!AJ72+'28'!AJ72+'27'!AJ72+'29'!AJ72+'31'!AJ72+'30'!AJ72</f>
        <v>0</v>
      </c>
      <c r="AK72" s="55">
        <f>+'1'!AK72+'3'!AK72+'2'!AK72+'6'!AK72+'5'!AK72+'4'!AK72+'8'!AK72+'7'!AK72+'10'!AK72+'9'!AK72+'11'!AK72+'12'!AK72+'13'!AK72+'15'!AK72+'14'!AK72+'16'!AK72+'17'!AK72+'19'!AK72+'20'!AK72+'22'!AK72+'18'!AK72+'21'!AK72+'25'!AK72+'23'!AK72+'26'!AK72+'24'!AK72+'28'!AK72+'27'!AK72+'29'!AK72+'31'!AK72+'30'!AK72</f>
        <v>0</v>
      </c>
      <c r="AL72" s="66">
        <f t="shared" si="8"/>
        <v>0</v>
      </c>
      <c r="AM72" s="28" t="str">
        <f t="shared" si="9"/>
        <v>OK</v>
      </c>
    </row>
    <row r="73" spans="1:39" customFormat="1" hidden="1">
      <c r="A73" s="17" t="s">
        <v>143</v>
      </c>
      <c r="B73" s="77">
        <v>11820</v>
      </c>
      <c r="C73" s="17" t="s">
        <v>144</v>
      </c>
      <c r="D73" s="69"/>
      <c r="E73" s="18"/>
      <c r="F73" s="18"/>
      <c r="G73" s="19"/>
      <c r="H73" s="20">
        <f>+'1'!H73+'3'!H73+'2'!H73+'6'!H73+'5'!H73+'4'!H73+'8'!H73+'7'!H73+'10'!H73+'9'!H73+'11'!H73+'12'!H73+'13'!H73+'15'!H73+'14'!H73+'16'!H73+'17'!H73+'19'!H73+'20'!H73+'22'!H73+'18'!H73+'21'!H73+'25'!H73+'23'!H73+'26'!H73+'24'!H73+'28'!H73+'27'!H73+'29'!H73+'31'!H73+'30'!H73</f>
        <v>0</v>
      </c>
      <c r="I73" s="21">
        <f>+'1'!I73+'3'!I73+'2'!I73+'6'!I73+'5'!I73+'4'!I73+'8'!I73+'7'!I73+'10'!I73+'9'!I73+'11'!I73+'12'!I73+'13'!I73+'15'!I73+'14'!I73+'16'!I73+'17'!I73+'19'!I73+'20'!I73+'22'!I73+'18'!I73+'21'!I73+'25'!I73+'23'!I73+'26'!I73+'24'!I73+'28'!I73+'27'!I73+'29'!I73+'31'!I73+'30'!I73</f>
        <v>0</v>
      </c>
      <c r="J73" s="21"/>
      <c r="K73" s="16"/>
      <c r="L73" s="21">
        <f>+'1'!L73+'3'!L73+'2'!L73+'6'!L73+'5'!L73+'4'!L73+'8'!L73+'7'!L73+'10'!L73+'9'!L73+'11'!L73+'12'!L73+'13'!L73+'15'!L73+'14'!L73+'16'!L73+'17'!L73+'19'!L73+'20'!L73+'22'!L73+'18'!L73+'21'!L73+'25'!L73+'23'!L73+'26'!L73+'24'!L73+'28'!L73+'27'!L73+'29'!L73+'31'!L73+'30'!L73</f>
        <v>0</v>
      </c>
      <c r="M73" s="21">
        <f>+'1'!M73+'3'!M73+'2'!M73+'6'!M73+'5'!M73+'4'!M73+'8'!M73+'7'!M73+'10'!M73+'9'!M73+'11'!M73+'12'!M73+'13'!M73+'15'!M73+'14'!M73+'16'!M73+'17'!M73+'19'!M73+'20'!M73+'22'!M73+'18'!M73+'21'!M73+'25'!M73+'23'!M73+'26'!M73+'24'!M73+'28'!M73+'27'!M73+'29'!M73+'31'!M73+'30'!M73</f>
        <v>0</v>
      </c>
      <c r="N73" s="21">
        <f>+'1'!N73+'3'!N73+'2'!N73+'6'!N73+'5'!N73+'4'!N73+'8'!N73+'7'!N73+'10'!N73+'9'!N73+'11'!N73+'12'!N73+'13'!N73+'15'!N73+'14'!N73+'16'!N73+'17'!N73+'19'!N73+'20'!N73+'22'!N73+'18'!N73+'21'!N73+'25'!N73+'23'!N73+'26'!N73+'24'!N73+'28'!N73+'27'!N73+'29'!N73+'31'!N73+'30'!N73</f>
        <v>0</v>
      </c>
      <c r="O73" s="21">
        <f>+'1'!O73+'3'!O73+'2'!O73+'6'!O73+'5'!O73+'4'!O73+'8'!O73+'7'!O73+'10'!O73+'9'!O73+'11'!O73+'12'!O73+'13'!O73+'15'!O73+'14'!O73+'16'!O73+'17'!O73+'19'!O73+'20'!O73+'22'!O73+'18'!O73+'21'!O73+'25'!O73+'23'!O73+'26'!O73+'24'!O73+'28'!O73+'27'!O73+'29'!O73+'31'!O73+'30'!O73</f>
        <v>0</v>
      </c>
      <c r="P73" s="21">
        <f>+'1'!P73+'3'!P73+'2'!P73+'6'!P73+'5'!P73+'4'!P73+'8'!P73+'7'!P73+'10'!P73+'9'!P73+'11'!P73+'12'!P73+'13'!P73+'15'!P73+'14'!P73+'16'!P73+'17'!P73+'19'!P73+'20'!P73+'22'!P73+'18'!P73+'21'!P73+'25'!P73+'23'!P73+'26'!P73+'24'!P73+'28'!P73+'27'!P73+'29'!P73+'31'!P73+'30'!P73</f>
        <v>0</v>
      </c>
      <c r="Q73" s="21">
        <f>+'1'!Q73+'3'!Q73+'2'!Q73+'6'!Q73+'5'!Q73+'4'!Q73+'8'!Q73+'7'!Q73+'10'!Q73+'9'!Q73+'11'!Q73+'12'!Q73+'13'!Q73+'15'!Q73+'14'!Q73+'16'!Q73+'17'!Q73+'19'!Q73+'20'!Q73+'22'!Q73+'18'!Q73+'21'!Q73+'25'!Q73+'23'!Q73+'26'!Q73+'24'!Q73+'28'!Q73+'27'!Q73+'29'!Q73+'31'!Q73+'30'!Q73</f>
        <v>0</v>
      </c>
      <c r="R73" s="21">
        <f>+'1'!R73+'3'!R73+'2'!R73+'6'!R73+'5'!R73+'4'!R73+'8'!R73+'7'!R73+'10'!R73+'9'!R73+'11'!R73+'12'!R73+'13'!R73+'15'!R73+'14'!R73+'16'!R73+'17'!R73+'19'!R73+'20'!R73+'22'!R73+'18'!R73+'21'!R73+'25'!R73+'23'!R73+'26'!R73+'24'!R73+'28'!R73+'27'!R73+'29'!R73+'31'!R73+'30'!R73</f>
        <v>0</v>
      </c>
      <c r="S73" s="21">
        <f>+'1'!S73+'3'!S73+'2'!S73+'6'!S73+'5'!S73+'4'!S73+'8'!S73+'7'!S73+'10'!S73+'9'!S73+'11'!S73+'12'!S73+'13'!S73+'15'!S73+'14'!S73+'16'!S73+'17'!S73+'19'!S73+'20'!S73+'22'!S73+'18'!S73+'21'!S73+'25'!S73+'23'!S73+'26'!S73+'24'!S73+'28'!S73+'27'!S73+'29'!S73+'31'!S73+'30'!S73</f>
        <v>0</v>
      </c>
      <c r="T73" s="42">
        <f>+'1'!T73+'3'!T73+'2'!T73+'6'!T73+'5'!T73+'4'!T73+'8'!T73+'7'!T73+'10'!T73+'9'!T73+'11'!T73+'12'!T73+'13'!T73+'15'!T73+'14'!T73+'16'!T73+'17'!T73+'19'!T73+'20'!T73+'22'!T73+'18'!T73+'21'!T73+'25'!T73+'23'!T73+'26'!T73+'24'!T73+'28'!T73+'27'!T73+'29'!T73+'31'!T73+'30'!T73</f>
        <v>0</v>
      </c>
      <c r="U73" s="51">
        <f>+'1'!U73+'3'!U73+'2'!U73+'6'!U73+'5'!U73+'4'!U73+'8'!U73+'7'!U73+'10'!U73+'9'!U73+'11'!U73+'12'!U73+'13'!U73+'15'!U73+'14'!U73+'16'!U73+'17'!U73+'19'!U73+'20'!U73+'22'!U73+'18'!U73+'21'!U73+'25'!U73+'23'!U73+'26'!U73+'24'!U73+'28'!U73+'27'!U73+'29'!U73+'31'!U73+'30'!U73</f>
        <v>0</v>
      </c>
      <c r="V73" s="51">
        <f>+'1'!V73+'3'!V73+'2'!V73+'6'!V73+'5'!V73+'4'!V73+'8'!V73+'7'!V73+'10'!V73+'9'!V73+'11'!V73+'12'!V73+'13'!V73+'15'!V73+'14'!V73+'16'!V73+'17'!V73+'19'!V73+'20'!V73+'22'!V73+'18'!V73+'21'!V73+'25'!V73+'23'!V73+'26'!V73+'24'!V73+'28'!V73+'27'!V73+'29'!V73+'31'!V73+'30'!V73</f>
        <v>0</v>
      </c>
      <c r="W73" s="51">
        <f>+'1'!W73+'3'!W73+'2'!W73+'6'!W73+'5'!W73+'4'!W73+'8'!W73+'7'!W73+'10'!W73+'9'!W73+'11'!W73+'12'!W73+'13'!W73+'15'!W73+'14'!W73+'16'!W73+'17'!W73+'19'!W73+'20'!W73+'22'!W73+'18'!W73+'21'!W73+'25'!W73+'23'!W73+'26'!W73+'24'!W73+'28'!W73+'27'!W73+'29'!W73+'31'!W73+'30'!W73</f>
        <v>0</v>
      </c>
      <c r="X73" s="51">
        <f>+'1'!X73+'3'!X73+'2'!X73+'6'!X73+'5'!X73+'4'!X73+'8'!X73+'7'!X73+'10'!X73+'9'!X73+'11'!X73+'12'!X73+'13'!X73+'15'!X73+'14'!X73+'16'!X73+'17'!X73+'19'!X73+'20'!X73+'22'!X73+'18'!X73+'21'!X73+'25'!X73+'23'!X73+'26'!X73+'24'!X73+'28'!X73+'27'!X73+'29'!X73+'31'!X73+'30'!X73</f>
        <v>0</v>
      </c>
      <c r="Y73" s="51">
        <f>+'1'!Y73+'3'!Y73+'2'!Y73+'6'!Y73+'5'!Y73+'4'!Y73+'8'!Y73+'7'!Y73+'10'!Y73+'9'!Y73+'11'!Y73+'12'!Y73+'13'!Y73+'15'!Y73+'14'!Y73+'16'!Y73+'17'!Y73+'19'!Y73+'20'!Y73+'22'!Y73+'18'!Y73+'21'!Y73+'25'!Y73+'23'!Y73+'26'!Y73+'24'!Y73+'28'!Y73+'27'!Y73+'29'!Y73+'31'!Y73+'30'!Y73</f>
        <v>0</v>
      </c>
      <c r="Z73" s="51">
        <f>+'1'!Z73+'3'!Z73+'2'!Z73+'6'!Z73+'5'!Z73+'4'!Z73+'8'!Z73+'7'!Z73+'10'!Z73+'9'!Z73+'11'!Z73+'12'!Z73+'13'!Z73+'15'!Z73+'14'!Z73+'16'!Z73+'17'!Z73+'19'!Z73+'20'!Z73+'22'!Z73+'18'!Z73+'21'!Z73+'25'!Z73+'23'!Z73+'26'!Z73+'24'!Z73+'28'!Z73+'27'!Z73+'29'!Z73+'31'!Z73+'30'!Z73</f>
        <v>0</v>
      </c>
      <c r="AA73" s="51">
        <f>+'1'!AA73+'3'!AA73+'2'!AA73+'6'!AA73+'5'!AA73+'4'!AA73+'8'!AA73+'7'!AA73+'10'!AA73+'9'!AA73+'11'!AA73+'12'!AA73+'13'!AA73+'15'!AA73+'14'!AA73+'16'!AA73+'17'!AA73+'19'!AA73+'20'!AA73+'22'!AA73+'18'!AA73+'21'!AA73+'25'!AA73+'23'!AA73+'26'!AA73+'24'!AA73+'28'!AA73+'27'!AA73+'29'!AA73+'31'!AA73+'30'!AA73</f>
        <v>0</v>
      </c>
      <c r="AB73" s="51">
        <f>+'1'!AB73+'3'!AB73+'2'!AB73+'6'!AB73+'5'!AB73+'4'!AB73+'8'!AB73+'7'!AB73+'10'!AB73+'9'!AB73+'11'!AB73+'12'!AB73+'13'!AB73+'15'!AB73+'14'!AB73+'16'!AB73+'17'!AB73+'19'!AB73+'20'!AB73+'22'!AB73+'18'!AB73+'21'!AB73+'25'!AB73+'23'!AB73+'26'!AB73+'24'!AB73+'28'!AB73+'27'!AB73+'29'!AB73+'31'!AB73+'30'!AB73</f>
        <v>0</v>
      </c>
      <c r="AC73" s="51">
        <f>+'1'!AC73+'3'!AC73+'2'!AC73+'6'!AC73+'5'!AC73+'4'!AC73+'8'!AC73+'7'!AC73+'10'!AC73+'9'!AC73+'11'!AC73+'12'!AC73+'13'!AC73+'15'!AC73+'14'!AC73+'16'!AC73+'17'!AC73+'19'!AC73+'20'!AC73+'22'!AC73+'18'!AC73+'21'!AC73+'25'!AC73+'23'!AC73+'26'!AC73+'24'!AC73+'28'!AC73+'27'!AC73+'29'!AC73+'31'!AC73+'30'!AC73</f>
        <v>0</v>
      </c>
      <c r="AD73" s="51">
        <f>+'1'!AD73+'3'!AD73+'2'!AD73+'6'!AD73+'5'!AD73+'4'!AD73+'8'!AD73+'7'!AD73+'10'!AD73+'9'!AD73+'11'!AD73+'12'!AD73+'13'!AD73+'15'!AD73+'14'!AD73+'16'!AD73+'17'!AD73+'19'!AD73+'20'!AD73+'22'!AD73+'18'!AD73+'21'!AD73+'25'!AD73+'23'!AD73+'26'!AD73+'24'!AD73+'28'!AD73+'27'!AD73+'29'!AD73+'31'!AD73+'30'!AD73</f>
        <v>0</v>
      </c>
      <c r="AE73" s="51">
        <f>+'1'!AE73+'3'!AE73+'2'!AE73+'6'!AE73+'5'!AE73+'4'!AE73+'8'!AE73+'7'!AE73+'10'!AE73+'9'!AE73+'11'!AE73+'12'!AE73+'13'!AE73+'15'!AE73+'14'!AE73+'16'!AE73+'17'!AE73+'19'!AE73+'20'!AE73+'22'!AE73+'18'!AE73+'21'!AE73+'25'!AE73+'23'!AE73+'26'!AE73+'24'!AE73+'28'!AE73+'27'!AE73+'29'!AE73+'31'!AE73+'30'!AE73</f>
        <v>0</v>
      </c>
      <c r="AF73" s="51">
        <f>+'1'!AF73+'3'!AF73+'2'!AF73+'6'!AF73+'5'!AF73+'4'!AF73+'8'!AF73+'7'!AF73+'10'!AF73+'9'!AF73+'11'!AF73+'12'!AF73+'13'!AF73+'15'!AF73+'14'!AF73+'16'!AF73+'17'!AF73+'19'!AF73+'20'!AF73+'22'!AF73+'18'!AF73+'21'!AF73+'25'!AF73+'23'!AF73+'26'!AF73+'24'!AF73+'28'!AF73+'27'!AF73+'29'!AF73+'31'!AF73+'30'!AF73</f>
        <v>0</v>
      </c>
      <c r="AG73" s="51">
        <f>+'1'!AG73+'3'!AG73+'2'!AG73+'6'!AG73+'5'!AG73+'4'!AG73+'8'!AG73+'7'!AG73+'10'!AG73+'9'!AG73+'11'!AG73+'12'!AG73+'13'!AG73+'15'!AG73+'14'!AG73+'16'!AG73+'17'!AG73+'19'!AG73+'20'!AG73+'22'!AG73+'18'!AG73+'21'!AG73+'25'!AG73+'23'!AG73+'26'!AG73+'24'!AG73+'28'!AG73+'27'!AG73+'29'!AG73+'31'!AG73+'30'!AG73</f>
        <v>0</v>
      </c>
      <c r="AH73" s="51">
        <f>+'1'!AH73+'3'!AH73+'2'!AH73+'6'!AH73+'5'!AH73+'4'!AH73+'8'!AH73+'7'!AH73+'10'!AH73+'9'!AH73+'11'!AH73+'12'!AH73+'13'!AH73+'15'!AH73+'14'!AH73+'16'!AH73+'17'!AH73+'19'!AH73+'20'!AH73+'22'!AH73+'18'!AH73+'21'!AH73+'25'!AH73+'23'!AH73+'26'!AH73+'24'!AH73+'28'!AH73+'27'!AH73+'29'!AH73+'31'!AH73+'30'!AH73</f>
        <v>0</v>
      </c>
      <c r="AI73" s="54">
        <f>+'1'!AI73+'3'!AI73+'2'!AI73+'6'!AI73+'5'!AI73+'4'!AI73+'8'!AI73+'7'!AI73+'10'!AI73+'9'!AI73+'11'!AI73+'12'!AI73+'13'!AI73+'15'!AI73+'14'!AI73+'16'!AI73+'17'!AI73+'19'!AI73+'20'!AI73+'22'!AI73+'18'!AI73+'21'!AI73+'25'!AI73+'23'!AI73+'26'!AI73+'24'!AI73+'28'!AI73+'27'!AI73+'29'!AI73+'31'!AI73+'30'!AI73</f>
        <v>0</v>
      </c>
      <c r="AJ73" s="57">
        <f>+'1'!AJ73+'3'!AJ73+'2'!AJ73+'6'!AJ73+'5'!AJ73+'4'!AJ73+'8'!AJ73+'7'!AJ73+'10'!AJ73+'9'!AJ73+'11'!AJ73+'12'!AJ73+'13'!AJ73+'15'!AJ73+'14'!AJ73+'16'!AJ73+'17'!AJ73+'19'!AJ73+'20'!AJ73+'22'!AJ73+'18'!AJ73+'21'!AJ73+'25'!AJ73+'23'!AJ73+'26'!AJ73+'24'!AJ73+'28'!AJ73+'27'!AJ73+'29'!AJ73+'31'!AJ73+'30'!AJ73</f>
        <v>0</v>
      </c>
      <c r="AK73" s="54">
        <f>+'1'!AK73+'3'!AK73+'2'!AK73+'6'!AK73+'5'!AK73+'4'!AK73+'8'!AK73+'7'!AK73+'10'!AK73+'9'!AK73+'11'!AK73+'12'!AK73+'13'!AK73+'15'!AK73+'14'!AK73+'16'!AK73+'17'!AK73+'19'!AK73+'20'!AK73+'22'!AK73+'18'!AK73+'21'!AK73+'25'!AK73+'23'!AK73+'26'!AK73+'24'!AK73+'28'!AK73+'27'!AK73+'29'!AK73+'31'!AK73+'30'!AK73</f>
        <v>0</v>
      </c>
      <c r="AL73" s="65">
        <f t="shared" si="8"/>
        <v>0</v>
      </c>
      <c r="AM73" s="22" t="str">
        <f t="shared" si="9"/>
        <v>OK</v>
      </c>
    </row>
    <row r="74" spans="1:39" customFormat="1">
      <c r="A74" s="68" t="s">
        <v>145</v>
      </c>
      <c r="B74" s="78">
        <v>21870</v>
      </c>
      <c r="C74" s="23" t="s">
        <v>131</v>
      </c>
      <c r="D74" s="24"/>
      <c r="E74" s="24"/>
      <c r="F74" s="24"/>
      <c r="G74" s="25"/>
      <c r="H74" s="26">
        <f>+'1'!H74+'3'!H74+'2'!H74+'6'!H74+'5'!H74+'4'!H74+'8'!H74+'7'!H74+'10'!H74+'9'!H74+'11'!H74+'12'!H74+'13'!H74+'15'!H74+'14'!H74+'16'!H74+'17'!H74+'19'!H74+'20'!H74+'22'!H74+'18'!H74+'21'!H74+'25'!H74+'23'!H74+'26'!H74+'24'!H74+'28'!H74+'27'!H74+'29'!H74+'31'!H74+'30'!H74</f>
        <v>5956</v>
      </c>
      <c r="I74" s="27">
        <f>+'1'!I74+'3'!I74+'2'!I74+'6'!I74+'5'!I74+'4'!I74+'8'!I74+'7'!I74+'10'!I74+'9'!I74+'11'!I74+'12'!I74+'13'!I74+'15'!I74+'14'!I74+'16'!I74+'17'!I74+'19'!I74+'20'!I74+'22'!I74+'18'!I74+'21'!I74+'25'!I74+'23'!I74+'26'!I74+'24'!I74+'28'!I74+'27'!I74+'29'!I74+'31'!I74+'30'!I74</f>
        <v>8</v>
      </c>
      <c r="J74" s="27"/>
      <c r="K74" s="16"/>
      <c r="L74" s="27">
        <f>+'1'!L74+'3'!L74+'2'!L74+'6'!L74+'5'!L74+'4'!L74+'8'!L74+'7'!L74+'10'!L74+'9'!L74+'11'!L74+'12'!L74+'13'!L74+'15'!L74+'14'!L74+'16'!L74+'17'!L74+'19'!L74+'20'!L74+'22'!L74+'18'!L74+'21'!L74+'25'!L74+'23'!L74+'26'!L74+'24'!L74+'28'!L74+'27'!L74+'29'!L74+'31'!L74+'30'!L74</f>
        <v>0</v>
      </c>
      <c r="M74" s="27">
        <f>+'1'!M74+'3'!M74+'2'!M74+'6'!M74+'5'!M74+'4'!M74+'8'!M74+'7'!M74+'10'!M74+'9'!M74+'11'!M74+'12'!M74+'13'!M74+'15'!M74+'14'!M74+'16'!M74+'17'!M74+'19'!M74+'20'!M74+'22'!M74+'18'!M74+'21'!M74+'25'!M74+'23'!M74+'26'!M74+'24'!M74+'28'!M74+'27'!M74+'29'!M74+'31'!M74+'30'!M74</f>
        <v>0</v>
      </c>
      <c r="N74" s="27">
        <f>+'1'!N74+'3'!N74+'2'!N74+'6'!N74+'5'!N74+'4'!N74+'8'!N74+'7'!N74+'10'!N74+'9'!N74+'11'!N74+'12'!N74+'13'!N74+'15'!N74+'14'!N74+'16'!N74+'17'!N74+'19'!N74+'20'!N74+'22'!N74+'18'!N74+'21'!N74+'25'!N74+'23'!N74+'26'!N74+'24'!N74+'28'!N74+'27'!N74+'29'!N74+'31'!N74+'30'!N74</f>
        <v>0</v>
      </c>
      <c r="O74" s="27">
        <f>+'1'!O74+'3'!O74+'2'!O74+'6'!O74+'5'!O74+'4'!O74+'8'!O74+'7'!O74+'10'!O74+'9'!O74+'11'!O74+'12'!O74+'13'!O74+'15'!O74+'14'!O74+'16'!O74+'17'!O74+'19'!O74+'20'!O74+'22'!O74+'18'!O74+'21'!O74+'25'!O74+'23'!O74+'26'!O74+'24'!O74+'28'!O74+'27'!O74+'29'!O74+'31'!O74+'30'!O74</f>
        <v>0</v>
      </c>
      <c r="P74" s="27">
        <f>+'1'!P74+'3'!P74+'2'!P74+'6'!P74+'5'!P74+'4'!P74+'8'!P74+'7'!P74+'10'!P74+'9'!P74+'11'!P74+'12'!P74+'13'!P74+'15'!P74+'14'!P74+'16'!P74+'17'!P74+'19'!P74+'20'!P74+'22'!P74+'18'!P74+'21'!P74+'25'!P74+'23'!P74+'26'!P74+'24'!P74+'28'!P74+'27'!P74+'29'!P74+'31'!P74+'30'!P74</f>
        <v>0</v>
      </c>
      <c r="Q74" s="27">
        <f>+'1'!Q74+'3'!Q74+'2'!Q74+'6'!Q74+'5'!Q74+'4'!Q74+'8'!Q74+'7'!Q74+'10'!Q74+'9'!Q74+'11'!Q74+'12'!Q74+'13'!Q74+'15'!Q74+'14'!Q74+'16'!Q74+'17'!Q74+'19'!Q74+'20'!Q74+'22'!Q74+'18'!Q74+'21'!Q74+'25'!Q74+'23'!Q74+'26'!Q74+'24'!Q74+'28'!Q74+'27'!Q74+'29'!Q74+'31'!Q74+'30'!Q74</f>
        <v>0</v>
      </c>
      <c r="R74" s="27">
        <f>+'1'!R74+'3'!R74+'2'!R74+'6'!R74+'5'!R74+'4'!R74+'8'!R74+'7'!R74+'10'!R74+'9'!R74+'11'!R74+'12'!R74+'13'!R74+'15'!R74+'14'!R74+'16'!R74+'17'!R74+'19'!R74+'20'!R74+'22'!R74+'18'!R74+'21'!R74+'25'!R74+'23'!R74+'26'!R74+'24'!R74+'28'!R74+'27'!R74+'29'!R74+'31'!R74+'30'!R74</f>
        <v>0</v>
      </c>
      <c r="S74" s="27">
        <f>+'1'!S74+'3'!S74+'2'!S74+'6'!S74+'5'!S74+'4'!S74+'8'!S74+'7'!S74+'10'!S74+'9'!S74+'11'!S74+'12'!S74+'13'!S74+'15'!S74+'14'!S74+'16'!S74+'17'!S74+'19'!S74+'20'!S74+'22'!S74+'18'!S74+'21'!S74+'25'!S74+'23'!S74+'26'!S74+'24'!S74+'28'!S74+'27'!S74+'29'!S74+'31'!S74+'30'!S74</f>
        <v>0</v>
      </c>
      <c r="T74" s="43">
        <f>+'1'!T74+'3'!T74+'2'!T74+'6'!T74+'5'!T74+'4'!T74+'8'!T74+'7'!T74+'10'!T74+'9'!T74+'11'!T74+'12'!T74+'13'!T74+'15'!T74+'14'!T74+'16'!T74+'17'!T74+'19'!T74+'20'!T74+'22'!T74+'18'!T74+'21'!T74+'25'!T74+'23'!T74+'26'!T74+'24'!T74+'28'!T74+'27'!T74+'29'!T74+'31'!T74+'30'!T74</f>
        <v>0</v>
      </c>
      <c r="U74" s="52">
        <f>+'1'!U74+'3'!U74+'2'!U74+'6'!U74+'5'!U74+'4'!U74+'8'!U74+'7'!U74+'10'!U74+'9'!U74+'11'!U74+'12'!U74+'13'!U74+'15'!U74+'14'!U74+'16'!U74+'17'!U74+'19'!U74+'20'!U74+'22'!U74+'18'!U74+'21'!U74+'25'!U74+'23'!U74+'26'!U74+'24'!U74+'28'!U74+'27'!U74+'29'!U74+'31'!U74+'30'!U74</f>
        <v>0</v>
      </c>
      <c r="V74" s="52">
        <f>+'1'!V74+'3'!V74+'2'!V74+'6'!V74+'5'!V74+'4'!V74+'8'!V74+'7'!V74+'10'!V74+'9'!V74+'11'!V74+'12'!V74+'13'!V74+'15'!V74+'14'!V74+'16'!V74+'17'!V74+'19'!V74+'20'!V74+'22'!V74+'18'!V74+'21'!V74+'25'!V74+'23'!V74+'26'!V74+'24'!V74+'28'!V74+'27'!V74+'29'!V74+'31'!V74+'30'!V74</f>
        <v>0</v>
      </c>
      <c r="W74" s="52">
        <f>+'1'!W74+'3'!W74+'2'!W74+'6'!W74+'5'!W74+'4'!W74+'8'!W74+'7'!W74+'10'!W74+'9'!W74+'11'!W74+'12'!W74+'13'!W74+'15'!W74+'14'!W74+'16'!W74+'17'!W74+'19'!W74+'20'!W74+'22'!W74+'18'!W74+'21'!W74+'25'!W74+'23'!W74+'26'!W74+'24'!W74+'28'!W74+'27'!W74+'29'!W74+'31'!W74+'30'!W74</f>
        <v>0</v>
      </c>
      <c r="X74" s="52">
        <f>+'1'!X74+'3'!X74+'2'!X74+'6'!X74+'5'!X74+'4'!X74+'8'!X74+'7'!X74+'10'!X74+'9'!X74+'11'!X74+'12'!X74+'13'!X74+'15'!X74+'14'!X74+'16'!X74+'17'!X74+'19'!X74+'20'!X74+'22'!X74+'18'!X74+'21'!X74+'25'!X74+'23'!X74+'26'!X74+'24'!X74+'28'!X74+'27'!X74+'29'!X74+'31'!X74+'30'!X74</f>
        <v>0</v>
      </c>
      <c r="Y74" s="52">
        <f>+'1'!Y74+'3'!Y74+'2'!Y74+'6'!Y74+'5'!Y74+'4'!Y74+'8'!Y74+'7'!Y74+'10'!Y74+'9'!Y74+'11'!Y74+'12'!Y74+'13'!Y74+'15'!Y74+'14'!Y74+'16'!Y74+'17'!Y74+'19'!Y74+'20'!Y74+'22'!Y74+'18'!Y74+'21'!Y74+'25'!Y74+'23'!Y74+'26'!Y74+'24'!Y74+'28'!Y74+'27'!Y74+'29'!Y74+'31'!Y74+'30'!Y74</f>
        <v>0</v>
      </c>
      <c r="Z74" s="52">
        <f>+'1'!Z74+'3'!Z74+'2'!Z74+'6'!Z74+'5'!Z74+'4'!Z74+'8'!Z74+'7'!Z74+'10'!Z74+'9'!Z74+'11'!Z74+'12'!Z74+'13'!Z74+'15'!Z74+'14'!Z74+'16'!Z74+'17'!Z74+'19'!Z74+'20'!Z74+'22'!Z74+'18'!Z74+'21'!Z74+'25'!Z74+'23'!Z74+'26'!Z74+'24'!Z74+'28'!Z74+'27'!Z74+'29'!Z74+'31'!Z74+'30'!Z74</f>
        <v>0</v>
      </c>
      <c r="AA74" s="52">
        <f>+'1'!AA74+'3'!AA74+'2'!AA74+'6'!AA74+'5'!AA74+'4'!AA74+'8'!AA74+'7'!AA74+'10'!AA74+'9'!AA74+'11'!AA74+'12'!AA74+'13'!AA74+'15'!AA74+'14'!AA74+'16'!AA74+'17'!AA74+'19'!AA74+'20'!AA74+'22'!AA74+'18'!AA74+'21'!AA74+'25'!AA74+'23'!AA74+'26'!AA74+'24'!AA74+'28'!AA74+'27'!AA74+'29'!AA74+'31'!AA74+'30'!AA74</f>
        <v>0</v>
      </c>
      <c r="AB74" s="52">
        <f>+'1'!AB74+'3'!AB74+'2'!AB74+'6'!AB74+'5'!AB74+'4'!AB74+'8'!AB74+'7'!AB74+'10'!AB74+'9'!AB74+'11'!AB74+'12'!AB74+'13'!AB74+'15'!AB74+'14'!AB74+'16'!AB74+'17'!AB74+'19'!AB74+'20'!AB74+'22'!AB74+'18'!AB74+'21'!AB74+'25'!AB74+'23'!AB74+'26'!AB74+'24'!AB74+'28'!AB74+'27'!AB74+'29'!AB74+'31'!AB74+'30'!AB74</f>
        <v>0</v>
      </c>
      <c r="AC74" s="52">
        <f>+'1'!AC74+'3'!AC74+'2'!AC74+'6'!AC74+'5'!AC74+'4'!AC74+'8'!AC74+'7'!AC74+'10'!AC74+'9'!AC74+'11'!AC74+'12'!AC74+'13'!AC74+'15'!AC74+'14'!AC74+'16'!AC74+'17'!AC74+'19'!AC74+'20'!AC74+'22'!AC74+'18'!AC74+'21'!AC74+'25'!AC74+'23'!AC74+'26'!AC74+'24'!AC74+'28'!AC74+'27'!AC74+'29'!AC74+'31'!AC74+'30'!AC74</f>
        <v>0</v>
      </c>
      <c r="AD74" s="52">
        <f>+'1'!AD74+'3'!AD74+'2'!AD74+'6'!AD74+'5'!AD74+'4'!AD74+'8'!AD74+'7'!AD74+'10'!AD74+'9'!AD74+'11'!AD74+'12'!AD74+'13'!AD74+'15'!AD74+'14'!AD74+'16'!AD74+'17'!AD74+'19'!AD74+'20'!AD74+'22'!AD74+'18'!AD74+'21'!AD74+'25'!AD74+'23'!AD74+'26'!AD74+'24'!AD74+'28'!AD74+'27'!AD74+'29'!AD74+'31'!AD74+'30'!AD74</f>
        <v>0</v>
      </c>
      <c r="AE74" s="52">
        <f>+'1'!AE74+'3'!AE74+'2'!AE74+'6'!AE74+'5'!AE74+'4'!AE74+'8'!AE74+'7'!AE74+'10'!AE74+'9'!AE74+'11'!AE74+'12'!AE74+'13'!AE74+'15'!AE74+'14'!AE74+'16'!AE74+'17'!AE74+'19'!AE74+'20'!AE74+'22'!AE74+'18'!AE74+'21'!AE74+'25'!AE74+'23'!AE74+'26'!AE74+'24'!AE74+'28'!AE74+'27'!AE74+'29'!AE74+'31'!AE74+'30'!AE74</f>
        <v>0</v>
      </c>
      <c r="AF74" s="52">
        <f>+'1'!AF74+'3'!AF74+'2'!AF74+'6'!AF74+'5'!AF74+'4'!AF74+'8'!AF74+'7'!AF74+'10'!AF74+'9'!AF74+'11'!AF74+'12'!AF74+'13'!AF74+'15'!AF74+'14'!AF74+'16'!AF74+'17'!AF74+'19'!AF74+'20'!AF74+'22'!AF74+'18'!AF74+'21'!AF74+'25'!AF74+'23'!AF74+'26'!AF74+'24'!AF74+'28'!AF74+'27'!AF74+'29'!AF74+'31'!AF74+'30'!AF74</f>
        <v>0</v>
      </c>
      <c r="AG74" s="52">
        <f>+'1'!AG74+'3'!AG74+'2'!AG74+'6'!AG74+'5'!AG74+'4'!AG74+'8'!AG74+'7'!AG74+'10'!AG74+'9'!AG74+'11'!AG74+'12'!AG74+'13'!AG74+'15'!AG74+'14'!AG74+'16'!AG74+'17'!AG74+'19'!AG74+'20'!AG74+'22'!AG74+'18'!AG74+'21'!AG74+'25'!AG74+'23'!AG74+'26'!AG74+'24'!AG74+'28'!AG74+'27'!AG74+'29'!AG74+'31'!AG74+'30'!AG74</f>
        <v>0</v>
      </c>
      <c r="AH74" s="52">
        <f>+'1'!AH74+'3'!AH74+'2'!AH74+'6'!AH74+'5'!AH74+'4'!AH74+'8'!AH74+'7'!AH74+'10'!AH74+'9'!AH74+'11'!AH74+'12'!AH74+'13'!AH74+'15'!AH74+'14'!AH74+'16'!AH74+'17'!AH74+'19'!AH74+'20'!AH74+'22'!AH74+'18'!AH74+'21'!AH74+'25'!AH74+'23'!AH74+'26'!AH74+'24'!AH74+'28'!AH74+'27'!AH74+'29'!AH74+'31'!AH74+'30'!AH74</f>
        <v>0</v>
      </c>
      <c r="AI74" s="55">
        <f>+'1'!AI74+'3'!AI74+'2'!AI74+'6'!AI74+'5'!AI74+'4'!AI74+'8'!AI74+'7'!AI74+'10'!AI74+'9'!AI74+'11'!AI74+'12'!AI74+'13'!AI74+'15'!AI74+'14'!AI74+'16'!AI74+'17'!AI74+'19'!AI74+'20'!AI74+'22'!AI74+'18'!AI74+'21'!AI74+'25'!AI74+'23'!AI74+'26'!AI74+'24'!AI74+'28'!AI74+'27'!AI74+'29'!AI74+'31'!AI74+'30'!AI74</f>
        <v>8</v>
      </c>
      <c r="AJ74" s="58">
        <f>+'1'!AJ74+'3'!AJ74+'2'!AJ74+'6'!AJ74+'5'!AJ74+'4'!AJ74+'8'!AJ74+'7'!AJ74+'10'!AJ74+'9'!AJ74+'11'!AJ74+'12'!AJ74+'13'!AJ74+'15'!AJ74+'14'!AJ74+'16'!AJ74+'17'!AJ74+'19'!AJ74+'20'!AJ74+'22'!AJ74+'18'!AJ74+'21'!AJ74+'25'!AJ74+'23'!AJ74+'26'!AJ74+'24'!AJ74+'28'!AJ74+'27'!AJ74+'29'!AJ74+'31'!AJ74+'30'!AJ74</f>
        <v>0</v>
      </c>
      <c r="AK74" s="55">
        <f>+'1'!AK74+'3'!AK74+'2'!AK74+'6'!AK74+'5'!AK74+'4'!AK74+'8'!AK74+'7'!AK74+'10'!AK74+'9'!AK74+'11'!AK74+'12'!AK74+'13'!AK74+'15'!AK74+'14'!AK74+'16'!AK74+'17'!AK74+'19'!AK74+'20'!AK74+'22'!AK74+'18'!AK74+'21'!AK74+'25'!AK74+'23'!AK74+'26'!AK74+'24'!AK74+'28'!AK74+'27'!AK74+'29'!AK74+'31'!AK74+'30'!AK74</f>
        <v>0</v>
      </c>
      <c r="AL74" s="66">
        <f t="shared" si="8"/>
        <v>8</v>
      </c>
      <c r="AM74" s="28" t="str">
        <f t="shared" si="9"/>
        <v>OK</v>
      </c>
    </row>
    <row r="75" spans="1:39" hidden="1">
      <c r="A75" s="87" t="s">
        <v>146</v>
      </c>
      <c r="B75" s="93">
        <v>22379</v>
      </c>
      <c r="C75" s="94" t="s">
        <v>65</v>
      </c>
      <c r="D75" s="88"/>
      <c r="E75" s="88"/>
      <c r="F75" s="88"/>
      <c r="G75" s="89"/>
      <c r="H75" s="124">
        <f>+'1'!H75+'3'!H75+'2'!H75+'6'!H75+'5'!H75+'4'!H75+'8'!H75+'7'!H75+'10'!H75+'9'!H75+'11'!H75+'12'!H75+'13'!H75+'15'!H75+'14'!H75+'16'!H75+'17'!H75+'19'!H75+'20'!H75+'22'!H75+'18'!H75+'21'!H75+'25'!H75+'23'!H75+'26'!H75+'24'!H75+'28'!H75+'27'!H75+'29'!H75+'31'!H75+'30'!H75</f>
        <v>0</v>
      </c>
      <c r="I75" s="21">
        <f>+'1'!I75+'3'!I75+'2'!I75+'6'!I75+'5'!I75+'4'!I75+'8'!I75+'7'!I75+'10'!I75+'9'!I75+'11'!I75+'12'!I75+'13'!I75+'15'!I75+'14'!I75+'16'!I75+'17'!I75+'19'!I75+'20'!I75+'22'!I75+'18'!I75+'21'!I75+'25'!I75+'23'!I75+'26'!I75+'24'!I75+'28'!I75+'27'!I75+'29'!I75+'31'!I75+'30'!I75</f>
        <v>0</v>
      </c>
      <c r="J75" s="125"/>
      <c r="K75" s="91"/>
      <c r="L75" s="125">
        <f>+'1'!L75+'3'!L75+'2'!L75+'6'!L75+'5'!L75+'4'!L75+'8'!L75+'7'!L75+'10'!L75+'9'!L75+'11'!L75+'12'!L75+'13'!L75+'15'!L75+'14'!L75+'16'!L75+'17'!L75+'19'!L75+'20'!L75+'22'!L75+'18'!L75+'21'!L75+'25'!L75+'23'!L75+'26'!L75+'24'!L75+'28'!L75+'27'!L75+'29'!L75+'31'!L75+'30'!L75</f>
        <v>0</v>
      </c>
      <c r="M75" s="125">
        <f>+'1'!M75+'3'!M75+'2'!M75+'6'!M75+'5'!M75+'4'!M75+'8'!M75+'7'!M75+'10'!M75+'9'!M75+'11'!M75+'12'!M75+'13'!M75+'15'!M75+'14'!M75+'16'!M75+'17'!M75+'19'!M75+'20'!M75+'22'!M75+'18'!M75+'21'!M75+'25'!M75+'23'!M75+'26'!M75+'24'!M75+'28'!M75+'27'!M75+'29'!M75+'31'!M75+'30'!M75</f>
        <v>0</v>
      </c>
      <c r="N75" s="125">
        <f>+'1'!N75+'3'!N75+'2'!N75+'6'!N75+'5'!N75+'4'!N75+'8'!N75+'7'!N75+'10'!N75+'9'!N75+'11'!N75+'12'!N75+'13'!N75+'15'!N75+'14'!N75+'16'!N75+'17'!N75+'19'!N75+'20'!N75+'22'!N75+'18'!N75+'21'!N75+'25'!N75+'23'!N75+'26'!N75+'24'!N75+'28'!N75+'27'!N75+'29'!N75+'31'!N75+'30'!N75</f>
        <v>0</v>
      </c>
      <c r="O75" s="125">
        <f>+'1'!O75+'3'!O75+'2'!O75+'6'!O75+'5'!O75+'4'!O75+'8'!O75+'7'!O75+'10'!O75+'9'!O75+'11'!O75+'12'!O75+'13'!O75+'15'!O75+'14'!O75+'16'!O75+'17'!O75+'19'!O75+'20'!O75+'22'!O75+'18'!O75+'21'!O75+'25'!O75+'23'!O75+'26'!O75+'24'!O75+'28'!O75+'27'!O75+'29'!O75+'31'!O75+'30'!O75</f>
        <v>0</v>
      </c>
      <c r="P75" s="125">
        <f>+'1'!P75+'3'!P75+'2'!P75+'6'!P75+'5'!P75+'4'!P75+'8'!P75+'7'!P75+'10'!P75+'9'!P75+'11'!P75+'12'!P75+'13'!P75+'15'!P75+'14'!P75+'16'!P75+'17'!P75+'19'!P75+'20'!P75+'22'!P75+'18'!P75+'21'!P75+'25'!P75+'23'!P75+'26'!P75+'24'!P75+'28'!P75+'27'!P75+'29'!P75+'31'!P75+'30'!P75</f>
        <v>0</v>
      </c>
      <c r="Q75" s="125">
        <f>+'1'!Q75+'3'!Q75+'2'!Q75+'6'!Q75+'5'!Q75+'4'!Q75+'8'!Q75+'7'!Q75+'10'!Q75+'9'!Q75+'11'!Q75+'12'!Q75+'13'!Q75+'15'!Q75+'14'!Q75+'16'!Q75+'17'!Q75+'19'!Q75+'20'!Q75+'22'!Q75+'18'!Q75+'21'!Q75+'25'!Q75+'23'!Q75+'26'!Q75+'24'!Q75+'28'!Q75+'27'!Q75+'29'!Q75+'31'!Q75+'30'!Q75</f>
        <v>0</v>
      </c>
      <c r="R75" s="125">
        <f>+'1'!R75+'3'!R75+'2'!R75+'6'!R75+'5'!R75+'4'!R75+'8'!R75+'7'!R75+'10'!R75+'9'!R75+'11'!R75+'12'!R75+'13'!R75+'15'!R75+'14'!R75+'16'!R75+'17'!R75+'19'!R75+'20'!R75+'22'!R75+'18'!R75+'21'!R75+'25'!R75+'23'!R75+'26'!R75+'24'!R75+'28'!R75+'27'!R75+'29'!R75+'31'!R75+'30'!R75</f>
        <v>0</v>
      </c>
      <c r="S75" s="125">
        <f>+'1'!S75+'3'!S75+'2'!S75+'6'!S75+'5'!S75+'4'!S75+'8'!S75+'7'!S75+'10'!S75+'9'!S75+'11'!S75+'12'!S75+'13'!S75+'15'!S75+'14'!S75+'16'!S75+'17'!S75+'19'!S75+'20'!S75+'22'!S75+'18'!S75+'21'!S75+'25'!S75+'23'!S75+'26'!S75+'24'!S75+'28'!S75+'27'!S75+'29'!S75+'31'!S75+'30'!S75</f>
        <v>0</v>
      </c>
      <c r="T75" s="126">
        <f>+'1'!T75+'3'!T75+'2'!T75+'6'!T75+'5'!T75+'4'!T75+'8'!T75+'7'!T75+'10'!T75+'9'!T75+'11'!T75+'12'!T75+'13'!T75+'15'!T75+'14'!T75+'16'!T75+'17'!T75+'19'!T75+'20'!T75+'22'!T75+'18'!T75+'21'!T75+'25'!T75+'23'!T75+'26'!T75+'24'!T75+'28'!T75+'27'!T75+'29'!T75+'31'!T75+'30'!T75</f>
        <v>0</v>
      </c>
      <c r="U75" s="127">
        <f>+'1'!U75+'3'!U75+'2'!U75+'6'!U75+'5'!U75+'4'!U75+'8'!U75+'7'!U75+'10'!U75+'9'!U75+'11'!U75+'12'!U75+'13'!U75+'15'!U75+'14'!U75+'16'!U75+'17'!U75+'19'!U75+'20'!U75+'22'!U75+'18'!U75+'21'!U75+'25'!U75+'23'!U75+'26'!U75+'24'!U75+'28'!U75+'27'!U75+'29'!U75+'31'!U75+'30'!U75</f>
        <v>0</v>
      </c>
      <c r="V75" s="127">
        <f>+'1'!V75+'3'!V75+'2'!V75+'6'!V75+'5'!V75+'4'!V75+'8'!V75+'7'!V75+'10'!V75+'9'!V75+'11'!V75+'12'!V75+'13'!V75+'15'!V75+'14'!V75+'16'!V75+'17'!V75+'19'!V75+'20'!V75+'22'!V75+'18'!V75+'21'!V75+'25'!V75+'23'!V75+'26'!V75+'24'!V75+'28'!V75+'27'!V75+'29'!V75+'31'!V75+'30'!V75</f>
        <v>0</v>
      </c>
      <c r="W75" s="127">
        <f>+'1'!W75+'3'!W75+'2'!W75+'6'!W75+'5'!W75+'4'!W75+'8'!W75+'7'!W75+'10'!W75+'9'!W75+'11'!W75+'12'!W75+'13'!W75+'15'!W75+'14'!W75+'16'!W75+'17'!W75+'19'!W75+'20'!W75+'22'!W75+'18'!W75+'21'!W75+'25'!W75+'23'!W75+'26'!W75+'24'!W75+'28'!W75+'27'!W75+'29'!W75+'31'!W75+'30'!W75</f>
        <v>0</v>
      </c>
      <c r="X75" s="127">
        <f>+'1'!X75+'3'!X75+'2'!X75+'6'!X75+'5'!X75+'4'!X75+'8'!X75+'7'!X75+'10'!X75+'9'!X75+'11'!X75+'12'!X75+'13'!X75+'15'!X75+'14'!X75+'16'!X75+'17'!X75+'19'!X75+'20'!X75+'22'!X75+'18'!X75+'21'!X75+'25'!X75+'23'!X75+'26'!X75+'24'!X75+'28'!X75+'27'!X75+'29'!X75+'31'!X75+'30'!X75</f>
        <v>0</v>
      </c>
      <c r="Y75" s="127">
        <f>+'1'!Y75+'3'!Y75+'2'!Y75+'6'!Y75+'5'!Y75+'4'!Y75+'8'!Y75+'7'!Y75+'10'!Y75+'9'!Y75+'11'!Y75+'12'!Y75+'13'!Y75+'15'!Y75+'14'!Y75+'16'!Y75+'17'!Y75+'19'!Y75+'20'!Y75+'22'!Y75+'18'!Y75+'21'!Y75+'25'!Y75+'23'!Y75+'26'!Y75+'24'!Y75+'28'!Y75+'27'!Y75+'29'!Y75+'31'!Y75+'30'!Y75</f>
        <v>0</v>
      </c>
      <c r="Z75" s="127">
        <f>+'1'!Z75+'3'!Z75+'2'!Z75+'6'!Z75+'5'!Z75+'4'!Z75+'8'!Z75+'7'!Z75+'10'!Z75+'9'!Z75+'11'!Z75+'12'!Z75+'13'!Z75+'15'!Z75+'14'!Z75+'16'!Z75+'17'!Z75+'19'!Z75+'20'!Z75+'22'!Z75+'18'!Z75+'21'!Z75+'25'!Z75+'23'!Z75+'26'!Z75+'24'!Z75+'28'!Z75+'27'!Z75+'29'!Z75+'31'!Z75+'30'!Z75</f>
        <v>0</v>
      </c>
      <c r="AA75" s="127">
        <f>+'1'!AA75+'3'!AA75+'2'!AA75+'6'!AA75+'5'!AA75+'4'!AA75+'8'!AA75+'7'!AA75+'10'!AA75+'9'!AA75+'11'!AA75+'12'!AA75+'13'!AA75+'15'!AA75+'14'!AA75+'16'!AA75+'17'!AA75+'19'!AA75+'20'!AA75+'22'!AA75+'18'!AA75+'21'!AA75+'25'!AA75+'23'!AA75+'26'!AA75+'24'!AA75+'28'!AA75+'27'!AA75+'29'!AA75+'31'!AA75+'30'!AA75</f>
        <v>0</v>
      </c>
      <c r="AB75" s="127">
        <f>+'1'!AB75+'3'!AB75+'2'!AB75+'6'!AB75+'5'!AB75+'4'!AB75+'8'!AB75+'7'!AB75+'10'!AB75+'9'!AB75+'11'!AB75+'12'!AB75+'13'!AB75+'15'!AB75+'14'!AB75+'16'!AB75+'17'!AB75+'19'!AB75+'20'!AB75+'22'!AB75+'18'!AB75+'21'!AB75+'25'!AB75+'23'!AB75+'26'!AB75+'24'!AB75+'28'!AB75+'27'!AB75+'29'!AB75+'31'!AB75+'30'!AB75</f>
        <v>0</v>
      </c>
      <c r="AC75" s="127">
        <f>+'1'!AC75+'3'!AC75+'2'!AC75+'6'!AC75+'5'!AC75+'4'!AC75+'8'!AC75+'7'!AC75+'10'!AC75+'9'!AC75+'11'!AC75+'12'!AC75+'13'!AC75+'15'!AC75+'14'!AC75+'16'!AC75+'17'!AC75+'19'!AC75+'20'!AC75+'22'!AC75+'18'!AC75+'21'!AC75+'25'!AC75+'23'!AC75+'26'!AC75+'24'!AC75+'28'!AC75+'27'!AC75+'29'!AC75+'31'!AC75+'30'!AC75</f>
        <v>0</v>
      </c>
      <c r="AD75" s="127">
        <f>+'1'!AD75+'3'!AD75+'2'!AD75+'6'!AD75+'5'!AD75+'4'!AD75+'8'!AD75+'7'!AD75+'10'!AD75+'9'!AD75+'11'!AD75+'12'!AD75+'13'!AD75+'15'!AD75+'14'!AD75+'16'!AD75+'17'!AD75+'19'!AD75+'20'!AD75+'22'!AD75+'18'!AD75+'21'!AD75+'25'!AD75+'23'!AD75+'26'!AD75+'24'!AD75+'28'!AD75+'27'!AD75+'29'!AD75+'31'!AD75+'30'!AD75</f>
        <v>0</v>
      </c>
      <c r="AE75" s="127">
        <f>+'1'!AE75+'3'!AE75+'2'!AE75+'6'!AE75+'5'!AE75+'4'!AE75+'8'!AE75+'7'!AE75+'10'!AE75+'9'!AE75+'11'!AE75+'12'!AE75+'13'!AE75+'15'!AE75+'14'!AE75+'16'!AE75+'17'!AE75+'19'!AE75+'20'!AE75+'22'!AE75+'18'!AE75+'21'!AE75+'25'!AE75+'23'!AE75+'26'!AE75+'24'!AE75+'28'!AE75+'27'!AE75+'29'!AE75+'31'!AE75+'30'!AE75</f>
        <v>0</v>
      </c>
      <c r="AF75" s="127">
        <f>+'1'!AF75+'3'!AF75+'2'!AF75+'6'!AF75+'5'!AF75+'4'!AF75+'8'!AF75+'7'!AF75+'10'!AF75+'9'!AF75+'11'!AF75+'12'!AF75+'13'!AF75+'15'!AF75+'14'!AF75+'16'!AF75+'17'!AF75+'19'!AF75+'20'!AF75+'22'!AF75+'18'!AF75+'21'!AF75+'25'!AF75+'23'!AF75+'26'!AF75+'24'!AF75+'28'!AF75+'27'!AF75+'29'!AF75+'31'!AF75+'30'!AF75</f>
        <v>0</v>
      </c>
      <c r="AG75" s="127">
        <f>+'1'!AG75+'3'!AG75+'2'!AG75+'6'!AG75+'5'!AG75+'4'!AG75+'8'!AG75+'7'!AG75+'10'!AG75+'9'!AG75+'11'!AG75+'12'!AG75+'13'!AG75+'15'!AG75+'14'!AG75+'16'!AG75+'17'!AG75+'19'!AG75+'20'!AG75+'22'!AG75+'18'!AG75+'21'!AG75+'25'!AG75+'23'!AG75+'26'!AG75+'24'!AG75+'28'!AG75+'27'!AG75+'29'!AG75+'31'!AG75+'30'!AG75</f>
        <v>0</v>
      </c>
      <c r="AH75" s="127">
        <f>+'1'!AH75+'3'!AH75+'2'!AH75+'6'!AH75+'5'!AH75+'4'!AH75+'8'!AH75+'7'!AH75+'10'!AH75+'9'!AH75+'11'!AH75+'12'!AH75+'13'!AH75+'15'!AH75+'14'!AH75+'16'!AH75+'17'!AH75+'19'!AH75+'20'!AH75+'22'!AH75+'18'!AH75+'21'!AH75+'25'!AH75+'23'!AH75+'26'!AH75+'24'!AH75+'28'!AH75+'27'!AH75+'29'!AH75+'31'!AH75+'30'!AH75</f>
        <v>0</v>
      </c>
      <c r="AI75" s="127">
        <f>+'1'!AI75+'3'!AI75+'2'!AI75+'6'!AI75+'5'!AI75+'4'!AI75+'8'!AI75+'7'!AI75+'10'!AI75+'9'!AI75+'11'!AI75+'12'!AI75+'13'!AI75+'15'!AI75+'14'!AI75+'16'!AI75+'17'!AI75+'19'!AI75+'20'!AI75+'22'!AI75+'18'!AI75+'21'!AI75+'25'!AI75+'23'!AI75+'26'!AI75+'24'!AI75+'28'!AI75+'27'!AI75+'29'!AI75+'31'!AI75+'30'!AI75</f>
        <v>0</v>
      </c>
      <c r="AJ75" s="129">
        <f>+'1'!AJ75+'3'!AJ75+'2'!AJ75+'6'!AJ75+'5'!AJ75+'4'!AJ75+'8'!AJ75+'7'!AJ75+'10'!AJ75+'9'!AJ75+'11'!AJ75+'12'!AJ75+'13'!AJ75+'15'!AJ75+'14'!AJ75+'16'!AJ75+'17'!AJ75+'19'!AJ75+'20'!AJ75+'22'!AJ75+'18'!AJ75+'21'!AJ75+'25'!AJ75+'23'!AJ75+'26'!AJ75+'24'!AJ75+'28'!AJ75+'27'!AJ75+'29'!AJ75+'31'!AJ75+'30'!AJ75</f>
        <v>0</v>
      </c>
      <c r="AK75" s="128">
        <f>+'1'!AK75+'3'!AK75+'2'!AK75+'6'!AK75+'5'!AK75+'4'!AK75+'8'!AK75+'7'!AK75+'10'!AK75+'9'!AK75+'11'!AK75+'12'!AK75+'13'!AK75+'15'!AK75+'14'!AK75+'16'!AK75+'17'!AK75+'19'!AK75+'20'!AK75+'22'!AK75+'18'!AK75+'21'!AK75+'25'!AK75+'23'!AK75+'26'!AK75+'24'!AK75+'28'!AK75+'27'!AK75+'29'!AK75+'31'!AK75+'30'!AK75</f>
        <v>0</v>
      </c>
      <c r="AL75" s="92">
        <f t="shared" si="8"/>
        <v>0</v>
      </c>
      <c r="AM75" s="122" t="str">
        <f t="shared" si="9"/>
        <v>OK</v>
      </c>
    </row>
    <row r="76" spans="1:39" ht="17.25" thickBot="1">
      <c r="A76" s="68" t="s">
        <v>150</v>
      </c>
      <c r="B76" s="78">
        <v>22886</v>
      </c>
      <c r="C76" s="95" t="s">
        <v>151</v>
      </c>
      <c r="D76" s="83"/>
      <c r="E76" s="83"/>
      <c r="F76" s="83"/>
      <c r="G76" s="84"/>
      <c r="H76" s="26">
        <f>+'1'!H76+'3'!H76+'2'!H76+'6'!H76+'5'!H76+'4'!H76+'8'!H76+'7'!H76+'10'!H76+'9'!H76+'11'!H76+'12'!H76+'13'!H76+'15'!H76+'14'!H76+'16'!H76+'17'!H76+'19'!H76+'20'!H76+'22'!H76+'18'!H76+'21'!H76+'25'!H76+'23'!H76+'26'!H76+'24'!H76+'28'!H76+'27'!H76+'29'!H76+'31'!H76+'30'!H76</f>
        <v>39529</v>
      </c>
      <c r="I76" s="27">
        <f>+'1'!I76+'3'!I76+'2'!I76+'6'!I76+'5'!I76+'4'!I76+'8'!I76+'7'!I76+'10'!I76+'9'!I76+'11'!I76+'12'!I76+'13'!I76+'15'!I76+'14'!I76+'16'!I76+'17'!I76+'19'!I76+'20'!I76+'22'!I76+'18'!I76+'21'!I76+'25'!I76+'23'!I76+'26'!I76+'24'!I76+'28'!I76+'27'!I76+'29'!I76+'31'!I76+'30'!I76</f>
        <v>6</v>
      </c>
      <c r="J76" s="27"/>
      <c r="K76" s="16"/>
      <c r="L76" s="27">
        <f>+'1'!L76+'3'!L76+'2'!L76+'6'!L76+'5'!L76+'4'!L76+'8'!L76+'7'!L76+'10'!L76+'9'!L76+'11'!L76+'12'!L76+'13'!L76+'15'!L76+'14'!L76+'16'!L76+'17'!L76+'19'!L76+'20'!L76+'22'!L76+'18'!L76+'21'!L76+'25'!L76+'23'!L76+'26'!L76+'24'!L76+'28'!L76+'27'!L76+'29'!L76+'31'!L76+'30'!L76</f>
        <v>0</v>
      </c>
      <c r="M76" s="27">
        <f>+'1'!M76+'3'!M76+'2'!M76+'6'!M76+'5'!M76+'4'!M76+'8'!M76+'7'!M76+'10'!M76+'9'!M76+'11'!M76+'12'!M76+'13'!M76+'15'!M76+'14'!M76+'16'!M76+'17'!M76+'19'!M76+'20'!M76+'22'!M76+'18'!M76+'21'!M76+'25'!M76+'23'!M76+'26'!M76+'24'!M76+'28'!M76+'27'!M76+'29'!M76+'31'!M76+'30'!M76</f>
        <v>0</v>
      </c>
      <c r="N76" s="27">
        <f>+'1'!N76+'3'!N76+'2'!N76+'6'!N76+'5'!N76+'4'!N76+'8'!N76+'7'!N76+'10'!N76+'9'!N76+'11'!N76+'12'!N76+'13'!N76+'15'!N76+'14'!N76+'16'!N76+'17'!N76+'19'!N76+'20'!N76+'22'!N76+'18'!N76+'21'!N76+'25'!N76+'23'!N76+'26'!N76+'24'!N76+'28'!N76+'27'!N76+'29'!N76+'31'!N76+'30'!N76</f>
        <v>0</v>
      </c>
      <c r="O76" s="27">
        <f>+'1'!O76+'3'!O76+'2'!O76+'6'!O76+'5'!O76+'4'!O76+'8'!O76+'7'!O76+'10'!O76+'9'!O76+'11'!O76+'12'!O76+'13'!O76+'15'!O76+'14'!O76+'16'!O76+'17'!O76+'19'!O76+'20'!O76+'22'!O76+'18'!O76+'21'!O76+'25'!O76+'23'!O76+'26'!O76+'24'!O76+'28'!O76+'27'!O76+'29'!O76+'31'!O76+'30'!O76</f>
        <v>0</v>
      </c>
      <c r="P76" s="27">
        <f>+'1'!P76+'3'!P76+'2'!P76+'6'!P76+'5'!P76+'4'!P76+'8'!P76+'7'!P76+'10'!P76+'9'!P76+'11'!P76+'12'!P76+'13'!P76+'15'!P76+'14'!P76+'16'!P76+'17'!P76+'19'!P76+'20'!P76+'22'!P76+'18'!P76+'21'!P76+'25'!P76+'23'!P76+'26'!P76+'24'!P76+'28'!P76+'27'!P76+'29'!P76+'31'!P76+'30'!P76</f>
        <v>0</v>
      </c>
      <c r="Q76" s="27">
        <f>+'1'!Q76+'3'!Q76+'2'!Q76+'6'!Q76+'5'!Q76+'4'!Q76+'8'!Q76+'7'!Q76+'10'!Q76+'9'!Q76+'11'!Q76+'12'!Q76+'13'!Q76+'15'!Q76+'14'!Q76+'16'!Q76+'17'!Q76+'19'!Q76+'20'!Q76+'22'!Q76+'18'!Q76+'21'!Q76+'25'!Q76+'23'!Q76+'26'!Q76+'24'!Q76+'28'!Q76+'27'!Q76+'29'!Q76+'31'!Q76+'30'!Q76</f>
        <v>0</v>
      </c>
      <c r="R76" s="27">
        <f>+'1'!R76+'3'!R76+'2'!R76+'6'!R76+'5'!R76+'4'!R76+'8'!R76+'7'!R76+'10'!R76+'9'!R76+'11'!R76+'12'!R76+'13'!R76+'15'!R76+'14'!R76+'16'!R76+'17'!R76+'19'!R76+'20'!R76+'22'!R76+'18'!R76+'21'!R76+'25'!R76+'23'!R76+'26'!R76+'24'!R76+'28'!R76+'27'!R76+'29'!R76+'31'!R76+'30'!R76</f>
        <v>0</v>
      </c>
      <c r="S76" s="27">
        <f>+'1'!S76+'3'!S76+'2'!S76+'6'!S76+'5'!S76+'4'!S76+'8'!S76+'7'!S76+'10'!S76+'9'!S76+'11'!S76+'12'!S76+'13'!S76+'15'!S76+'14'!S76+'16'!S76+'17'!S76+'19'!S76+'20'!S76+'22'!S76+'18'!S76+'21'!S76+'25'!S76+'23'!S76+'26'!S76+'24'!S76+'28'!S76+'27'!S76+'29'!S76+'31'!S76+'30'!S76</f>
        <v>0</v>
      </c>
      <c r="T76" s="43">
        <f>+'1'!T76+'3'!T76+'2'!T76+'6'!T76+'5'!T76+'4'!T76+'8'!T76+'7'!T76+'10'!T76+'9'!T76+'11'!T76+'12'!T76+'13'!T76+'15'!T76+'14'!T76+'16'!T76+'17'!T76+'19'!T76+'20'!T76+'22'!T76+'18'!T76+'21'!T76+'25'!T76+'23'!T76+'26'!T76+'24'!T76+'28'!T76+'27'!T76+'29'!T76+'31'!T76+'30'!T76</f>
        <v>0</v>
      </c>
      <c r="U76" s="52">
        <f>+'1'!U76+'3'!U76+'2'!U76+'6'!U76+'5'!U76+'4'!U76+'8'!U76+'7'!U76+'10'!U76+'9'!U76+'11'!U76+'12'!U76+'13'!U76+'15'!U76+'14'!U76+'16'!U76+'17'!U76+'19'!U76+'20'!U76+'22'!U76+'18'!U76+'21'!U76+'25'!U76+'23'!U76+'26'!U76+'24'!U76+'28'!U76+'27'!U76+'29'!U76+'31'!U76+'30'!U76</f>
        <v>0</v>
      </c>
      <c r="V76" s="52">
        <f>+'1'!V76+'3'!V76+'2'!V76+'6'!V76+'5'!V76+'4'!V76+'8'!V76+'7'!V76+'10'!V76+'9'!V76+'11'!V76+'12'!V76+'13'!V76+'15'!V76+'14'!V76+'16'!V76+'17'!V76+'19'!V76+'20'!V76+'22'!V76+'18'!V76+'21'!V76+'25'!V76+'23'!V76+'26'!V76+'24'!V76+'28'!V76+'27'!V76+'29'!V76+'31'!V76+'30'!V76</f>
        <v>0</v>
      </c>
      <c r="W76" s="52">
        <f>+'1'!W76+'3'!W76+'2'!W76+'6'!W76+'5'!W76+'4'!W76+'8'!W76+'7'!W76+'10'!W76+'9'!W76+'11'!W76+'12'!W76+'13'!W76+'15'!W76+'14'!W76+'16'!W76+'17'!W76+'19'!W76+'20'!W76+'22'!W76+'18'!W76+'21'!W76+'25'!W76+'23'!W76+'26'!W76+'24'!W76+'28'!W76+'27'!W76+'29'!W76+'31'!W76+'30'!W76</f>
        <v>0</v>
      </c>
      <c r="X76" s="52">
        <f>+'1'!X76+'3'!X76+'2'!X76+'6'!X76+'5'!X76+'4'!X76+'8'!X76+'7'!X76+'10'!X76+'9'!X76+'11'!X76+'12'!X76+'13'!X76+'15'!X76+'14'!X76+'16'!X76+'17'!X76+'19'!X76+'20'!X76+'22'!X76+'18'!X76+'21'!X76+'25'!X76+'23'!X76+'26'!X76+'24'!X76+'28'!X76+'27'!X76+'29'!X76+'31'!X76+'30'!X76</f>
        <v>0</v>
      </c>
      <c r="Y76" s="52">
        <f>+'1'!Y76+'3'!Y76+'2'!Y76+'6'!Y76+'5'!Y76+'4'!Y76+'8'!Y76+'7'!Y76+'10'!Y76+'9'!Y76+'11'!Y76+'12'!Y76+'13'!Y76+'15'!Y76+'14'!Y76+'16'!Y76+'17'!Y76+'19'!Y76+'20'!Y76+'22'!Y76+'18'!Y76+'21'!Y76+'25'!Y76+'23'!Y76+'26'!Y76+'24'!Y76+'28'!Y76+'27'!Y76+'29'!Y76+'31'!Y76+'30'!Y76</f>
        <v>1</v>
      </c>
      <c r="Z76" s="52">
        <f>+'1'!Z76+'3'!Z76+'2'!Z76+'6'!Z76+'5'!Z76+'4'!Z76+'8'!Z76+'7'!Z76+'10'!Z76+'9'!Z76+'11'!Z76+'12'!Z76+'13'!Z76+'15'!Z76+'14'!Z76+'16'!Z76+'17'!Z76+'19'!Z76+'20'!Z76+'22'!Z76+'18'!Z76+'21'!Z76+'25'!Z76+'23'!Z76+'26'!Z76+'24'!Z76+'28'!Z76+'27'!Z76+'29'!Z76+'31'!Z76+'30'!Z76</f>
        <v>0</v>
      </c>
      <c r="AA76" s="52">
        <f>+'1'!AA76+'3'!AA76+'2'!AA76+'6'!AA76+'5'!AA76+'4'!AA76+'8'!AA76+'7'!AA76+'10'!AA76+'9'!AA76+'11'!AA76+'12'!AA76+'13'!AA76+'15'!AA76+'14'!AA76+'16'!AA76+'17'!AA76+'19'!AA76+'20'!AA76+'22'!AA76+'18'!AA76+'21'!AA76+'25'!AA76+'23'!AA76+'26'!AA76+'24'!AA76+'28'!AA76+'27'!AA76+'29'!AA76+'31'!AA76+'30'!AA76</f>
        <v>0</v>
      </c>
      <c r="AB76" s="52">
        <f>+'1'!AB76+'3'!AB76+'2'!AB76+'6'!AB76+'5'!AB76+'4'!AB76+'8'!AB76+'7'!AB76+'10'!AB76+'9'!AB76+'11'!AB76+'12'!AB76+'13'!AB76+'15'!AB76+'14'!AB76+'16'!AB76+'17'!AB76+'19'!AB76+'20'!AB76+'22'!AB76+'18'!AB76+'21'!AB76+'25'!AB76+'23'!AB76+'26'!AB76+'24'!AB76+'28'!AB76+'27'!AB76+'29'!AB76+'31'!AB76+'30'!AB76</f>
        <v>0</v>
      </c>
      <c r="AC76" s="52">
        <f>+'1'!AC76+'3'!AC76+'2'!AC76+'6'!AC76+'5'!AC76+'4'!AC76+'8'!AC76+'7'!AC76+'10'!AC76+'9'!AC76+'11'!AC76+'12'!AC76+'13'!AC76+'15'!AC76+'14'!AC76+'16'!AC76+'17'!AC76+'19'!AC76+'20'!AC76+'22'!AC76+'18'!AC76+'21'!AC76+'25'!AC76+'23'!AC76+'26'!AC76+'24'!AC76+'28'!AC76+'27'!AC76+'29'!AC76+'31'!AC76+'30'!AC76</f>
        <v>0</v>
      </c>
      <c r="AD76" s="52">
        <f>+'1'!AD76+'3'!AD76+'2'!AD76+'6'!AD76+'5'!AD76+'4'!AD76+'8'!AD76+'7'!AD76+'10'!AD76+'9'!AD76+'11'!AD76+'12'!AD76+'13'!AD76+'15'!AD76+'14'!AD76+'16'!AD76+'17'!AD76+'19'!AD76+'20'!AD76+'22'!AD76+'18'!AD76+'21'!AD76+'25'!AD76+'23'!AD76+'26'!AD76+'24'!AD76+'28'!AD76+'27'!AD76+'29'!AD76+'31'!AD76+'30'!AD76</f>
        <v>0</v>
      </c>
      <c r="AE76" s="52">
        <f>+'1'!AE76+'3'!AE76+'2'!AE76+'6'!AE76+'5'!AE76+'4'!AE76+'8'!AE76+'7'!AE76+'10'!AE76+'9'!AE76+'11'!AE76+'12'!AE76+'13'!AE76+'15'!AE76+'14'!AE76+'16'!AE76+'17'!AE76+'19'!AE76+'20'!AE76+'22'!AE76+'18'!AE76+'21'!AE76+'25'!AE76+'23'!AE76+'26'!AE76+'24'!AE76+'28'!AE76+'27'!AE76+'29'!AE76+'31'!AE76+'30'!AE76</f>
        <v>0</v>
      </c>
      <c r="AF76" s="52">
        <f>+'1'!AF76+'3'!AF76+'2'!AF76+'6'!AF76+'5'!AF76+'4'!AF76+'8'!AF76+'7'!AF76+'10'!AF76+'9'!AF76+'11'!AF76+'12'!AF76+'13'!AF76+'15'!AF76+'14'!AF76+'16'!AF76+'17'!AF76+'19'!AF76+'20'!AF76+'22'!AF76+'18'!AF76+'21'!AF76+'25'!AF76+'23'!AF76+'26'!AF76+'24'!AF76+'28'!AF76+'27'!AF76+'29'!AF76+'31'!AF76+'30'!AF76</f>
        <v>0</v>
      </c>
      <c r="AG76" s="52">
        <f>+'1'!AG76+'3'!AG76+'2'!AG76+'6'!AG76+'5'!AG76+'4'!AG76+'8'!AG76+'7'!AG76+'10'!AG76+'9'!AG76+'11'!AG76+'12'!AG76+'13'!AG76+'15'!AG76+'14'!AG76+'16'!AG76+'17'!AG76+'19'!AG76+'20'!AG76+'22'!AG76+'18'!AG76+'21'!AG76+'25'!AG76+'23'!AG76+'26'!AG76+'24'!AG76+'28'!AG76+'27'!AG76+'29'!AG76+'31'!AG76+'30'!AG76</f>
        <v>0</v>
      </c>
      <c r="AH76" s="52">
        <f>+'1'!AH76+'3'!AH76+'2'!AH76+'6'!AH76+'5'!AH76+'4'!AH76+'8'!AH76+'7'!AH76+'10'!AH76+'9'!AH76+'11'!AH76+'12'!AH76+'13'!AH76+'15'!AH76+'14'!AH76+'16'!AH76+'17'!AH76+'19'!AH76+'20'!AH76+'22'!AH76+'18'!AH76+'21'!AH76+'25'!AH76+'23'!AH76+'26'!AH76+'24'!AH76+'28'!AH76+'27'!AH76+'29'!AH76+'31'!AH76+'30'!AH76</f>
        <v>0</v>
      </c>
      <c r="AI76" s="52">
        <f>+'1'!AI76+'3'!AI76+'2'!AI76+'6'!AI76+'5'!AI76+'4'!AI76+'8'!AI76+'7'!AI76+'10'!AI76+'9'!AI76+'11'!AI76+'12'!AI76+'13'!AI76+'15'!AI76+'14'!AI76+'16'!AI76+'17'!AI76+'19'!AI76+'20'!AI76+'22'!AI76+'18'!AI76+'21'!AI76+'25'!AI76+'23'!AI76+'26'!AI76+'24'!AI76+'28'!AI76+'27'!AI76+'29'!AI76+'31'!AI76+'30'!AI76</f>
        <v>5</v>
      </c>
      <c r="AJ76" s="58">
        <f>+'1'!AJ76+'3'!AJ76+'2'!AJ76+'6'!AJ76+'5'!AJ76+'4'!AJ76+'8'!AJ76+'7'!AJ76+'10'!AJ76+'9'!AJ76+'11'!AJ76+'12'!AJ76+'13'!AJ76+'15'!AJ76+'14'!AJ76+'16'!AJ76+'17'!AJ76+'19'!AJ76+'20'!AJ76+'22'!AJ76+'18'!AJ76+'21'!AJ76+'25'!AJ76+'23'!AJ76+'26'!AJ76+'24'!AJ76+'28'!AJ76+'27'!AJ76+'29'!AJ76+'31'!AJ76+'30'!AJ76</f>
        <v>0</v>
      </c>
      <c r="AK76" s="55">
        <f>+'1'!AK76+'3'!AK76+'2'!AK76+'6'!AK76+'5'!AK76+'4'!AK76+'8'!AK76+'7'!AK76+'10'!AK76+'9'!AK76+'11'!AK76+'12'!AK76+'13'!AK76+'15'!AK76+'14'!AK76+'16'!AK76+'17'!AK76+'19'!AK76+'20'!AK76+'22'!AK76+'18'!AK76+'21'!AK76+'25'!AK76+'23'!AK76+'26'!AK76+'24'!AK76+'28'!AK76+'27'!AK76+'29'!AK76+'31'!AK76+'30'!AK76</f>
        <v>0</v>
      </c>
      <c r="AL76" s="66">
        <f t="shared" si="8"/>
        <v>6</v>
      </c>
      <c r="AM76" s="28" t="str">
        <f t="shared" si="9"/>
        <v>OK</v>
      </c>
    </row>
    <row r="77" spans="1:39" ht="17.25" hidden="1" thickBot="1">
      <c r="A77" s="87" t="s">
        <v>165</v>
      </c>
      <c r="B77" s="93">
        <v>13007</v>
      </c>
      <c r="C77" s="130" t="s">
        <v>164</v>
      </c>
      <c r="D77" s="88"/>
      <c r="E77" s="88"/>
      <c r="F77" s="88"/>
      <c r="G77" s="89"/>
      <c r="H77" s="124">
        <f>+'1'!H77+'3'!H77+'2'!H77+'6'!H77+'5'!H77+'4'!H77+'8'!H77+'7'!H77+'10'!H77+'9'!H77+'11'!H77+'12'!H77+'13'!H77+'15'!H77+'14'!H77+'16'!H77+'17'!H77+'19'!H77+'20'!H77+'22'!H77+'18'!H77+'21'!H77+'25'!H77+'23'!H77+'26'!H77+'24'!H77+'28'!H77+'27'!H77+'29'!H77+'31'!H77+'30'!H77</f>
        <v>0</v>
      </c>
      <c r="I77" s="21">
        <f>+'1'!I77+'3'!I77+'2'!I77+'6'!I77+'5'!I77+'4'!I77+'8'!I77+'7'!I77+'10'!I77+'9'!I77+'11'!I77+'12'!I77+'13'!I77+'15'!I77+'14'!I77+'16'!I77+'17'!I77+'19'!I77+'20'!I77+'22'!I77+'18'!I77+'21'!I77+'25'!I77+'23'!I77+'26'!I77+'24'!I77+'28'!I77+'27'!I77+'29'!I77+'31'!I77+'30'!I77</f>
        <v>0</v>
      </c>
      <c r="J77" s="125"/>
      <c r="K77" s="91"/>
      <c r="L77" s="125">
        <f>+'1'!L77+'3'!L77+'2'!L77+'6'!L77+'5'!L77+'4'!L77+'8'!L77+'7'!L77+'10'!L77+'9'!L77+'11'!L77+'12'!L77+'13'!L77+'15'!L77+'14'!L77+'16'!L77+'17'!L77+'19'!L77+'20'!L77+'22'!L77+'18'!L77+'21'!L77+'25'!L77+'23'!L77+'26'!L77+'24'!L77+'28'!L77+'27'!L77+'29'!L77+'31'!L77+'30'!L77</f>
        <v>0</v>
      </c>
      <c r="M77" s="125">
        <f>+'1'!M77+'3'!M77+'2'!M77+'6'!M77+'5'!M77+'4'!M77+'8'!M77+'7'!M77+'10'!M77+'9'!M77+'11'!M77+'12'!M77+'13'!M77+'15'!M77+'14'!M77+'16'!M77+'17'!M77+'19'!M77+'20'!M77+'22'!M77+'18'!M77+'21'!M77+'25'!M77+'23'!M77+'26'!M77+'24'!M77+'28'!M77+'27'!M77+'29'!M77+'31'!M77+'30'!M77</f>
        <v>0</v>
      </c>
      <c r="N77" s="125">
        <f>+'1'!N77+'3'!N77+'2'!N77+'6'!N77+'5'!N77+'4'!N77+'8'!N77+'7'!N77+'10'!N77+'9'!N77+'11'!N77+'12'!N77+'13'!N77+'15'!N77+'14'!N77+'16'!N77+'17'!N77+'19'!N77+'20'!N77+'22'!N77+'18'!N77+'21'!N77+'25'!N77+'23'!N77+'26'!N77+'24'!N77+'28'!N77+'27'!N77+'29'!N77+'31'!N77+'30'!N77</f>
        <v>0</v>
      </c>
      <c r="O77" s="125">
        <f>+'1'!O77+'3'!O77+'2'!O77+'6'!O77+'5'!O77+'4'!O77+'8'!O77+'7'!O77+'10'!O77+'9'!O77+'11'!O77+'12'!O77+'13'!O77+'15'!O77+'14'!O77+'16'!O77+'17'!O77+'19'!O77+'20'!O77+'22'!O77+'18'!O77+'21'!O77+'25'!O77+'23'!O77+'26'!O77+'24'!O77+'28'!O77+'27'!O77+'29'!O77+'31'!O77+'30'!O77</f>
        <v>0</v>
      </c>
      <c r="P77" s="125">
        <f>+'1'!P77+'3'!P77+'2'!P77+'6'!P77+'5'!P77+'4'!P77+'8'!P77+'7'!P77+'10'!P77+'9'!P77+'11'!P77+'12'!P77+'13'!P77+'15'!P77+'14'!P77+'16'!P77+'17'!P77+'19'!P77+'20'!P77+'22'!P77+'18'!P77+'21'!P77+'25'!P77+'23'!P77+'26'!P77+'24'!P77+'28'!P77+'27'!P77+'29'!P77+'31'!P77+'30'!P77</f>
        <v>0</v>
      </c>
      <c r="Q77" s="125">
        <f>+'1'!Q77+'3'!Q77+'2'!Q77+'6'!Q77+'5'!Q77+'4'!Q77+'8'!Q77+'7'!Q77+'10'!Q77+'9'!Q77+'11'!Q77+'12'!Q77+'13'!Q77+'15'!Q77+'14'!Q77+'16'!Q77+'17'!Q77+'19'!Q77+'20'!Q77+'22'!Q77+'18'!Q77+'21'!Q77+'25'!Q77+'23'!Q77+'26'!Q77+'24'!Q77+'28'!Q77+'27'!Q77+'29'!Q77+'31'!Q77+'30'!Q77</f>
        <v>0</v>
      </c>
      <c r="R77" s="125">
        <f>+'1'!R77+'3'!R77+'2'!R77+'6'!R77+'5'!R77+'4'!R77+'8'!R77+'7'!R77+'10'!R77+'9'!R77+'11'!R77+'12'!R77+'13'!R77+'15'!R77+'14'!R77+'16'!R77+'17'!R77+'19'!R77+'20'!R77+'22'!R77+'18'!R77+'21'!R77+'25'!R77+'23'!R77+'26'!R77+'24'!R77+'28'!R77+'27'!R77+'29'!R77+'31'!R77+'30'!R77</f>
        <v>0</v>
      </c>
      <c r="S77" s="125">
        <f>+'1'!S77+'3'!S77+'2'!S77+'6'!S77+'5'!S77+'4'!S77+'8'!S77+'7'!S77+'10'!S77+'9'!S77+'11'!S77+'12'!S77+'13'!S77+'15'!S77+'14'!S77+'16'!S77+'17'!S77+'19'!S77+'20'!S77+'22'!S77+'18'!S77+'21'!S77+'25'!S77+'23'!S77+'26'!S77+'24'!S77+'28'!S77+'27'!S77+'29'!S77+'31'!S77+'30'!S77</f>
        <v>0</v>
      </c>
      <c r="T77" s="126">
        <f>+'1'!T77+'3'!T77+'2'!T77+'6'!T77+'5'!T77+'4'!T77+'8'!T77+'7'!T77+'10'!T77+'9'!T77+'11'!T77+'12'!T77+'13'!T77+'15'!T77+'14'!T77+'16'!T77+'17'!T77+'19'!T77+'20'!T77+'22'!T77+'18'!T77+'21'!T77+'25'!T77+'23'!T77+'26'!T77+'24'!T77+'28'!T77+'27'!T77+'29'!T77+'31'!T77+'30'!T77</f>
        <v>0</v>
      </c>
      <c r="U77" s="127">
        <f>+'1'!U77+'3'!U77+'2'!U77+'6'!U77+'5'!U77+'4'!U77+'8'!U77+'7'!U77+'10'!U77+'9'!U77+'11'!U77+'12'!U77+'13'!U77+'15'!U77+'14'!U77+'16'!U77+'17'!U77+'19'!U77+'20'!U77+'22'!U77+'18'!U77+'21'!U77+'25'!U77+'23'!U77+'26'!U77+'24'!U77+'28'!U77+'27'!U77+'29'!U77+'31'!U77+'30'!U77</f>
        <v>0</v>
      </c>
      <c r="V77" s="127">
        <f>+'1'!V77+'3'!V77+'2'!V77+'6'!V77+'5'!V77+'4'!V77+'8'!V77+'7'!V77+'10'!V77+'9'!V77+'11'!V77+'12'!V77+'13'!V77+'15'!V77+'14'!V77+'16'!V77+'17'!V77+'19'!V77+'20'!V77+'22'!V77+'18'!V77+'21'!V77+'25'!V77+'23'!V77+'26'!V77+'24'!V77+'28'!V77+'27'!V77+'29'!V77+'31'!V77+'30'!V77</f>
        <v>0</v>
      </c>
      <c r="W77" s="127">
        <f>+'1'!W77+'3'!W77+'2'!W77+'6'!W77+'5'!W77+'4'!W77+'8'!W77+'7'!W77+'10'!W77+'9'!W77+'11'!W77+'12'!W77+'13'!W77+'15'!W77+'14'!W77+'16'!W77+'17'!W77+'19'!W77+'20'!W77+'22'!W77+'18'!W77+'21'!W77+'25'!W77+'23'!W77+'26'!W77+'24'!W77+'28'!W77+'27'!W77+'29'!W77+'31'!W77+'30'!W77</f>
        <v>0</v>
      </c>
      <c r="X77" s="127">
        <f>+'1'!X77+'3'!X77+'2'!X77+'6'!X77+'5'!X77+'4'!X77+'8'!X77+'7'!X77+'10'!X77+'9'!X77+'11'!X77+'12'!X77+'13'!X77+'15'!X77+'14'!X77+'16'!X77+'17'!X77+'19'!X77+'20'!X77+'22'!X77+'18'!X77+'21'!X77+'25'!X77+'23'!X77+'26'!X77+'24'!X77+'28'!X77+'27'!X77+'29'!X77+'31'!X77+'30'!X77</f>
        <v>0</v>
      </c>
      <c r="Y77" s="127">
        <f>+'1'!Y77+'3'!Y77+'2'!Y77+'6'!Y77+'5'!Y77+'4'!Y77+'8'!Y77+'7'!Y77+'10'!Y77+'9'!Y77+'11'!Y77+'12'!Y77+'13'!Y77+'15'!Y77+'14'!Y77+'16'!Y77+'17'!Y77+'19'!Y77+'20'!Y77+'22'!Y77+'18'!Y77+'21'!Y77+'25'!Y77+'23'!Y77+'26'!Y77+'24'!Y77+'28'!Y77+'27'!Y77+'29'!Y77+'31'!Y77+'30'!Y77</f>
        <v>0</v>
      </c>
      <c r="Z77" s="127">
        <f>+'1'!Z77+'3'!Z77+'2'!Z77+'6'!Z77+'5'!Z77+'4'!Z77+'8'!Z77+'7'!Z77+'10'!Z77+'9'!Z77+'11'!Z77+'12'!Z77+'13'!Z77+'15'!Z77+'14'!Z77+'16'!Z77+'17'!Z77+'19'!Z77+'20'!Z77+'22'!Z77+'18'!Z77+'21'!Z77+'25'!Z77+'23'!Z77+'26'!Z77+'24'!Z77+'28'!Z77+'27'!Z77+'29'!Z77+'31'!Z77+'30'!Z77</f>
        <v>0</v>
      </c>
      <c r="AA77" s="127">
        <f>+'1'!AA77+'3'!AA77+'2'!AA77+'6'!AA77+'5'!AA77+'4'!AA77+'8'!AA77+'7'!AA77+'10'!AA77+'9'!AA77+'11'!AA77+'12'!AA77+'13'!AA77+'15'!AA77+'14'!AA77+'16'!AA77+'17'!AA77+'19'!AA77+'20'!AA77+'22'!AA77+'18'!AA77+'21'!AA77+'25'!AA77+'23'!AA77+'26'!AA77+'24'!AA77+'28'!AA77+'27'!AA77+'29'!AA77+'31'!AA77+'30'!AA77</f>
        <v>0</v>
      </c>
      <c r="AB77" s="127">
        <f>+'1'!AB77+'3'!AB77+'2'!AB77+'6'!AB77+'5'!AB77+'4'!AB77+'8'!AB77+'7'!AB77+'10'!AB77+'9'!AB77+'11'!AB77+'12'!AB77+'13'!AB77+'15'!AB77+'14'!AB77+'16'!AB77+'17'!AB77+'19'!AB77+'20'!AB77+'22'!AB77+'18'!AB77+'21'!AB77+'25'!AB77+'23'!AB77+'26'!AB77+'24'!AB77+'28'!AB77+'27'!AB77+'29'!AB77+'31'!AB77+'30'!AB77</f>
        <v>0</v>
      </c>
      <c r="AC77" s="127">
        <f>+'1'!AC77+'3'!AC77+'2'!AC77+'6'!AC77+'5'!AC77+'4'!AC77+'8'!AC77+'7'!AC77+'10'!AC77+'9'!AC77+'11'!AC77+'12'!AC77+'13'!AC77+'15'!AC77+'14'!AC77+'16'!AC77+'17'!AC77+'19'!AC77+'20'!AC77+'22'!AC77+'18'!AC77+'21'!AC77+'25'!AC77+'23'!AC77+'26'!AC77+'24'!AC77+'28'!AC77+'27'!AC77+'29'!AC77+'31'!AC77+'30'!AC77</f>
        <v>0</v>
      </c>
      <c r="AD77" s="127">
        <f>+'1'!AD77+'3'!AD77+'2'!AD77+'6'!AD77+'5'!AD77+'4'!AD77+'8'!AD77+'7'!AD77+'10'!AD77+'9'!AD77+'11'!AD77+'12'!AD77+'13'!AD77+'15'!AD77+'14'!AD77+'16'!AD77+'17'!AD77+'19'!AD77+'20'!AD77+'22'!AD77+'18'!AD77+'21'!AD77+'25'!AD77+'23'!AD77+'26'!AD77+'24'!AD77+'28'!AD77+'27'!AD77+'29'!AD77+'31'!AD77+'30'!AD77</f>
        <v>0</v>
      </c>
      <c r="AE77" s="127">
        <f>+'1'!AE77+'3'!AE77+'2'!AE77+'6'!AE77+'5'!AE77+'4'!AE77+'8'!AE77+'7'!AE77+'10'!AE77+'9'!AE77+'11'!AE77+'12'!AE77+'13'!AE77+'15'!AE77+'14'!AE77+'16'!AE77+'17'!AE77+'19'!AE77+'20'!AE77+'22'!AE77+'18'!AE77+'21'!AE77+'25'!AE77+'23'!AE77+'26'!AE77+'24'!AE77+'28'!AE77+'27'!AE77+'29'!AE77+'31'!AE77+'30'!AE77</f>
        <v>0</v>
      </c>
      <c r="AF77" s="127">
        <f>+'1'!AF77+'3'!AF77+'2'!AF77+'6'!AF77+'5'!AF77+'4'!AF77+'8'!AF77+'7'!AF77+'10'!AF77+'9'!AF77+'11'!AF77+'12'!AF77+'13'!AF77+'15'!AF77+'14'!AF77+'16'!AF77+'17'!AF77+'19'!AF77+'20'!AF77+'22'!AF77+'18'!AF77+'21'!AF77+'25'!AF77+'23'!AF77+'26'!AF77+'24'!AF77+'28'!AF77+'27'!AF77+'29'!AF77+'31'!AF77+'30'!AF77</f>
        <v>0</v>
      </c>
      <c r="AG77" s="127">
        <f>+'1'!AG77+'3'!AG77+'2'!AG77+'6'!AG77+'5'!AG77+'4'!AG77+'8'!AG77+'7'!AG77+'10'!AG77+'9'!AG77+'11'!AG77+'12'!AG77+'13'!AG77+'15'!AG77+'14'!AG77+'16'!AG77+'17'!AG77+'19'!AG77+'20'!AG77+'22'!AG77+'18'!AG77+'21'!AG77+'25'!AG77+'23'!AG77+'26'!AG77+'24'!AG77+'28'!AG77+'27'!AG77+'29'!AG77+'31'!AG77+'30'!AG77</f>
        <v>0</v>
      </c>
      <c r="AH77" s="127">
        <f>+'1'!AH77+'3'!AH77+'2'!AH77+'6'!AH77+'5'!AH77+'4'!AH77+'8'!AH77+'7'!AH77+'10'!AH77+'9'!AH77+'11'!AH77+'12'!AH77+'13'!AH77+'15'!AH77+'14'!AH77+'16'!AH77+'17'!AH77+'19'!AH77+'20'!AH77+'22'!AH77+'18'!AH77+'21'!AH77+'25'!AH77+'23'!AH77+'26'!AH77+'24'!AH77+'28'!AH77+'27'!AH77+'29'!AH77+'31'!AH77+'30'!AH77</f>
        <v>0</v>
      </c>
      <c r="AI77" s="128">
        <f>+'1'!AI77+'3'!AI77+'2'!AI77+'6'!AI77+'5'!AI77+'4'!AI77+'8'!AI77+'7'!AI77+'10'!AI77+'9'!AI77+'11'!AI77+'12'!AI77+'13'!AI77+'15'!AI77+'14'!AI77+'16'!AI77+'17'!AI77+'19'!AI77+'20'!AI77+'22'!AI77+'18'!AI77+'21'!AI77+'25'!AI77+'23'!AI77+'26'!AI77+'24'!AI77+'28'!AI77+'27'!AI77+'29'!AI77+'31'!AI77+'30'!AI77</f>
        <v>0</v>
      </c>
      <c r="AJ77" s="129">
        <f>+'1'!AJ77+'3'!AJ77+'2'!AJ77+'6'!AJ77+'5'!AJ77+'4'!AJ77+'8'!AJ77+'7'!AJ77+'10'!AJ77+'9'!AJ77+'11'!AJ77+'12'!AJ77+'13'!AJ77+'15'!AJ77+'14'!AJ77+'16'!AJ77+'17'!AJ77+'19'!AJ77+'20'!AJ77+'22'!AJ77+'18'!AJ77+'21'!AJ77+'25'!AJ77+'23'!AJ77+'26'!AJ77+'24'!AJ77+'28'!AJ77+'27'!AJ77+'29'!AJ77+'31'!AJ77+'30'!AJ77</f>
        <v>0</v>
      </c>
      <c r="AK77" s="128">
        <f>+'1'!AK77+'3'!AK77+'2'!AK77+'6'!AK77+'5'!AK77+'4'!AK77+'8'!AK77+'7'!AK77+'10'!AK77+'9'!AK77+'11'!AK77+'12'!AK77+'13'!AK77+'15'!AK77+'14'!AK77+'16'!AK77+'17'!AK77+'19'!AK77+'20'!AK77+'22'!AK77+'18'!AK77+'21'!AK77+'25'!AK77+'23'!AK77+'26'!AK77+'24'!AK77+'28'!AK77+'27'!AK77+'29'!AK77+'31'!AK77+'30'!AK77</f>
        <v>0</v>
      </c>
      <c r="AL77" s="92">
        <f t="shared" si="8"/>
        <v>0</v>
      </c>
      <c r="AM77" s="122" t="str">
        <f t="shared" si="9"/>
        <v>OK</v>
      </c>
    </row>
    <row r="78" spans="1:39" ht="17.25" hidden="1" thickBot="1">
      <c r="A78" s="68"/>
      <c r="B78" s="78"/>
      <c r="C78" s="23"/>
      <c r="D78" s="83"/>
      <c r="E78" s="83"/>
      <c r="F78" s="83"/>
      <c r="G78" s="84"/>
      <c r="H78" s="26">
        <f>+'1'!H78+'3'!H78+'2'!H78+'6'!H78+'5'!H78+'4'!H78+'8'!H78+'7'!H78+'10'!H78+'9'!H78+'11'!H78+'12'!H78+'13'!H78+'15'!H78+'14'!H78+'16'!H78+'17'!H78+'19'!H78+'20'!H78+'22'!H78+'18'!H78+'21'!H78+'25'!H78+'23'!H78+'26'!H78+'24'!H78+'28'!H78+'27'!H78+'29'!H78+'31'!H78+'30'!H78</f>
        <v>0</v>
      </c>
      <c r="I78" s="27">
        <f>+'1'!I78+'3'!I78+'2'!I78+'6'!I78+'5'!I78+'4'!I78+'8'!I78+'7'!I78+'10'!I78+'9'!I78+'11'!I78+'12'!I78+'13'!I78+'15'!I78+'14'!I78+'16'!I78+'17'!I78+'19'!I78+'20'!I78+'22'!I78+'18'!I78+'21'!I78+'25'!I78+'23'!I78+'26'!I78+'24'!I78+'28'!I78+'27'!I78+'29'!I78+'31'!I78+'30'!I78</f>
        <v>0</v>
      </c>
      <c r="J78" s="27"/>
      <c r="K78" s="16"/>
      <c r="L78" s="27">
        <f>+'1'!L78+'3'!L78+'2'!L78+'6'!L78+'5'!L78+'4'!L78+'8'!L78+'7'!L78+'10'!L78+'9'!L78+'11'!L78+'12'!L78+'13'!L78+'15'!L78+'14'!L78+'16'!L78+'17'!L78+'19'!L78+'20'!L78+'22'!L78+'18'!L78+'21'!L78+'25'!L78+'23'!L78+'26'!L78+'24'!L78+'28'!L78+'27'!L78+'29'!L78+'31'!L78+'30'!L78</f>
        <v>0</v>
      </c>
      <c r="M78" s="27">
        <f>+'1'!M78+'3'!M78+'2'!M78+'6'!M78+'5'!M78+'4'!M78+'8'!M78+'7'!M78+'10'!M78+'9'!M78+'11'!M78+'12'!M78+'13'!M78+'15'!M78+'14'!M78+'16'!M78+'17'!M78+'19'!M78+'20'!M78+'22'!M78+'18'!M78+'21'!M78+'25'!M78+'23'!M78+'26'!M78+'24'!M78+'28'!M78+'27'!M78+'29'!M78+'31'!M78+'30'!M78</f>
        <v>0</v>
      </c>
      <c r="N78" s="27">
        <f>+'1'!N78+'3'!N78+'2'!N78+'6'!N78+'5'!N78+'4'!N78+'8'!N78+'7'!N78+'10'!N78+'9'!N78+'11'!N78+'12'!N78+'13'!N78+'15'!N78+'14'!N78+'16'!N78+'17'!N78+'19'!N78+'20'!N78+'22'!N78+'18'!N78+'21'!N78+'25'!N78+'23'!N78+'26'!N78+'24'!N78+'28'!N78+'27'!N78+'29'!N78+'31'!N78+'30'!N78</f>
        <v>0</v>
      </c>
      <c r="O78" s="27">
        <f>+'1'!O78+'3'!O78+'2'!O78+'6'!O78+'5'!O78+'4'!O78+'8'!O78+'7'!O78+'10'!O78+'9'!O78+'11'!O78+'12'!O78+'13'!O78+'15'!O78+'14'!O78+'16'!O78+'17'!O78+'19'!O78+'20'!O78+'22'!O78+'18'!O78+'21'!O78+'25'!O78+'23'!O78+'26'!O78+'24'!O78+'28'!O78+'27'!O78+'29'!O78+'31'!O78+'30'!O78</f>
        <v>0</v>
      </c>
      <c r="P78" s="27">
        <f>+'1'!P78+'3'!P78+'2'!P78+'6'!P78+'5'!P78+'4'!P78+'8'!P78+'7'!P78+'10'!P78+'9'!P78+'11'!P78+'12'!P78+'13'!P78+'15'!P78+'14'!P78+'16'!P78+'17'!P78+'19'!P78+'20'!P78+'22'!P78+'18'!P78+'21'!P78+'25'!P78+'23'!P78+'26'!P78+'24'!P78+'28'!P78+'27'!P78+'29'!P78+'31'!P78+'30'!P78</f>
        <v>0</v>
      </c>
      <c r="Q78" s="27">
        <f>+'1'!Q78+'3'!Q78+'2'!Q78+'6'!Q78+'5'!Q78+'4'!Q78+'8'!Q78+'7'!Q78+'10'!Q78+'9'!Q78+'11'!Q78+'12'!Q78+'13'!Q78+'15'!Q78+'14'!Q78+'16'!Q78+'17'!Q78+'19'!Q78+'20'!Q78+'22'!Q78+'18'!Q78+'21'!Q78+'25'!Q78+'23'!Q78+'26'!Q78+'24'!Q78+'28'!Q78+'27'!Q78+'29'!Q78+'31'!Q78+'30'!Q78</f>
        <v>0</v>
      </c>
      <c r="R78" s="27">
        <f>+'1'!R78+'3'!R78+'2'!R78+'6'!R78+'5'!R78+'4'!R78+'8'!R78+'7'!R78+'10'!R78+'9'!R78+'11'!R78+'12'!R78+'13'!R78+'15'!R78+'14'!R78+'16'!R78+'17'!R78+'19'!R78+'20'!R78+'22'!R78+'18'!R78+'21'!R78+'25'!R78+'23'!R78+'26'!R78+'24'!R78+'28'!R78+'27'!R78+'29'!R78+'31'!R78+'30'!R78</f>
        <v>0</v>
      </c>
      <c r="S78" s="27">
        <f>+'1'!S78+'3'!S78+'2'!S78+'6'!S78+'5'!S78+'4'!S78+'8'!S78+'7'!S78+'10'!S78+'9'!S78+'11'!S78+'12'!S78+'13'!S78+'15'!S78+'14'!S78+'16'!S78+'17'!S78+'19'!S78+'20'!S78+'22'!S78+'18'!S78+'21'!S78+'25'!S78+'23'!S78+'26'!S78+'24'!S78+'28'!S78+'27'!S78+'29'!S78+'31'!S78+'30'!S78</f>
        <v>0</v>
      </c>
      <c r="T78" s="43">
        <f>+'1'!T78+'3'!T78+'2'!T78+'6'!T78+'5'!T78+'4'!T78+'8'!T78+'7'!T78+'10'!T78+'9'!T78+'11'!T78+'12'!T78+'13'!T78+'15'!T78+'14'!T78+'16'!T78+'17'!T78+'19'!T78+'20'!T78+'22'!T78+'18'!T78+'21'!T78+'25'!T78+'23'!T78+'26'!T78+'24'!T78+'28'!T78+'27'!T78+'29'!T78+'31'!T78+'30'!T78</f>
        <v>0</v>
      </c>
      <c r="U78" s="52">
        <f>+'1'!U78+'3'!U78+'2'!U78+'6'!U78+'5'!U78+'4'!U78+'8'!U78+'7'!U78+'10'!U78+'9'!U78+'11'!U78+'12'!U78+'13'!U78+'15'!U78+'14'!U78+'16'!U78+'17'!U78+'19'!U78+'20'!U78+'22'!U78+'18'!U78+'21'!U78+'25'!U78+'23'!U78+'26'!U78+'24'!U78+'28'!U78+'27'!U78+'29'!U78+'31'!U78+'30'!U78</f>
        <v>0</v>
      </c>
      <c r="V78" s="52">
        <f>+'1'!V78+'3'!V78+'2'!V78+'6'!V78+'5'!V78+'4'!V78+'8'!V78+'7'!V78+'10'!V78+'9'!V78+'11'!V78+'12'!V78+'13'!V78+'15'!V78+'14'!V78+'16'!V78+'17'!V78+'19'!V78+'20'!V78+'22'!V78+'18'!V78+'21'!V78+'25'!V78+'23'!V78+'26'!V78+'24'!V78+'28'!V78+'27'!V78+'29'!V78+'31'!V78+'30'!V78</f>
        <v>0</v>
      </c>
      <c r="W78" s="52">
        <f>+'1'!W78+'3'!W78+'2'!W78+'6'!W78+'5'!W78+'4'!W78+'8'!W78+'7'!W78+'10'!W78+'9'!W78+'11'!W78+'12'!W78+'13'!W78+'15'!W78+'14'!W78+'16'!W78+'17'!W78+'19'!W78+'20'!W78+'22'!W78+'18'!W78+'21'!W78+'25'!W78+'23'!W78+'26'!W78+'24'!W78+'28'!W78+'27'!W78+'29'!W78+'31'!W78+'30'!W78</f>
        <v>0</v>
      </c>
      <c r="X78" s="52">
        <f>+'1'!X78+'3'!X78+'2'!X78+'6'!X78+'5'!X78+'4'!X78+'8'!X78+'7'!X78+'10'!X78+'9'!X78+'11'!X78+'12'!X78+'13'!X78+'15'!X78+'14'!X78+'16'!X78+'17'!X78+'19'!X78+'20'!X78+'22'!X78+'18'!X78+'21'!X78+'25'!X78+'23'!X78+'26'!X78+'24'!X78+'28'!X78+'27'!X78+'29'!X78+'31'!X78+'30'!X78</f>
        <v>0</v>
      </c>
      <c r="Y78" s="52">
        <f>+'1'!Y78+'3'!Y78+'2'!Y78+'6'!Y78+'5'!Y78+'4'!Y78+'8'!Y78+'7'!Y78+'10'!Y78+'9'!Y78+'11'!Y78+'12'!Y78+'13'!Y78+'15'!Y78+'14'!Y78+'16'!Y78+'17'!Y78+'19'!Y78+'20'!Y78+'22'!Y78+'18'!Y78+'21'!Y78+'25'!Y78+'23'!Y78+'26'!Y78+'24'!Y78+'28'!Y78+'27'!Y78+'29'!Y78+'31'!Y78+'30'!Y78</f>
        <v>0</v>
      </c>
      <c r="Z78" s="52">
        <f>+'1'!Z78+'3'!Z78+'2'!Z78+'6'!Z78+'5'!Z78+'4'!Z78+'8'!Z78+'7'!Z78+'10'!Z78+'9'!Z78+'11'!Z78+'12'!Z78+'13'!Z78+'15'!Z78+'14'!Z78+'16'!Z78+'17'!Z78+'19'!Z78+'20'!Z78+'22'!Z78+'18'!Z78+'21'!Z78+'25'!Z78+'23'!Z78+'26'!Z78+'24'!Z78+'28'!Z78+'27'!Z78+'29'!Z78+'31'!Z78+'30'!Z78</f>
        <v>0</v>
      </c>
      <c r="AA78" s="52">
        <f>+'1'!AA78+'3'!AA78+'2'!AA78+'6'!AA78+'5'!AA78+'4'!AA78+'8'!AA78+'7'!AA78+'10'!AA78+'9'!AA78+'11'!AA78+'12'!AA78+'13'!AA78+'15'!AA78+'14'!AA78+'16'!AA78+'17'!AA78+'19'!AA78+'20'!AA78+'22'!AA78+'18'!AA78+'21'!AA78+'25'!AA78+'23'!AA78+'26'!AA78+'24'!AA78+'28'!AA78+'27'!AA78+'29'!AA78+'31'!AA78+'30'!AA78</f>
        <v>0</v>
      </c>
      <c r="AB78" s="52">
        <f>+'1'!AB78+'3'!AB78+'2'!AB78+'6'!AB78+'5'!AB78+'4'!AB78+'8'!AB78+'7'!AB78+'10'!AB78+'9'!AB78+'11'!AB78+'12'!AB78+'13'!AB78+'15'!AB78+'14'!AB78+'16'!AB78+'17'!AB78+'19'!AB78+'20'!AB78+'22'!AB78+'18'!AB78+'21'!AB78+'25'!AB78+'23'!AB78+'26'!AB78+'24'!AB78+'28'!AB78+'27'!AB78+'29'!AB78+'31'!AB78+'30'!AB78</f>
        <v>0</v>
      </c>
      <c r="AC78" s="52">
        <f>+'1'!AC78+'3'!AC78+'2'!AC78+'6'!AC78+'5'!AC78+'4'!AC78+'8'!AC78+'7'!AC78+'10'!AC78+'9'!AC78+'11'!AC78+'12'!AC78+'13'!AC78+'15'!AC78+'14'!AC78+'16'!AC78+'17'!AC78+'19'!AC78+'20'!AC78+'22'!AC78+'18'!AC78+'21'!AC78+'25'!AC78+'23'!AC78+'26'!AC78+'24'!AC78+'28'!AC78+'27'!AC78+'29'!AC78+'31'!AC78+'30'!AC78</f>
        <v>0</v>
      </c>
      <c r="AD78" s="52">
        <f>+'1'!AD78+'3'!AD78+'2'!AD78+'6'!AD78+'5'!AD78+'4'!AD78+'8'!AD78+'7'!AD78+'10'!AD78+'9'!AD78+'11'!AD78+'12'!AD78+'13'!AD78+'15'!AD78+'14'!AD78+'16'!AD78+'17'!AD78+'19'!AD78+'20'!AD78+'22'!AD78+'18'!AD78+'21'!AD78+'25'!AD78+'23'!AD78+'26'!AD78+'24'!AD78+'28'!AD78+'27'!AD78+'29'!AD78+'31'!AD78+'30'!AD78</f>
        <v>0</v>
      </c>
      <c r="AE78" s="52">
        <f>+'1'!AE78+'3'!AE78+'2'!AE78+'6'!AE78+'5'!AE78+'4'!AE78+'8'!AE78+'7'!AE78+'10'!AE78+'9'!AE78+'11'!AE78+'12'!AE78+'13'!AE78+'15'!AE78+'14'!AE78+'16'!AE78+'17'!AE78+'19'!AE78+'20'!AE78+'22'!AE78+'18'!AE78+'21'!AE78+'25'!AE78+'23'!AE78+'26'!AE78+'24'!AE78+'28'!AE78+'27'!AE78+'29'!AE78+'31'!AE78+'30'!AE78</f>
        <v>0</v>
      </c>
      <c r="AF78" s="52">
        <f>+'1'!AF78+'3'!AF78+'2'!AF78+'6'!AF78+'5'!AF78+'4'!AF78+'8'!AF78+'7'!AF78+'10'!AF78+'9'!AF78+'11'!AF78+'12'!AF78+'13'!AF78+'15'!AF78+'14'!AF78+'16'!AF78+'17'!AF78+'19'!AF78+'20'!AF78+'22'!AF78+'18'!AF78+'21'!AF78+'25'!AF78+'23'!AF78+'26'!AF78+'24'!AF78+'28'!AF78+'27'!AF78+'29'!AF78+'31'!AF78+'30'!AF78</f>
        <v>0</v>
      </c>
      <c r="AG78" s="52">
        <f>+'1'!AG78+'3'!AG78+'2'!AG78+'6'!AG78+'5'!AG78+'4'!AG78+'8'!AG78+'7'!AG78+'10'!AG78+'9'!AG78+'11'!AG78+'12'!AG78+'13'!AG78+'15'!AG78+'14'!AG78+'16'!AG78+'17'!AG78+'19'!AG78+'20'!AG78+'22'!AG78+'18'!AG78+'21'!AG78+'25'!AG78+'23'!AG78+'26'!AG78+'24'!AG78+'28'!AG78+'27'!AG78+'29'!AG78+'31'!AG78+'30'!AG78</f>
        <v>0</v>
      </c>
      <c r="AH78" s="52">
        <f>+'1'!AH78+'3'!AH78+'2'!AH78+'6'!AH78+'5'!AH78+'4'!AH78+'8'!AH78+'7'!AH78+'10'!AH78+'9'!AH78+'11'!AH78+'12'!AH78+'13'!AH78+'15'!AH78+'14'!AH78+'16'!AH78+'17'!AH78+'19'!AH78+'20'!AH78+'22'!AH78+'18'!AH78+'21'!AH78+'25'!AH78+'23'!AH78+'26'!AH78+'24'!AH78+'28'!AH78+'27'!AH78+'29'!AH78+'31'!AH78+'30'!AH78</f>
        <v>0</v>
      </c>
      <c r="AI78" s="55">
        <f>+'1'!AI78+'3'!AI78+'2'!AI78+'6'!AI78+'5'!AI78+'4'!AI78+'8'!AI78+'7'!AI78+'10'!AI78+'9'!AI78+'11'!AI78+'12'!AI78+'13'!AI78+'15'!AI78+'14'!AI78+'16'!AI78+'17'!AI78+'19'!AI78+'20'!AI78+'22'!AI78+'18'!AI78+'21'!AI78+'25'!AI78+'23'!AI78+'26'!AI78+'24'!AI78+'28'!AI78+'27'!AI78+'29'!AI78+'31'!AI78+'30'!AI78</f>
        <v>0</v>
      </c>
      <c r="AJ78" s="58">
        <f>+'1'!AJ78+'3'!AJ78+'2'!AJ78+'6'!AJ78+'5'!AJ78+'4'!AJ78+'8'!AJ78+'7'!AJ78+'10'!AJ78+'9'!AJ78+'11'!AJ78+'12'!AJ78+'13'!AJ78+'15'!AJ78+'14'!AJ78+'16'!AJ78+'17'!AJ78+'19'!AJ78+'20'!AJ78+'22'!AJ78+'18'!AJ78+'21'!AJ78+'25'!AJ78+'23'!AJ78+'26'!AJ78+'24'!AJ78+'28'!AJ78+'27'!AJ78+'29'!AJ78+'31'!AJ78+'30'!AJ78</f>
        <v>0</v>
      </c>
      <c r="AK78" s="55">
        <f>+'1'!AK78+'3'!AK78+'2'!AK78+'6'!AK78+'5'!AK78+'4'!AK78+'8'!AK78+'7'!AK78+'10'!AK78+'9'!AK78+'11'!AK78+'12'!AK78+'13'!AK78+'15'!AK78+'14'!AK78+'16'!AK78+'17'!AK78+'19'!AK78+'20'!AK78+'22'!AK78+'18'!AK78+'21'!AK78+'25'!AK78+'23'!AK78+'26'!AK78+'24'!AK78+'28'!AK78+'27'!AK78+'29'!AK78+'31'!AK78+'30'!AK78</f>
        <v>0</v>
      </c>
      <c r="AL78" s="66">
        <f t="shared" si="8"/>
        <v>0</v>
      </c>
      <c r="AM78" s="28" t="str">
        <f t="shared" si="9"/>
        <v>OK</v>
      </c>
    </row>
    <row r="79" spans="1:39" ht="17.25" hidden="1" thickBot="1">
      <c r="A79" s="87"/>
      <c r="B79" s="93"/>
      <c r="C79" s="130"/>
      <c r="D79" s="88"/>
      <c r="E79" s="88"/>
      <c r="F79" s="88"/>
      <c r="G79" s="89"/>
      <c r="H79" s="124">
        <f>+'1'!H79+'3'!H79+'2'!H79+'6'!H79+'5'!H79+'4'!H79+'8'!H79+'7'!H79+'10'!H79+'9'!H79+'11'!H79+'12'!H79+'13'!H79+'15'!H79+'14'!H79+'16'!H79+'17'!H79+'19'!H79+'20'!H79+'22'!H79+'18'!H79+'21'!H79+'25'!H79+'23'!H79+'26'!H79+'24'!H79+'28'!H79+'27'!H79+'29'!H79+'31'!H79+'30'!H79</f>
        <v>0</v>
      </c>
      <c r="I79" s="125">
        <f>+'1'!I79+'3'!I79+'2'!I79+'6'!I79+'5'!I79+'4'!I79+'8'!I79+'7'!I79+'10'!I79+'9'!I79+'11'!I79+'12'!I79+'13'!I79+'15'!I79+'14'!I79+'16'!I79+'17'!I79+'19'!I79+'20'!I79+'22'!I79+'18'!I79+'21'!I79+'25'!I79+'23'!I79+'26'!I79+'24'!I79+'28'!I79+'27'!I79+'29'!I79+'31'!I79+'30'!I79</f>
        <v>0</v>
      </c>
      <c r="J79" s="125"/>
      <c r="K79" s="91"/>
      <c r="L79" s="125">
        <f>+'1'!L79+'3'!L79+'2'!L79+'6'!L79+'5'!L79+'4'!L79+'8'!L79+'7'!L79+'10'!L79+'9'!L79+'11'!L79+'12'!L79+'13'!L79+'15'!L79+'14'!L79+'16'!L79+'17'!L79+'19'!L79+'20'!L79+'22'!L79+'18'!L79+'21'!L79+'25'!L79+'23'!L79+'26'!L79+'24'!L79+'28'!L79+'27'!L79+'29'!L79+'31'!L79+'30'!L79</f>
        <v>0</v>
      </c>
      <c r="M79" s="125">
        <f>+'1'!M79+'3'!M79+'2'!M79+'6'!M79+'5'!M79+'4'!M79+'8'!M79+'7'!M79+'10'!M79+'9'!M79+'11'!M79+'12'!M79+'13'!M79+'15'!M79+'14'!M79+'16'!M79+'17'!M79+'19'!M79+'20'!M79+'22'!M79+'18'!M79+'21'!M79+'25'!M79+'23'!M79+'26'!M79+'24'!M79+'28'!M79+'27'!M79+'29'!M79+'31'!M79+'30'!M79</f>
        <v>0</v>
      </c>
      <c r="N79" s="125">
        <f>+'1'!N79+'3'!N79+'2'!N79+'6'!N79+'5'!N79+'4'!N79+'8'!N79+'7'!N79+'10'!N79+'9'!N79+'11'!N79+'12'!N79+'13'!N79+'15'!N79+'14'!N79+'16'!N79+'17'!N79+'19'!N79+'20'!N79+'22'!N79+'18'!N79+'21'!N79+'25'!N79+'23'!N79+'26'!N79+'24'!N79+'28'!N79+'27'!N79+'29'!N79+'31'!N79+'30'!N79</f>
        <v>0</v>
      </c>
      <c r="O79" s="125">
        <f>+'1'!O79+'3'!O79+'2'!O79+'6'!O79+'5'!O79+'4'!O79+'8'!O79+'7'!O79+'10'!O79+'9'!O79+'11'!O79+'12'!O79+'13'!O79+'15'!O79+'14'!O79+'16'!O79+'17'!O79+'19'!O79+'20'!O79+'22'!O79+'18'!O79+'21'!O79+'25'!O79+'23'!O79+'26'!O79+'24'!O79+'28'!O79+'27'!O79+'29'!O79+'31'!O79+'30'!O79</f>
        <v>0</v>
      </c>
      <c r="P79" s="125">
        <f>+'1'!P79+'3'!P79+'2'!P79+'6'!P79+'5'!P79+'4'!P79+'8'!P79+'7'!P79+'10'!P79+'9'!P79+'11'!P79+'12'!P79+'13'!P79+'15'!P79+'14'!P79+'16'!P79+'17'!P79+'19'!P79+'20'!P79+'22'!P79+'18'!P79+'21'!P79+'25'!P79+'23'!P79+'26'!P79+'24'!P79+'28'!P79+'27'!P79+'29'!P79+'31'!P79+'30'!P79</f>
        <v>0</v>
      </c>
      <c r="Q79" s="125">
        <f>+'1'!Q79+'3'!Q79+'2'!Q79+'6'!Q79+'5'!Q79+'4'!Q79+'8'!Q79+'7'!Q79+'10'!Q79+'9'!Q79+'11'!Q79+'12'!Q79+'13'!Q79+'15'!Q79+'14'!Q79+'16'!Q79+'17'!Q79+'19'!Q79+'20'!Q79+'22'!Q79+'18'!Q79+'21'!Q79+'25'!Q79+'23'!Q79+'26'!Q79+'24'!Q79+'28'!Q79+'27'!Q79+'29'!Q79+'31'!Q79+'30'!Q79</f>
        <v>0</v>
      </c>
      <c r="R79" s="125">
        <f>+'1'!R79+'3'!R79+'2'!R79+'6'!R79+'5'!R79+'4'!R79+'8'!R79+'7'!R79+'10'!R79+'9'!R79+'11'!R79+'12'!R79+'13'!R79+'15'!R79+'14'!R79+'16'!R79+'17'!R79+'19'!R79+'20'!R79+'22'!R79+'18'!R79+'21'!R79+'25'!R79+'23'!R79+'26'!R79+'24'!R79+'28'!R79+'27'!R79+'29'!R79+'31'!R79+'30'!R79</f>
        <v>0</v>
      </c>
      <c r="S79" s="125">
        <f>+'1'!S79+'3'!S79+'2'!S79+'6'!S79+'5'!S79+'4'!S79+'8'!S79+'7'!S79+'10'!S79+'9'!S79+'11'!S79+'12'!S79+'13'!S79+'15'!S79+'14'!S79+'16'!S79+'17'!S79+'19'!S79+'20'!S79+'22'!S79+'18'!S79+'21'!S79+'25'!S79+'23'!S79+'26'!S79+'24'!S79+'28'!S79+'27'!S79+'29'!S79+'31'!S79+'30'!S79</f>
        <v>0</v>
      </c>
      <c r="T79" s="126">
        <f>+'1'!T79+'3'!T79+'2'!T79+'6'!T79+'5'!T79+'4'!T79+'8'!T79+'7'!T79+'10'!T79+'9'!T79+'11'!T79+'12'!T79+'13'!T79+'15'!T79+'14'!T79+'16'!T79+'17'!T79+'19'!T79+'20'!T79+'22'!T79+'18'!T79+'21'!T79+'25'!T79+'23'!T79+'26'!T79+'24'!T79+'28'!T79+'27'!T79+'29'!T79+'31'!T79+'30'!T79</f>
        <v>0</v>
      </c>
      <c r="U79" s="127">
        <f>+'1'!U79+'3'!U79+'2'!U79+'6'!U79+'5'!U79+'4'!U79+'8'!U79+'7'!U79+'10'!U79+'9'!U79+'11'!U79+'12'!U79+'13'!U79+'15'!U79+'14'!U79+'16'!U79+'17'!U79+'19'!U79+'20'!U79+'22'!U79+'18'!U79+'21'!U79+'25'!U79+'23'!U79+'26'!U79+'24'!U79+'28'!U79+'27'!U79+'29'!U79+'31'!U79+'30'!U79</f>
        <v>0</v>
      </c>
      <c r="V79" s="127">
        <f>+'1'!V79+'3'!V79+'2'!V79+'6'!V79+'5'!V79+'4'!V79+'8'!V79+'7'!V79+'10'!V79+'9'!V79+'11'!V79+'12'!V79+'13'!V79+'15'!V79+'14'!V79+'16'!V79+'17'!V79+'19'!V79+'20'!V79+'22'!V79+'18'!V79+'21'!V79+'25'!V79+'23'!V79+'26'!V79+'24'!V79+'28'!V79+'27'!V79+'29'!V79+'31'!V79+'30'!V79</f>
        <v>0</v>
      </c>
      <c r="W79" s="127">
        <f>+'1'!W79+'3'!W79+'2'!W79+'6'!W79+'5'!W79+'4'!W79+'8'!W79+'7'!W79+'10'!W79+'9'!W79+'11'!W79+'12'!W79+'13'!W79+'15'!W79+'14'!W79+'16'!W79+'17'!W79+'19'!W79+'20'!W79+'22'!W79+'18'!W79+'21'!W79+'25'!W79+'23'!W79+'26'!W79+'24'!W79+'28'!W79+'27'!W79+'29'!W79+'31'!W79+'30'!W79</f>
        <v>0</v>
      </c>
      <c r="X79" s="127">
        <f>+'1'!X79+'3'!X79+'2'!X79+'6'!X79+'5'!X79+'4'!X79+'8'!X79+'7'!X79+'10'!X79+'9'!X79+'11'!X79+'12'!X79+'13'!X79+'15'!X79+'14'!X79+'16'!X79+'17'!X79+'19'!X79+'20'!X79+'22'!X79+'18'!X79+'21'!X79+'25'!X79+'23'!X79+'26'!X79+'24'!X79+'28'!X79+'27'!X79+'29'!X79+'31'!X79+'30'!X79</f>
        <v>0</v>
      </c>
      <c r="Y79" s="127">
        <f>+'1'!Y79+'3'!Y79+'2'!Y79+'6'!Y79+'5'!Y79+'4'!Y79+'8'!Y79+'7'!Y79+'10'!Y79+'9'!Y79+'11'!Y79+'12'!Y79+'13'!Y79+'15'!Y79+'14'!Y79+'16'!Y79+'17'!Y79+'19'!Y79+'20'!Y79+'22'!Y79+'18'!Y79+'21'!Y79+'25'!Y79+'23'!Y79+'26'!Y79+'24'!Y79+'28'!Y79+'27'!Y79+'29'!Y79+'31'!Y79+'30'!Y79</f>
        <v>0</v>
      </c>
      <c r="Z79" s="127">
        <f>+'1'!Z79+'3'!Z79+'2'!Z79+'6'!Z79+'5'!Z79+'4'!Z79+'8'!Z79+'7'!Z79+'10'!Z79+'9'!Z79+'11'!Z79+'12'!Z79+'13'!Z79+'15'!Z79+'14'!Z79+'16'!Z79+'17'!Z79+'19'!Z79+'20'!Z79+'22'!Z79+'18'!Z79+'21'!Z79+'25'!Z79+'23'!Z79+'26'!Z79+'24'!Z79+'28'!Z79+'27'!Z79+'29'!Z79+'31'!Z79+'30'!Z79</f>
        <v>0</v>
      </c>
      <c r="AA79" s="127">
        <f>+'1'!AA79+'3'!AA79+'2'!AA79+'6'!AA79+'5'!AA79+'4'!AA79+'8'!AA79+'7'!AA79+'10'!AA79+'9'!AA79+'11'!AA79+'12'!AA79+'13'!AA79+'15'!AA79+'14'!AA79+'16'!AA79+'17'!AA79+'19'!AA79+'20'!AA79+'22'!AA79+'18'!AA79+'21'!AA79+'25'!AA79+'23'!AA79+'26'!AA79+'24'!AA79+'28'!AA79+'27'!AA79+'29'!AA79+'31'!AA79+'30'!AA79</f>
        <v>0</v>
      </c>
      <c r="AB79" s="127">
        <f>+'1'!AB79+'3'!AB79+'2'!AB79+'6'!AB79+'5'!AB79+'4'!AB79+'8'!AB79+'7'!AB79+'10'!AB79+'9'!AB79+'11'!AB79+'12'!AB79+'13'!AB79+'15'!AB79+'14'!AB79+'16'!AB79+'17'!AB79+'19'!AB79+'20'!AB79+'22'!AB79+'18'!AB79+'21'!AB79+'25'!AB79+'23'!AB79+'26'!AB79+'24'!AB79+'28'!AB79+'27'!AB79+'29'!AB79+'31'!AB79+'30'!AB79</f>
        <v>0</v>
      </c>
      <c r="AC79" s="127">
        <f>+'1'!AC79+'3'!AC79+'2'!AC79+'6'!AC79+'5'!AC79+'4'!AC79+'8'!AC79+'7'!AC79+'10'!AC79+'9'!AC79+'11'!AC79+'12'!AC79+'13'!AC79+'15'!AC79+'14'!AC79+'16'!AC79+'17'!AC79+'19'!AC79+'20'!AC79+'22'!AC79+'18'!AC79+'21'!AC79+'25'!AC79+'23'!AC79+'26'!AC79+'24'!AC79+'28'!AC79+'27'!AC79+'29'!AC79+'31'!AC79+'30'!AC79</f>
        <v>0</v>
      </c>
      <c r="AD79" s="127">
        <f>+'1'!AD79+'3'!AD79+'2'!AD79+'6'!AD79+'5'!AD79+'4'!AD79+'8'!AD79+'7'!AD79+'10'!AD79+'9'!AD79+'11'!AD79+'12'!AD79+'13'!AD79+'15'!AD79+'14'!AD79+'16'!AD79+'17'!AD79+'19'!AD79+'20'!AD79+'22'!AD79+'18'!AD79+'21'!AD79+'25'!AD79+'23'!AD79+'26'!AD79+'24'!AD79+'28'!AD79+'27'!AD79+'29'!AD79+'31'!AD79+'30'!AD79</f>
        <v>0</v>
      </c>
      <c r="AE79" s="127">
        <f>+'1'!AE79+'3'!AE79+'2'!AE79+'6'!AE79+'5'!AE79+'4'!AE79+'8'!AE79+'7'!AE79+'10'!AE79+'9'!AE79+'11'!AE79+'12'!AE79+'13'!AE79+'15'!AE79+'14'!AE79+'16'!AE79+'17'!AE79+'19'!AE79+'20'!AE79+'22'!AE79+'18'!AE79+'21'!AE79+'25'!AE79+'23'!AE79+'26'!AE79+'24'!AE79+'28'!AE79+'27'!AE79+'29'!AE79+'31'!AE79+'30'!AE79</f>
        <v>0</v>
      </c>
      <c r="AF79" s="127">
        <f>+'1'!AF79+'3'!AF79+'2'!AF79+'6'!AF79+'5'!AF79+'4'!AF79+'8'!AF79+'7'!AF79+'10'!AF79+'9'!AF79+'11'!AF79+'12'!AF79+'13'!AF79+'15'!AF79+'14'!AF79+'16'!AF79+'17'!AF79+'19'!AF79+'20'!AF79+'22'!AF79+'18'!AF79+'21'!AF79+'25'!AF79+'23'!AF79+'26'!AF79+'24'!AF79+'28'!AF79+'27'!AF79+'29'!AF79+'31'!AF79+'30'!AF79</f>
        <v>0</v>
      </c>
      <c r="AG79" s="127">
        <f>+'1'!AG79+'3'!AG79+'2'!AG79+'6'!AG79+'5'!AG79+'4'!AG79+'8'!AG79+'7'!AG79+'10'!AG79+'9'!AG79+'11'!AG79+'12'!AG79+'13'!AG79+'15'!AG79+'14'!AG79+'16'!AG79+'17'!AG79+'19'!AG79+'20'!AG79+'22'!AG79+'18'!AG79+'21'!AG79+'25'!AG79+'23'!AG79+'26'!AG79+'24'!AG79+'28'!AG79+'27'!AG79+'29'!AG79+'31'!AG79+'30'!AG79</f>
        <v>0</v>
      </c>
      <c r="AH79" s="127">
        <f>+'1'!AH79+'3'!AH79+'2'!AH79+'6'!AH79+'5'!AH79+'4'!AH79+'8'!AH79+'7'!AH79+'10'!AH79+'9'!AH79+'11'!AH79+'12'!AH79+'13'!AH79+'15'!AH79+'14'!AH79+'16'!AH79+'17'!AH79+'19'!AH79+'20'!AH79+'22'!AH79+'18'!AH79+'21'!AH79+'25'!AH79+'23'!AH79+'26'!AH79+'24'!AH79+'28'!AH79+'27'!AH79+'29'!AH79+'31'!AH79+'30'!AH79</f>
        <v>0</v>
      </c>
      <c r="AI79" s="128">
        <f>+'1'!AI79+'3'!AI79+'2'!AI79+'6'!AI79+'5'!AI79+'4'!AI79+'8'!AI79+'7'!AI79+'10'!AI79+'9'!AI79+'11'!AI79+'12'!AI79+'13'!AI79+'15'!AI79+'14'!AI79+'16'!AI79+'17'!AI79+'19'!AI79+'20'!AI79+'22'!AI79+'18'!AI79+'21'!AI79+'25'!AI79+'23'!AI79+'26'!AI79+'24'!AI79+'28'!AI79+'27'!AI79+'29'!AI79+'31'!AI79+'30'!AI79</f>
        <v>0</v>
      </c>
      <c r="AJ79" s="129">
        <f>+'1'!AJ79+'3'!AJ79+'2'!AJ79+'6'!AJ79+'5'!AJ79+'4'!AJ79+'8'!AJ79+'7'!AJ79+'10'!AJ79+'9'!AJ79+'11'!AJ79+'12'!AJ79+'13'!AJ79+'15'!AJ79+'14'!AJ79+'16'!AJ79+'17'!AJ79+'19'!AJ79+'20'!AJ79+'22'!AJ79+'18'!AJ79+'21'!AJ79+'25'!AJ79+'23'!AJ79+'26'!AJ79+'24'!AJ79+'28'!AJ79+'27'!AJ79+'29'!AJ79+'31'!AJ79+'30'!AJ79</f>
        <v>0</v>
      </c>
      <c r="AK79" s="128">
        <f>+'1'!AK79+'3'!AK79+'2'!AK79+'6'!AK79+'5'!AK79+'4'!AK79+'8'!AK79+'7'!AK79+'10'!AK79+'9'!AK79+'11'!AK79+'12'!AK79+'13'!AK79+'15'!AK79+'14'!AK79+'16'!AK79+'17'!AK79+'19'!AK79+'20'!AK79+'22'!AK79+'18'!AK79+'21'!AK79+'25'!AK79+'23'!AK79+'26'!AK79+'24'!AK79+'28'!AK79+'27'!AK79+'29'!AK79+'31'!AK79+'30'!AK79</f>
        <v>0</v>
      </c>
      <c r="AL79" s="92">
        <f t="shared" si="8"/>
        <v>0</v>
      </c>
      <c r="AM79" s="122" t="str">
        <f t="shared" si="9"/>
        <v>OK</v>
      </c>
    </row>
    <row r="80" spans="1:39" ht="17.25" hidden="1" thickBot="1">
      <c r="A80" s="68"/>
      <c r="B80" s="78"/>
      <c r="C80" s="23"/>
      <c r="D80" s="83"/>
      <c r="E80" s="83"/>
      <c r="F80" s="83"/>
      <c r="G80" s="84"/>
      <c r="H80" s="26">
        <f>+'1'!H80+'3'!H80+'2'!H80+'6'!H80+'5'!H80+'4'!H80+'8'!H80+'7'!H80+'10'!H80+'9'!H80+'11'!H80+'12'!H80+'13'!H80+'15'!H80+'14'!H80+'16'!H80+'17'!H80+'19'!H80+'20'!H80+'22'!H80+'18'!H80+'21'!H80+'25'!H80+'23'!H80+'26'!H80+'24'!H80+'28'!H80+'27'!H80+'29'!H80+'31'!H80+'30'!H80</f>
        <v>0</v>
      </c>
      <c r="I80" s="27">
        <f>+'1'!I80+'3'!I80+'2'!I80+'6'!I80+'5'!I80+'4'!I80+'8'!I80+'7'!I80+'10'!I80+'9'!I80+'11'!I80+'12'!I80+'13'!I80+'15'!I80+'14'!I80+'16'!I80+'17'!I80+'19'!I80+'20'!I80+'22'!I80+'18'!I80+'21'!I80+'25'!I80+'23'!I80+'26'!I80+'24'!I80+'28'!I80+'27'!I80+'29'!I80+'31'!I80+'30'!I80</f>
        <v>0</v>
      </c>
      <c r="J80" s="27"/>
      <c r="K80" s="16"/>
      <c r="L80" s="27">
        <f>+'1'!L80+'3'!L80+'2'!L80+'6'!L80+'5'!L80+'4'!L80+'8'!L80+'7'!L80+'10'!L80+'9'!L80+'11'!L80+'12'!L80+'13'!L80+'15'!L80+'14'!L80+'16'!L80+'17'!L80+'19'!L80+'20'!L80+'22'!L80+'18'!L80+'21'!L80+'25'!L80+'23'!L80+'26'!L80+'24'!L80+'28'!L80+'27'!L80+'29'!L80+'31'!L80+'30'!L80</f>
        <v>0</v>
      </c>
      <c r="M80" s="27">
        <f>+'1'!M80+'3'!M80+'2'!M80+'6'!M80+'5'!M80+'4'!M80+'8'!M80+'7'!M80+'10'!M80+'9'!M80+'11'!M80+'12'!M80+'13'!M80+'15'!M80+'14'!M80+'16'!M80+'17'!M80+'19'!M80+'20'!M80+'22'!M80+'18'!M80+'21'!M80+'25'!M80+'23'!M80+'26'!M80+'24'!M80+'28'!M80+'27'!M80+'29'!M80+'31'!M80+'30'!M80</f>
        <v>0</v>
      </c>
      <c r="N80" s="27">
        <f>+'1'!N80+'3'!N80+'2'!N80+'6'!N80+'5'!N80+'4'!N80+'8'!N80+'7'!N80+'10'!N80+'9'!N80+'11'!N80+'12'!N80+'13'!N80+'15'!N80+'14'!N80+'16'!N80+'17'!N80+'19'!N80+'20'!N80+'22'!N80+'18'!N80+'21'!N80+'25'!N80+'23'!N80+'26'!N80+'24'!N80+'28'!N80+'27'!N80+'29'!N80+'31'!N80+'30'!N80</f>
        <v>0</v>
      </c>
      <c r="O80" s="27">
        <f>+'1'!O80+'3'!O80+'2'!O80+'6'!O80+'5'!O80+'4'!O80+'8'!O80+'7'!O80+'10'!O80+'9'!O80+'11'!O80+'12'!O80+'13'!O80+'15'!O80+'14'!O80+'16'!O80+'17'!O80+'19'!O80+'20'!O80+'22'!O80+'18'!O80+'21'!O80+'25'!O80+'23'!O80+'26'!O80+'24'!O80+'28'!O80+'27'!O80+'29'!O80+'31'!O80+'30'!O80</f>
        <v>0</v>
      </c>
      <c r="P80" s="27">
        <f>+'1'!P80+'3'!P80+'2'!P80+'6'!P80+'5'!P80+'4'!P80+'8'!P80+'7'!P80+'10'!P80+'9'!P80+'11'!P80+'12'!P80+'13'!P80+'15'!P80+'14'!P80+'16'!P80+'17'!P80+'19'!P80+'20'!P80+'22'!P80+'18'!P80+'21'!P80+'25'!P80+'23'!P80+'26'!P80+'24'!P80+'28'!P80+'27'!P80+'29'!P80+'31'!P80+'30'!P80</f>
        <v>0</v>
      </c>
      <c r="Q80" s="27">
        <f>+'1'!Q80+'3'!Q80+'2'!Q80+'6'!Q80+'5'!Q80+'4'!Q80+'8'!Q80+'7'!Q80+'10'!Q80+'9'!Q80+'11'!Q80+'12'!Q80+'13'!Q80+'15'!Q80+'14'!Q80+'16'!Q80+'17'!Q80+'19'!Q80+'20'!Q80+'22'!Q80+'18'!Q80+'21'!Q80+'25'!Q80+'23'!Q80+'26'!Q80+'24'!Q80+'28'!Q80+'27'!Q80+'29'!Q80+'31'!Q80+'30'!Q80</f>
        <v>0</v>
      </c>
      <c r="R80" s="27">
        <f>+'1'!R80+'3'!R80+'2'!R80+'6'!R80+'5'!R80+'4'!R80+'8'!R80+'7'!R80+'10'!R80+'9'!R80+'11'!R80+'12'!R80+'13'!R80+'15'!R80+'14'!R80+'16'!R80+'17'!R80+'19'!R80+'20'!R80+'22'!R80+'18'!R80+'21'!R80+'25'!R80+'23'!R80+'26'!R80+'24'!R80+'28'!R80+'27'!R80+'29'!R80+'31'!R80+'30'!R80</f>
        <v>0</v>
      </c>
      <c r="S80" s="27">
        <f>+'1'!S80+'3'!S80+'2'!S80+'6'!S80+'5'!S80+'4'!S80+'8'!S80+'7'!S80+'10'!S80+'9'!S80+'11'!S80+'12'!S80+'13'!S80+'15'!S80+'14'!S80+'16'!S80+'17'!S80+'19'!S80+'20'!S80+'22'!S80+'18'!S80+'21'!S80+'25'!S80+'23'!S80+'26'!S80+'24'!S80+'28'!S80+'27'!S80+'29'!S80+'31'!S80+'30'!S80</f>
        <v>0</v>
      </c>
      <c r="T80" s="43">
        <f>+'1'!T80+'3'!T80+'2'!T80+'6'!T80+'5'!T80+'4'!T80+'8'!T80+'7'!T80+'10'!T80+'9'!T80+'11'!T80+'12'!T80+'13'!T80+'15'!T80+'14'!T80+'16'!T80+'17'!T80+'19'!T80+'20'!T80+'22'!T80+'18'!T80+'21'!T80+'25'!T80+'23'!T80+'26'!T80+'24'!T80+'28'!T80+'27'!T80+'29'!T80+'31'!T80+'30'!T80</f>
        <v>0</v>
      </c>
      <c r="U80" s="52">
        <f>+'1'!U80+'3'!U80+'2'!U80+'6'!U80+'5'!U80+'4'!U80+'8'!U80+'7'!U80+'10'!U80+'9'!U80+'11'!U80+'12'!U80+'13'!U80+'15'!U80+'14'!U80+'16'!U80+'17'!U80+'19'!U80+'20'!U80+'22'!U80+'18'!U80+'21'!U80+'25'!U80+'23'!U80+'26'!U80+'24'!U80+'28'!U80+'27'!U80+'29'!U80+'31'!U80+'30'!U80</f>
        <v>0</v>
      </c>
      <c r="V80" s="52">
        <f>+'1'!V80+'3'!V80+'2'!V80+'6'!V80+'5'!V80+'4'!V80+'8'!V80+'7'!V80+'10'!V80+'9'!V80+'11'!V80+'12'!V80+'13'!V80+'15'!V80+'14'!V80+'16'!V80+'17'!V80+'19'!V80+'20'!V80+'22'!V80+'18'!V80+'21'!V80+'25'!V80+'23'!V80+'26'!V80+'24'!V80+'28'!V80+'27'!V80+'29'!V80+'31'!V80+'30'!V80</f>
        <v>0</v>
      </c>
      <c r="W80" s="52">
        <f>+'1'!W80+'3'!W80+'2'!W80+'6'!W80+'5'!W80+'4'!W80+'8'!W80+'7'!W80+'10'!W80+'9'!W80+'11'!W80+'12'!W80+'13'!W80+'15'!W80+'14'!W80+'16'!W80+'17'!W80+'19'!W80+'20'!W80+'22'!W80+'18'!W80+'21'!W80+'25'!W80+'23'!W80+'26'!W80+'24'!W80+'28'!W80+'27'!W80+'29'!W80+'31'!W80+'30'!W80</f>
        <v>0</v>
      </c>
      <c r="X80" s="52">
        <f>+'1'!X80+'3'!X80+'2'!X80+'6'!X80+'5'!X80+'4'!X80+'8'!X80+'7'!X80+'10'!X80+'9'!X80+'11'!X80+'12'!X80+'13'!X80+'15'!X80+'14'!X80+'16'!X80+'17'!X80+'19'!X80+'20'!X80+'22'!X80+'18'!X80+'21'!X80+'25'!X80+'23'!X80+'26'!X80+'24'!X80+'28'!X80+'27'!X80+'29'!X80+'31'!X80+'30'!X80</f>
        <v>0</v>
      </c>
      <c r="Y80" s="52">
        <f>+'1'!Y80+'3'!Y80+'2'!Y80+'6'!Y80+'5'!Y80+'4'!Y80+'8'!Y80+'7'!Y80+'10'!Y80+'9'!Y80+'11'!Y80+'12'!Y80+'13'!Y80+'15'!Y80+'14'!Y80+'16'!Y80+'17'!Y80+'19'!Y80+'20'!Y80+'22'!Y80+'18'!Y80+'21'!Y80+'25'!Y80+'23'!Y80+'26'!Y80+'24'!Y80+'28'!Y80+'27'!Y80+'29'!Y80+'31'!Y80+'30'!Y80</f>
        <v>0</v>
      </c>
      <c r="Z80" s="52">
        <f>+'1'!Z80+'3'!Z80+'2'!Z80+'6'!Z80+'5'!Z80+'4'!Z80+'8'!Z80+'7'!Z80+'10'!Z80+'9'!Z80+'11'!Z80+'12'!Z80+'13'!Z80+'15'!Z80+'14'!Z80+'16'!Z80+'17'!Z80+'19'!Z80+'20'!Z80+'22'!Z80+'18'!Z80+'21'!Z80+'25'!Z80+'23'!Z80+'26'!Z80+'24'!Z80+'28'!Z80+'27'!Z80+'29'!Z80+'31'!Z80+'30'!Z80</f>
        <v>0</v>
      </c>
      <c r="AA80" s="52">
        <f>+'1'!AA80+'3'!AA80+'2'!AA80+'6'!AA80+'5'!AA80+'4'!AA80+'8'!AA80+'7'!AA80+'10'!AA80+'9'!AA80+'11'!AA80+'12'!AA80+'13'!AA80+'15'!AA80+'14'!AA80+'16'!AA80+'17'!AA80+'19'!AA80+'20'!AA80+'22'!AA80+'18'!AA80+'21'!AA80+'25'!AA80+'23'!AA80+'26'!AA80+'24'!AA80+'28'!AA80+'27'!AA80+'29'!AA80+'31'!AA80+'30'!AA80</f>
        <v>0</v>
      </c>
      <c r="AB80" s="52">
        <f>+'1'!AB80+'3'!AB80+'2'!AB80+'6'!AB80+'5'!AB80+'4'!AB80+'8'!AB80+'7'!AB80+'10'!AB80+'9'!AB80+'11'!AB80+'12'!AB80+'13'!AB80+'15'!AB80+'14'!AB80+'16'!AB80+'17'!AB80+'19'!AB80+'20'!AB80+'22'!AB80+'18'!AB80+'21'!AB80+'25'!AB80+'23'!AB80+'26'!AB80+'24'!AB80+'28'!AB80+'27'!AB80+'29'!AB80+'31'!AB80+'30'!AB80</f>
        <v>0</v>
      </c>
      <c r="AC80" s="52">
        <f>+'1'!AC80+'3'!AC80+'2'!AC80+'6'!AC80+'5'!AC80+'4'!AC80+'8'!AC80+'7'!AC80+'10'!AC80+'9'!AC80+'11'!AC80+'12'!AC80+'13'!AC80+'15'!AC80+'14'!AC80+'16'!AC80+'17'!AC80+'19'!AC80+'20'!AC80+'22'!AC80+'18'!AC80+'21'!AC80+'25'!AC80+'23'!AC80+'26'!AC80+'24'!AC80+'28'!AC80+'27'!AC80+'29'!AC80+'31'!AC80+'30'!AC80</f>
        <v>0</v>
      </c>
      <c r="AD80" s="52">
        <f>+'1'!AD80+'3'!AD80+'2'!AD80+'6'!AD80+'5'!AD80+'4'!AD80+'8'!AD80+'7'!AD80+'10'!AD80+'9'!AD80+'11'!AD80+'12'!AD80+'13'!AD80+'15'!AD80+'14'!AD80+'16'!AD80+'17'!AD80+'19'!AD80+'20'!AD80+'22'!AD80+'18'!AD80+'21'!AD80+'25'!AD80+'23'!AD80+'26'!AD80+'24'!AD80+'28'!AD80+'27'!AD80+'29'!AD80+'31'!AD80+'30'!AD80</f>
        <v>0</v>
      </c>
      <c r="AE80" s="52">
        <f>+'1'!AE80+'3'!AE80+'2'!AE80+'6'!AE80+'5'!AE80+'4'!AE80+'8'!AE80+'7'!AE80+'10'!AE80+'9'!AE80+'11'!AE80+'12'!AE80+'13'!AE80+'15'!AE80+'14'!AE80+'16'!AE80+'17'!AE80+'19'!AE80+'20'!AE80+'22'!AE80+'18'!AE80+'21'!AE80+'25'!AE80+'23'!AE80+'26'!AE80+'24'!AE80+'28'!AE80+'27'!AE80+'29'!AE80+'31'!AE80+'30'!AE80</f>
        <v>0</v>
      </c>
      <c r="AF80" s="52">
        <f>+'1'!AF80+'3'!AF80+'2'!AF80+'6'!AF80+'5'!AF80+'4'!AF80+'8'!AF80+'7'!AF80+'10'!AF80+'9'!AF80+'11'!AF80+'12'!AF80+'13'!AF80+'15'!AF80+'14'!AF80+'16'!AF80+'17'!AF80+'19'!AF80+'20'!AF80+'22'!AF80+'18'!AF80+'21'!AF80+'25'!AF80+'23'!AF80+'26'!AF80+'24'!AF80+'28'!AF80+'27'!AF80+'29'!AF80+'31'!AF80+'30'!AF80</f>
        <v>0</v>
      </c>
      <c r="AG80" s="52">
        <f>+'1'!AG80+'3'!AG80+'2'!AG80+'6'!AG80+'5'!AG80+'4'!AG80+'8'!AG80+'7'!AG80+'10'!AG80+'9'!AG80+'11'!AG80+'12'!AG80+'13'!AG80+'15'!AG80+'14'!AG80+'16'!AG80+'17'!AG80+'19'!AG80+'20'!AG80+'22'!AG80+'18'!AG80+'21'!AG80+'25'!AG80+'23'!AG80+'26'!AG80+'24'!AG80+'28'!AG80+'27'!AG80+'29'!AG80+'31'!AG80+'30'!AG80</f>
        <v>0</v>
      </c>
      <c r="AH80" s="52">
        <f>+'1'!AH80+'3'!AH80+'2'!AH80+'6'!AH80+'5'!AH80+'4'!AH80+'8'!AH80+'7'!AH80+'10'!AH80+'9'!AH80+'11'!AH80+'12'!AH80+'13'!AH80+'15'!AH80+'14'!AH80+'16'!AH80+'17'!AH80+'19'!AH80+'20'!AH80+'22'!AH80+'18'!AH80+'21'!AH80+'25'!AH80+'23'!AH80+'26'!AH80+'24'!AH80+'28'!AH80+'27'!AH80+'29'!AH80+'31'!AH80+'30'!AH80</f>
        <v>0</v>
      </c>
      <c r="AI80" s="55">
        <f>+'1'!AI80+'3'!AI80+'2'!AI80+'6'!AI80+'5'!AI80+'4'!AI80+'8'!AI80+'7'!AI80+'10'!AI80+'9'!AI80+'11'!AI80+'12'!AI80+'13'!AI80+'15'!AI80+'14'!AI80+'16'!AI80+'17'!AI80+'19'!AI80+'20'!AI80+'22'!AI80+'18'!AI80+'21'!AI80+'25'!AI80+'23'!AI80+'26'!AI80+'24'!AI80+'28'!AI80+'27'!AI80+'29'!AI80+'31'!AI80+'30'!AI80</f>
        <v>0</v>
      </c>
      <c r="AJ80" s="58">
        <f>+'1'!AJ80+'3'!AJ80+'2'!AJ80+'6'!AJ80+'5'!AJ80+'4'!AJ80+'8'!AJ80+'7'!AJ80+'10'!AJ80+'9'!AJ80+'11'!AJ80+'12'!AJ80+'13'!AJ80+'15'!AJ80+'14'!AJ80+'16'!AJ80+'17'!AJ80+'19'!AJ80+'20'!AJ80+'22'!AJ80+'18'!AJ80+'21'!AJ80+'25'!AJ80+'23'!AJ80+'26'!AJ80+'24'!AJ80+'28'!AJ80+'27'!AJ80+'29'!AJ80+'31'!AJ80+'30'!AJ80</f>
        <v>0</v>
      </c>
      <c r="AK80" s="55">
        <f>+'1'!AK80+'3'!AK80+'2'!AK80+'6'!AK80+'5'!AK80+'4'!AK80+'8'!AK80+'7'!AK80+'10'!AK80+'9'!AK80+'11'!AK80+'12'!AK80+'13'!AK80+'15'!AK80+'14'!AK80+'16'!AK80+'17'!AK80+'19'!AK80+'20'!AK80+'22'!AK80+'18'!AK80+'21'!AK80+'25'!AK80+'23'!AK80+'26'!AK80+'24'!AK80+'28'!AK80+'27'!AK80+'29'!AK80+'31'!AK80+'30'!AK80</f>
        <v>0</v>
      </c>
      <c r="AL80" s="66">
        <f t="shared" si="8"/>
        <v>0</v>
      </c>
      <c r="AM80" s="28" t="str">
        <f t="shared" si="9"/>
        <v>OK</v>
      </c>
    </row>
    <row r="81" spans="1:39" ht="17.25" hidden="1" thickBot="1">
      <c r="A81" s="87"/>
      <c r="B81" s="93"/>
      <c r="C81" s="94"/>
      <c r="D81" s="88"/>
      <c r="E81" s="88"/>
      <c r="F81" s="88"/>
      <c r="G81" s="89"/>
      <c r="H81" s="124">
        <f>+'1'!H81+'3'!H81+'2'!H81+'6'!H81+'5'!H81+'4'!H81+'8'!H81+'7'!H81+'10'!H81+'9'!H81+'11'!H81+'12'!H81+'13'!H81+'15'!H81+'14'!H81+'16'!H81+'17'!H81+'19'!H81+'20'!H81+'22'!H81+'18'!H81+'21'!H81+'25'!H81+'23'!H81+'26'!H81+'24'!H81+'28'!H81+'27'!H81+'29'!H81+'31'!H81+'30'!H81</f>
        <v>0</v>
      </c>
      <c r="I81" s="125">
        <f>+'1'!I81+'3'!I81+'2'!I81+'6'!I81+'5'!I81+'4'!I81+'8'!I81+'7'!I81+'10'!I81+'9'!I81+'11'!I81+'12'!I81+'13'!I81+'15'!I81+'14'!I81+'16'!I81+'17'!I81+'19'!I81+'20'!I81+'22'!I81+'18'!I81+'21'!I81+'25'!I81+'23'!I81+'26'!I81+'24'!I81+'28'!I81+'27'!I81+'29'!I81+'31'!I81+'30'!I81</f>
        <v>0</v>
      </c>
      <c r="J81" s="125"/>
      <c r="K81" s="91"/>
      <c r="L81" s="125">
        <f>+'1'!L81+'3'!L81+'2'!L81+'6'!L81+'5'!L81+'4'!L81+'8'!L81+'7'!L81+'10'!L81+'9'!L81+'11'!L81+'12'!L81+'13'!L81+'15'!L81+'14'!L81+'16'!L81+'17'!L81+'19'!L81+'20'!L81+'22'!L81+'18'!L81+'21'!L81+'25'!L81+'23'!L81+'26'!L81+'24'!L81+'28'!L81+'27'!L81+'29'!L81+'31'!L81+'30'!L81</f>
        <v>0</v>
      </c>
      <c r="M81" s="125">
        <f>+'1'!M81+'3'!M81+'2'!M81+'6'!M81+'5'!M81+'4'!M81+'8'!M81+'7'!M81+'10'!M81+'9'!M81+'11'!M81+'12'!M81+'13'!M81+'15'!M81+'14'!M81+'16'!M81+'17'!M81+'19'!M81+'20'!M81+'22'!M81+'18'!M81+'21'!M81+'25'!M81+'23'!M81+'26'!M81+'24'!M81+'28'!M81+'27'!M81+'29'!M81+'31'!M81+'30'!M81</f>
        <v>0</v>
      </c>
      <c r="N81" s="125">
        <f>+'1'!N81+'3'!N81+'2'!N81+'6'!N81+'5'!N81+'4'!N81+'8'!N81+'7'!N81+'10'!N81+'9'!N81+'11'!N81+'12'!N81+'13'!N81+'15'!N81+'14'!N81+'16'!N81+'17'!N81+'19'!N81+'20'!N81+'22'!N81+'18'!N81+'21'!N81+'25'!N81+'23'!N81+'26'!N81+'24'!N81+'28'!N81+'27'!N81+'29'!N81+'31'!N81+'30'!N81</f>
        <v>0</v>
      </c>
      <c r="O81" s="125">
        <f>+'1'!O81+'3'!O81+'2'!O81+'6'!O81+'5'!O81+'4'!O81+'8'!O81+'7'!O81+'10'!O81+'9'!O81+'11'!O81+'12'!O81+'13'!O81+'15'!O81+'14'!O81+'16'!O81+'17'!O81+'19'!O81+'20'!O81+'22'!O81+'18'!O81+'21'!O81+'25'!O81+'23'!O81+'26'!O81+'24'!O81+'28'!O81+'27'!O81+'29'!O81+'31'!O81+'30'!O81</f>
        <v>0</v>
      </c>
      <c r="P81" s="125">
        <f>+'1'!P81+'3'!P81+'2'!P81+'6'!P81+'5'!P81+'4'!P81+'8'!P81+'7'!P81+'10'!P81+'9'!P81+'11'!P81+'12'!P81+'13'!P81+'15'!P81+'14'!P81+'16'!P81+'17'!P81+'19'!P81+'20'!P81+'22'!P81+'18'!P81+'21'!P81+'25'!P81+'23'!P81+'26'!P81+'24'!P81+'28'!P81+'27'!P81+'29'!P81+'31'!P81+'30'!P81</f>
        <v>0</v>
      </c>
      <c r="Q81" s="125">
        <f>+'1'!Q81+'3'!Q81+'2'!Q81+'6'!Q81+'5'!Q81+'4'!Q81+'8'!Q81+'7'!Q81+'10'!Q81+'9'!Q81+'11'!Q81+'12'!Q81+'13'!Q81+'15'!Q81+'14'!Q81+'16'!Q81+'17'!Q81+'19'!Q81+'20'!Q81+'22'!Q81+'18'!Q81+'21'!Q81+'25'!Q81+'23'!Q81+'26'!Q81+'24'!Q81+'28'!Q81+'27'!Q81+'29'!Q81+'31'!Q81+'30'!Q81</f>
        <v>0</v>
      </c>
      <c r="R81" s="125">
        <f>+'1'!R81+'3'!R81+'2'!R81+'6'!R81+'5'!R81+'4'!R81+'8'!R81+'7'!R81+'10'!R81+'9'!R81+'11'!R81+'12'!R81+'13'!R81+'15'!R81+'14'!R81+'16'!R81+'17'!R81+'19'!R81+'20'!R81+'22'!R81+'18'!R81+'21'!R81+'25'!R81+'23'!R81+'26'!R81+'24'!R81+'28'!R81+'27'!R81+'29'!R81+'31'!R81+'30'!R81</f>
        <v>0</v>
      </c>
      <c r="S81" s="125">
        <f>+'1'!S81+'3'!S81+'2'!S81+'6'!S81+'5'!S81+'4'!S81+'8'!S81+'7'!S81+'10'!S81+'9'!S81+'11'!S81+'12'!S81+'13'!S81+'15'!S81+'14'!S81+'16'!S81+'17'!S81+'19'!S81+'20'!S81+'22'!S81+'18'!S81+'21'!S81+'25'!S81+'23'!S81+'26'!S81+'24'!S81+'28'!S81+'27'!S81+'29'!S81+'31'!S81+'30'!S81</f>
        <v>0</v>
      </c>
      <c r="T81" s="126">
        <f>+'1'!T81+'3'!T81+'2'!T81+'6'!T81+'5'!T81+'4'!T81+'8'!T81+'7'!T81+'10'!T81+'9'!T81+'11'!T81+'12'!T81+'13'!T81+'15'!T81+'14'!T81+'16'!T81+'17'!T81+'19'!T81+'20'!T81+'22'!T81+'18'!T81+'21'!T81+'25'!T81+'23'!T81+'26'!T81+'24'!T81+'28'!T81+'27'!T81+'29'!T81+'31'!T81+'30'!T81</f>
        <v>0</v>
      </c>
      <c r="U81" s="127">
        <f>+'1'!U81+'3'!U81+'2'!U81+'6'!U81+'5'!U81+'4'!U81+'8'!U81+'7'!U81+'10'!U81+'9'!U81+'11'!U81+'12'!U81+'13'!U81+'15'!U81+'14'!U81+'16'!U81+'17'!U81+'19'!U81+'20'!U81+'22'!U81+'18'!U81+'21'!U81+'25'!U81+'23'!U81+'26'!U81+'24'!U81+'28'!U81+'27'!U81+'29'!U81+'31'!U81+'30'!U81</f>
        <v>0</v>
      </c>
      <c r="V81" s="127">
        <f>+'1'!V81+'3'!V81+'2'!V81+'6'!V81+'5'!V81+'4'!V81+'8'!V81+'7'!V81+'10'!V81+'9'!V81+'11'!V81+'12'!V81+'13'!V81+'15'!V81+'14'!V81+'16'!V81+'17'!V81+'19'!V81+'20'!V81+'22'!V81+'18'!V81+'21'!V81+'25'!V81+'23'!V81+'26'!V81+'24'!V81+'28'!V81+'27'!V81+'29'!V81+'31'!V81+'30'!V81</f>
        <v>0</v>
      </c>
      <c r="W81" s="127">
        <f>+'1'!W81+'3'!W81+'2'!W81+'6'!W81+'5'!W81+'4'!W81+'8'!W81+'7'!W81+'10'!W81+'9'!W81+'11'!W81+'12'!W81+'13'!W81+'15'!W81+'14'!W81+'16'!W81+'17'!W81+'19'!W81+'20'!W81+'22'!W81+'18'!W81+'21'!W81+'25'!W81+'23'!W81+'26'!W81+'24'!W81+'28'!W81+'27'!W81+'29'!W81+'31'!W81+'30'!W81</f>
        <v>0</v>
      </c>
      <c r="X81" s="127">
        <f>+'1'!X81+'3'!X81+'2'!X81+'6'!X81+'5'!X81+'4'!X81+'8'!X81+'7'!X81+'10'!X81+'9'!X81+'11'!X81+'12'!X81+'13'!X81+'15'!X81+'14'!X81+'16'!X81+'17'!X81+'19'!X81+'20'!X81+'22'!X81+'18'!X81+'21'!X81+'25'!X81+'23'!X81+'26'!X81+'24'!X81+'28'!X81+'27'!X81+'29'!X81+'31'!X81+'30'!X81</f>
        <v>0</v>
      </c>
      <c r="Y81" s="127">
        <f>+'1'!Y81+'3'!Y81+'2'!Y81+'6'!Y81+'5'!Y81+'4'!Y81+'8'!Y81+'7'!Y81+'10'!Y81+'9'!Y81+'11'!Y81+'12'!Y81+'13'!Y81+'15'!Y81+'14'!Y81+'16'!Y81+'17'!Y81+'19'!Y81+'20'!Y81+'22'!Y81+'18'!Y81+'21'!Y81+'25'!Y81+'23'!Y81+'26'!Y81+'24'!Y81+'28'!Y81+'27'!Y81+'29'!Y81+'31'!Y81+'30'!Y81</f>
        <v>0</v>
      </c>
      <c r="Z81" s="127">
        <f>+'1'!Z81+'3'!Z81+'2'!Z81+'6'!Z81+'5'!Z81+'4'!Z81+'8'!Z81+'7'!Z81+'10'!Z81+'9'!Z81+'11'!Z81+'12'!Z81+'13'!Z81+'15'!Z81+'14'!Z81+'16'!Z81+'17'!Z81+'19'!Z81+'20'!Z81+'22'!Z81+'18'!Z81+'21'!Z81+'25'!Z81+'23'!Z81+'26'!Z81+'24'!Z81+'28'!Z81+'27'!Z81+'29'!Z81+'31'!Z81+'30'!Z81</f>
        <v>0</v>
      </c>
      <c r="AA81" s="127">
        <f>+'1'!AA81+'3'!AA81+'2'!AA81+'6'!AA81+'5'!AA81+'4'!AA81+'8'!AA81+'7'!AA81+'10'!AA81+'9'!AA81+'11'!AA81+'12'!AA81+'13'!AA81+'15'!AA81+'14'!AA81+'16'!AA81+'17'!AA81+'19'!AA81+'20'!AA81+'22'!AA81+'18'!AA81+'21'!AA81+'25'!AA81+'23'!AA81+'26'!AA81+'24'!AA81+'28'!AA81+'27'!AA81+'29'!AA81+'31'!AA81+'30'!AA81</f>
        <v>0</v>
      </c>
      <c r="AB81" s="127">
        <f>+'1'!AB81+'3'!AB81+'2'!AB81+'6'!AB81+'5'!AB81+'4'!AB81+'8'!AB81+'7'!AB81+'10'!AB81+'9'!AB81+'11'!AB81+'12'!AB81+'13'!AB81+'15'!AB81+'14'!AB81+'16'!AB81+'17'!AB81+'19'!AB81+'20'!AB81+'22'!AB81+'18'!AB81+'21'!AB81+'25'!AB81+'23'!AB81+'26'!AB81+'24'!AB81+'28'!AB81+'27'!AB81+'29'!AB81+'31'!AB81+'30'!AB81</f>
        <v>0</v>
      </c>
      <c r="AC81" s="127">
        <f>+'1'!AC81+'3'!AC81+'2'!AC81+'6'!AC81+'5'!AC81+'4'!AC81+'8'!AC81+'7'!AC81+'10'!AC81+'9'!AC81+'11'!AC81+'12'!AC81+'13'!AC81+'15'!AC81+'14'!AC81+'16'!AC81+'17'!AC81+'19'!AC81+'20'!AC81+'22'!AC81+'18'!AC81+'21'!AC81+'25'!AC81+'23'!AC81+'26'!AC81+'24'!AC81+'28'!AC81+'27'!AC81+'29'!AC81+'31'!AC81+'30'!AC81</f>
        <v>0</v>
      </c>
      <c r="AD81" s="127">
        <f>+'1'!AD81+'3'!AD81+'2'!AD81+'6'!AD81+'5'!AD81+'4'!AD81+'8'!AD81+'7'!AD81+'10'!AD81+'9'!AD81+'11'!AD81+'12'!AD81+'13'!AD81+'15'!AD81+'14'!AD81+'16'!AD81+'17'!AD81+'19'!AD81+'20'!AD81+'22'!AD81+'18'!AD81+'21'!AD81+'25'!AD81+'23'!AD81+'26'!AD81+'24'!AD81+'28'!AD81+'27'!AD81+'29'!AD81+'31'!AD81+'30'!AD81</f>
        <v>0</v>
      </c>
      <c r="AE81" s="127">
        <f>+'1'!AE81+'3'!AE81+'2'!AE81+'6'!AE81+'5'!AE81+'4'!AE81+'8'!AE81+'7'!AE81+'10'!AE81+'9'!AE81+'11'!AE81+'12'!AE81+'13'!AE81+'15'!AE81+'14'!AE81+'16'!AE81+'17'!AE81+'19'!AE81+'20'!AE81+'22'!AE81+'18'!AE81+'21'!AE81+'25'!AE81+'23'!AE81+'26'!AE81+'24'!AE81+'28'!AE81+'27'!AE81+'29'!AE81+'31'!AE81+'30'!AE81</f>
        <v>0</v>
      </c>
      <c r="AF81" s="127">
        <f>+'1'!AF81+'3'!AF81+'2'!AF81+'6'!AF81+'5'!AF81+'4'!AF81+'8'!AF81+'7'!AF81+'10'!AF81+'9'!AF81+'11'!AF81+'12'!AF81+'13'!AF81+'15'!AF81+'14'!AF81+'16'!AF81+'17'!AF81+'19'!AF81+'20'!AF81+'22'!AF81+'18'!AF81+'21'!AF81+'25'!AF81+'23'!AF81+'26'!AF81+'24'!AF81+'28'!AF81+'27'!AF81+'29'!AF81+'31'!AF81+'30'!AF81</f>
        <v>0</v>
      </c>
      <c r="AG81" s="127">
        <f>+'1'!AG81+'3'!AG81+'2'!AG81+'6'!AG81+'5'!AG81+'4'!AG81+'8'!AG81+'7'!AG81+'10'!AG81+'9'!AG81+'11'!AG81+'12'!AG81+'13'!AG81+'15'!AG81+'14'!AG81+'16'!AG81+'17'!AG81+'19'!AG81+'20'!AG81+'22'!AG81+'18'!AG81+'21'!AG81+'25'!AG81+'23'!AG81+'26'!AG81+'24'!AG81+'28'!AG81+'27'!AG81+'29'!AG81+'31'!AG81+'30'!AG81</f>
        <v>0</v>
      </c>
      <c r="AH81" s="127">
        <f>+'1'!AH81+'3'!AH81+'2'!AH81+'6'!AH81+'5'!AH81+'4'!AH81+'8'!AH81+'7'!AH81+'10'!AH81+'9'!AH81+'11'!AH81+'12'!AH81+'13'!AH81+'15'!AH81+'14'!AH81+'16'!AH81+'17'!AH81+'19'!AH81+'20'!AH81+'22'!AH81+'18'!AH81+'21'!AH81+'25'!AH81+'23'!AH81+'26'!AH81+'24'!AH81+'28'!AH81+'27'!AH81+'29'!AH81+'31'!AH81+'30'!AH81</f>
        <v>0</v>
      </c>
      <c r="AI81" s="128">
        <f>+'1'!AI81+'3'!AI81+'2'!AI81+'6'!AI81+'5'!AI81+'4'!AI81+'8'!AI81+'7'!AI81+'10'!AI81+'9'!AI81+'11'!AI81+'12'!AI81+'13'!AI81+'15'!AI81+'14'!AI81+'16'!AI81+'17'!AI81+'19'!AI81+'20'!AI81+'22'!AI81+'18'!AI81+'21'!AI81+'25'!AI81+'23'!AI81+'26'!AI81+'24'!AI81+'28'!AI81+'27'!AI81+'29'!AI81+'31'!AI81+'30'!AI81</f>
        <v>0</v>
      </c>
      <c r="AJ81" s="129">
        <f>+'1'!AJ81+'3'!AJ81+'2'!AJ81+'6'!AJ81+'5'!AJ81+'4'!AJ81+'8'!AJ81+'7'!AJ81+'10'!AJ81+'9'!AJ81+'11'!AJ81+'12'!AJ81+'13'!AJ81+'15'!AJ81+'14'!AJ81+'16'!AJ81+'17'!AJ81+'19'!AJ81+'20'!AJ81+'22'!AJ81+'18'!AJ81+'21'!AJ81+'25'!AJ81+'23'!AJ81+'26'!AJ81+'24'!AJ81+'28'!AJ81+'27'!AJ81+'29'!AJ81+'31'!AJ81+'30'!AJ81</f>
        <v>0</v>
      </c>
      <c r="AK81" s="128">
        <f>+'1'!AK81+'3'!AK81+'2'!AK81+'6'!AK81+'5'!AK81+'4'!AK81+'8'!AK81+'7'!AK81+'10'!AK81+'9'!AK81+'11'!AK81+'12'!AK81+'13'!AK81+'15'!AK81+'14'!AK81+'16'!AK81+'17'!AK81+'19'!AK81+'20'!AK81+'22'!AK81+'18'!AK81+'21'!AK81+'25'!AK81+'23'!AK81+'26'!AK81+'24'!AK81+'28'!AK81+'27'!AK81+'29'!AK81+'31'!AK81+'30'!AK81</f>
        <v>0</v>
      </c>
      <c r="AL81" s="92">
        <f t="shared" si="8"/>
        <v>0</v>
      </c>
      <c r="AM81" s="122" t="str">
        <f t="shared" si="9"/>
        <v>OK</v>
      </c>
    </row>
    <row r="82" spans="1:39" ht="17.25" hidden="1" thickBot="1">
      <c r="A82" s="68"/>
      <c r="B82" s="78"/>
      <c r="C82" s="95"/>
      <c r="D82" s="83"/>
      <c r="E82" s="83"/>
      <c r="F82" s="83"/>
      <c r="G82" s="84"/>
      <c r="H82" s="26">
        <f>+'1'!H82+'3'!H82+'2'!H82+'6'!H82+'5'!H82+'4'!H82+'8'!H82+'7'!H82+'10'!H82+'9'!H82+'11'!H82+'12'!H82+'13'!H82+'15'!H82+'14'!H82+'16'!H82+'17'!H82+'19'!H82+'20'!H82+'22'!H82+'18'!H82+'21'!H82+'25'!H82+'23'!H82+'26'!H82+'24'!H82+'28'!H82+'27'!H82+'29'!H82+'31'!H82+'30'!H82</f>
        <v>0</v>
      </c>
      <c r="I82" s="27">
        <f>+'1'!I82+'3'!I82+'2'!I82+'6'!I82+'5'!I82+'4'!I82+'8'!I82+'7'!I82+'10'!I82+'9'!I82+'11'!I82+'12'!I82+'13'!I82+'15'!I82+'14'!I82+'16'!I82+'17'!I82+'19'!I82+'20'!I82+'22'!I82+'18'!I82+'21'!I82+'25'!I82+'23'!I82+'26'!I82+'24'!I82+'28'!I82+'27'!I82+'29'!I82+'31'!I82+'30'!I82</f>
        <v>0</v>
      </c>
      <c r="J82" s="27"/>
      <c r="K82" s="16"/>
      <c r="L82" s="27">
        <f>+'1'!L82+'3'!L82+'2'!L82+'6'!L82+'5'!L82+'4'!L82+'8'!L82+'7'!L82+'10'!L82+'9'!L82+'11'!L82+'12'!L82+'13'!L82+'15'!L82+'14'!L82+'16'!L82+'17'!L82+'19'!L82+'20'!L82+'22'!L82+'18'!L82+'21'!L82+'25'!L82+'23'!L82+'26'!L82+'24'!L82+'28'!L82+'27'!L82+'29'!L82+'31'!L82+'30'!L82</f>
        <v>0</v>
      </c>
      <c r="M82" s="27">
        <f>+'1'!M82+'3'!M82+'2'!M82+'6'!M82+'5'!M82+'4'!M82+'8'!M82+'7'!M82+'10'!M82+'9'!M82+'11'!M82+'12'!M82+'13'!M82+'15'!M82+'14'!M82+'16'!M82+'17'!M82+'19'!M82+'20'!M82+'22'!M82+'18'!M82+'21'!M82+'25'!M82+'23'!M82+'26'!M82+'24'!M82+'28'!M82+'27'!M82+'29'!M82+'31'!M82+'30'!M82</f>
        <v>0</v>
      </c>
      <c r="N82" s="27">
        <f>+'1'!N82+'3'!N82+'2'!N82+'6'!N82+'5'!N82+'4'!N82+'8'!N82+'7'!N82+'10'!N82+'9'!N82+'11'!N82+'12'!N82+'13'!N82+'15'!N82+'14'!N82+'16'!N82+'17'!N82+'19'!N82+'20'!N82+'22'!N82+'18'!N82+'21'!N82+'25'!N82+'23'!N82+'26'!N82+'24'!N82+'28'!N82+'27'!N82+'29'!N82+'31'!N82+'30'!N82</f>
        <v>0</v>
      </c>
      <c r="O82" s="27">
        <f>+'1'!O82+'3'!O82+'2'!O82+'6'!O82+'5'!O82+'4'!O82+'8'!O82+'7'!O82+'10'!O82+'9'!O82+'11'!O82+'12'!O82+'13'!O82+'15'!O82+'14'!O82+'16'!O82+'17'!O82+'19'!O82+'20'!O82+'22'!O82+'18'!O82+'21'!O82+'25'!O82+'23'!O82+'26'!O82+'24'!O82+'28'!O82+'27'!O82+'29'!O82+'31'!O82+'30'!O82</f>
        <v>0</v>
      </c>
      <c r="P82" s="27">
        <f>+'1'!P82+'3'!P82+'2'!P82+'6'!P82+'5'!P82+'4'!P82+'8'!P82+'7'!P82+'10'!P82+'9'!P82+'11'!P82+'12'!P82+'13'!P82+'15'!P82+'14'!P82+'16'!P82+'17'!P82+'19'!P82+'20'!P82+'22'!P82+'18'!P82+'21'!P82+'25'!P82+'23'!P82+'26'!P82+'24'!P82+'28'!P82+'27'!P82+'29'!P82+'31'!P82+'30'!P82</f>
        <v>0</v>
      </c>
      <c r="Q82" s="27">
        <f>+'1'!Q82+'3'!Q82+'2'!Q82+'6'!Q82+'5'!Q82+'4'!Q82+'8'!Q82+'7'!Q82+'10'!Q82+'9'!Q82+'11'!Q82+'12'!Q82+'13'!Q82+'15'!Q82+'14'!Q82+'16'!Q82+'17'!Q82+'19'!Q82+'20'!Q82+'22'!Q82+'18'!Q82+'21'!Q82+'25'!Q82+'23'!Q82+'26'!Q82+'24'!Q82+'28'!Q82+'27'!Q82+'29'!Q82+'31'!Q82+'30'!Q82</f>
        <v>0</v>
      </c>
      <c r="R82" s="27">
        <f>+'1'!R82+'3'!R82+'2'!R82+'6'!R82+'5'!R82+'4'!R82+'8'!R82+'7'!R82+'10'!R82+'9'!R82+'11'!R82+'12'!R82+'13'!R82+'15'!R82+'14'!R82+'16'!R82+'17'!R82+'19'!R82+'20'!R82+'22'!R82+'18'!R82+'21'!R82+'25'!R82+'23'!R82+'26'!R82+'24'!R82+'28'!R82+'27'!R82+'29'!R82+'31'!R82+'30'!R82</f>
        <v>0</v>
      </c>
      <c r="S82" s="27">
        <f>+'1'!S82+'3'!S82+'2'!S82+'6'!S82+'5'!S82+'4'!S82+'8'!S82+'7'!S82+'10'!S82+'9'!S82+'11'!S82+'12'!S82+'13'!S82+'15'!S82+'14'!S82+'16'!S82+'17'!S82+'19'!S82+'20'!S82+'22'!S82+'18'!S82+'21'!S82+'25'!S82+'23'!S82+'26'!S82+'24'!S82+'28'!S82+'27'!S82+'29'!S82+'31'!S82+'30'!S82</f>
        <v>0</v>
      </c>
      <c r="T82" s="43">
        <f>+'1'!T82+'3'!T82+'2'!T82+'6'!T82+'5'!T82+'4'!T82+'8'!T82+'7'!T82+'10'!T82+'9'!T82+'11'!T82+'12'!T82+'13'!T82+'15'!T82+'14'!T82+'16'!T82+'17'!T82+'19'!T82+'20'!T82+'22'!T82+'18'!T82+'21'!T82+'25'!T82+'23'!T82+'26'!T82+'24'!T82+'28'!T82+'27'!T82+'29'!T82+'31'!T82+'30'!T82</f>
        <v>0</v>
      </c>
      <c r="U82" s="52">
        <f>+'1'!U82+'3'!U82+'2'!U82+'6'!U82+'5'!U82+'4'!U82+'8'!U82+'7'!U82+'10'!U82+'9'!U82+'11'!U82+'12'!U82+'13'!U82+'15'!U82+'14'!U82+'16'!U82+'17'!U82+'19'!U82+'20'!U82+'22'!U82+'18'!U82+'21'!U82+'25'!U82+'23'!U82+'26'!U82+'24'!U82+'28'!U82+'27'!U82+'29'!U82+'31'!U82+'30'!U82</f>
        <v>0</v>
      </c>
      <c r="V82" s="52">
        <f>+'1'!V82+'3'!V82+'2'!V82+'6'!V82+'5'!V82+'4'!V82+'8'!V82+'7'!V82+'10'!V82+'9'!V82+'11'!V82+'12'!V82+'13'!V82+'15'!V82+'14'!V82+'16'!V82+'17'!V82+'19'!V82+'20'!V82+'22'!V82+'18'!V82+'21'!V82+'25'!V82+'23'!V82+'26'!V82+'24'!V82+'28'!V82+'27'!V82+'29'!V82+'31'!V82+'30'!V82</f>
        <v>0</v>
      </c>
      <c r="W82" s="52">
        <f>+'1'!W82+'3'!W82+'2'!W82+'6'!W82+'5'!W82+'4'!W82+'8'!W82+'7'!W82+'10'!W82+'9'!W82+'11'!W82+'12'!W82+'13'!W82+'15'!W82+'14'!W82+'16'!W82+'17'!W82+'19'!W82+'20'!W82+'22'!W82+'18'!W82+'21'!W82+'25'!W82+'23'!W82+'26'!W82+'24'!W82+'28'!W82+'27'!W82+'29'!W82+'31'!W82+'30'!W82</f>
        <v>0</v>
      </c>
      <c r="X82" s="52">
        <f>+'1'!X82+'3'!X82+'2'!X82+'6'!X82+'5'!X82+'4'!X82+'8'!X82+'7'!X82+'10'!X82+'9'!X82+'11'!X82+'12'!X82+'13'!X82+'15'!X82+'14'!X82+'16'!X82+'17'!X82+'19'!X82+'20'!X82+'22'!X82+'18'!X82+'21'!X82+'25'!X82+'23'!X82+'26'!X82+'24'!X82+'28'!X82+'27'!X82+'29'!X82+'31'!X82+'30'!X82</f>
        <v>0</v>
      </c>
      <c r="Y82" s="52">
        <f>+'1'!Y82+'3'!Y82+'2'!Y82+'6'!Y82+'5'!Y82+'4'!Y82+'8'!Y82+'7'!Y82+'10'!Y82+'9'!Y82+'11'!Y82+'12'!Y82+'13'!Y82+'15'!Y82+'14'!Y82+'16'!Y82+'17'!Y82+'19'!Y82+'20'!Y82+'22'!Y82+'18'!Y82+'21'!Y82+'25'!Y82+'23'!Y82+'26'!Y82+'24'!Y82+'28'!Y82+'27'!Y82+'29'!Y82+'31'!Y82+'30'!Y82</f>
        <v>0</v>
      </c>
      <c r="Z82" s="52">
        <f>+'1'!Z82+'3'!Z82+'2'!Z82+'6'!Z82+'5'!Z82+'4'!Z82+'8'!Z82+'7'!Z82+'10'!Z82+'9'!Z82+'11'!Z82+'12'!Z82+'13'!Z82+'15'!Z82+'14'!Z82+'16'!Z82+'17'!Z82+'19'!Z82+'20'!Z82+'22'!Z82+'18'!Z82+'21'!Z82+'25'!Z82+'23'!Z82+'26'!Z82+'24'!Z82+'28'!Z82+'27'!Z82+'29'!Z82+'31'!Z82+'30'!Z82</f>
        <v>0</v>
      </c>
      <c r="AA82" s="52">
        <f>+'1'!AA82+'3'!AA82+'2'!AA82+'6'!AA82+'5'!AA82+'4'!AA82+'8'!AA82+'7'!AA82+'10'!AA82+'9'!AA82+'11'!AA82+'12'!AA82+'13'!AA82+'15'!AA82+'14'!AA82+'16'!AA82+'17'!AA82+'19'!AA82+'20'!AA82+'22'!AA82+'18'!AA82+'21'!AA82+'25'!AA82+'23'!AA82+'26'!AA82+'24'!AA82+'28'!AA82+'27'!AA82+'29'!AA82+'31'!AA82+'30'!AA82</f>
        <v>0</v>
      </c>
      <c r="AB82" s="52">
        <f>+'1'!AB82+'3'!AB82+'2'!AB82+'6'!AB82+'5'!AB82+'4'!AB82+'8'!AB82+'7'!AB82+'10'!AB82+'9'!AB82+'11'!AB82+'12'!AB82+'13'!AB82+'15'!AB82+'14'!AB82+'16'!AB82+'17'!AB82+'19'!AB82+'20'!AB82+'22'!AB82+'18'!AB82+'21'!AB82+'25'!AB82+'23'!AB82+'26'!AB82+'24'!AB82+'28'!AB82+'27'!AB82+'29'!AB82+'31'!AB82+'30'!AB82</f>
        <v>0</v>
      </c>
      <c r="AC82" s="52">
        <f>+'1'!AC82+'3'!AC82+'2'!AC82+'6'!AC82+'5'!AC82+'4'!AC82+'8'!AC82+'7'!AC82+'10'!AC82+'9'!AC82+'11'!AC82+'12'!AC82+'13'!AC82+'15'!AC82+'14'!AC82+'16'!AC82+'17'!AC82+'19'!AC82+'20'!AC82+'22'!AC82+'18'!AC82+'21'!AC82+'25'!AC82+'23'!AC82+'26'!AC82+'24'!AC82+'28'!AC82+'27'!AC82+'29'!AC82+'31'!AC82+'30'!AC82</f>
        <v>0</v>
      </c>
      <c r="AD82" s="52">
        <f>+'1'!AD82+'3'!AD82+'2'!AD82+'6'!AD82+'5'!AD82+'4'!AD82+'8'!AD82+'7'!AD82+'10'!AD82+'9'!AD82+'11'!AD82+'12'!AD82+'13'!AD82+'15'!AD82+'14'!AD82+'16'!AD82+'17'!AD82+'19'!AD82+'20'!AD82+'22'!AD82+'18'!AD82+'21'!AD82+'25'!AD82+'23'!AD82+'26'!AD82+'24'!AD82+'28'!AD82+'27'!AD82+'29'!AD82+'31'!AD82+'30'!AD82</f>
        <v>0</v>
      </c>
      <c r="AE82" s="52">
        <f>+'1'!AE82+'3'!AE82+'2'!AE82+'6'!AE82+'5'!AE82+'4'!AE82+'8'!AE82+'7'!AE82+'10'!AE82+'9'!AE82+'11'!AE82+'12'!AE82+'13'!AE82+'15'!AE82+'14'!AE82+'16'!AE82+'17'!AE82+'19'!AE82+'20'!AE82+'22'!AE82+'18'!AE82+'21'!AE82+'25'!AE82+'23'!AE82+'26'!AE82+'24'!AE82+'28'!AE82+'27'!AE82+'29'!AE82+'31'!AE82+'30'!AE82</f>
        <v>0</v>
      </c>
      <c r="AF82" s="52">
        <f>+'1'!AF82+'3'!AF82+'2'!AF82+'6'!AF82+'5'!AF82+'4'!AF82+'8'!AF82+'7'!AF82+'10'!AF82+'9'!AF82+'11'!AF82+'12'!AF82+'13'!AF82+'15'!AF82+'14'!AF82+'16'!AF82+'17'!AF82+'19'!AF82+'20'!AF82+'22'!AF82+'18'!AF82+'21'!AF82+'25'!AF82+'23'!AF82+'26'!AF82+'24'!AF82+'28'!AF82+'27'!AF82+'29'!AF82+'31'!AF82+'30'!AF82</f>
        <v>0</v>
      </c>
      <c r="AG82" s="52">
        <f>+'1'!AG82+'3'!AG82+'2'!AG82+'6'!AG82+'5'!AG82+'4'!AG82+'8'!AG82+'7'!AG82+'10'!AG82+'9'!AG82+'11'!AG82+'12'!AG82+'13'!AG82+'15'!AG82+'14'!AG82+'16'!AG82+'17'!AG82+'19'!AG82+'20'!AG82+'22'!AG82+'18'!AG82+'21'!AG82+'25'!AG82+'23'!AG82+'26'!AG82+'24'!AG82+'28'!AG82+'27'!AG82+'29'!AG82+'31'!AG82+'30'!AG82</f>
        <v>0</v>
      </c>
      <c r="AH82" s="52">
        <f>+'1'!AH82+'3'!AH82+'2'!AH82+'6'!AH82+'5'!AH82+'4'!AH82+'8'!AH82+'7'!AH82+'10'!AH82+'9'!AH82+'11'!AH82+'12'!AH82+'13'!AH82+'15'!AH82+'14'!AH82+'16'!AH82+'17'!AH82+'19'!AH82+'20'!AH82+'22'!AH82+'18'!AH82+'21'!AH82+'25'!AH82+'23'!AH82+'26'!AH82+'24'!AH82+'28'!AH82+'27'!AH82+'29'!AH82+'31'!AH82+'30'!AH82</f>
        <v>0</v>
      </c>
      <c r="AI82" s="55">
        <f>+'1'!AI82+'3'!AI82+'2'!AI82+'6'!AI82+'5'!AI82+'4'!AI82+'8'!AI82+'7'!AI82+'10'!AI82+'9'!AI82+'11'!AI82+'12'!AI82+'13'!AI82+'15'!AI82+'14'!AI82+'16'!AI82+'17'!AI82+'19'!AI82+'20'!AI82+'22'!AI82+'18'!AI82+'21'!AI82+'25'!AI82+'23'!AI82+'26'!AI82+'24'!AI82+'28'!AI82+'27'!AI82+'29'!AI82+'31'!AI82+'30'!AI82</f>
        <v>0</v>
      </c>
      <c r="AJ82" s="58">
        <f>+'1'!AJ82+'3'!AJ82+'2'!AJ82+'6'!AJ82+'5'!AJ82+'4'!AJ82+'8'!AJ82+'7'!AJ82+'10'!AJ82+'9'!AJ82+'11'!AJ82+'12'!AJ82+'13'!AJ82+'15'!AJ82+'14'!AJ82+'16'!AJ82+'17'!AJ82+'19'!AJ82+'20'!AJ82+'22'!AJ82+'18'!AJ82+'21'!AJ82+'25'!AJ82+'23'!AJ82+'26'!AJ82+'24'!AJ82+'28'!AJ82+'27'!AJ82+'29'!AJ82+'31'!AJ82+'30'!AJ82</f>
        <v>0</v>
      </c>
      <c r="AK82" s="55">
        <f>+'1'!AK82+'3'!AK82+'2'!AK82+'6'!AK82+'5'!AK82+'4'!AK82+'8'!AK82+'7'!AK82+'10'!AK82+'9'!AK82+'11'!AK82+'12'!AK82+'13'!AK82+'15'!AK82+'14'!AK82+'16'!AK82+'17'!AK82+'19'!AK82+'20'!AK82+'22'!AK82+'18'!AK82+'21'!AK82+'25'!AK82+'23'!AK82+'26'!AK82+'24'!AK82+'28'!AK82+'27'!AK82+'29'!AK82+'31'!AK82+'30'!AK82</f>
        <v>0</v>
      </c>
      <c r="AL82" s="66">
        <f t="shared" si="8"/>
        <v>0</v>
      </c>
      <c r="AM82" s="28" t="str">
        <f t="shared" si="9"/>
        <v>OK</v>
      </c>
    </row>
    <row r="83" spans="1:39" ht="17.25" hidden="1" thickBot="1">
      <c r="A83" s="96"/>
      <c r="B83" s="93"/>
      <c r="C83" s="94"/>
      <c r="D83" s="88"/>
      <c r="E83" s="88"/>
      <c r="F83" s="88"/>
      <c r="G83" s="89"/>
      <c r="H83" s="124">
        <f>+'1'!H83+'3'!H83+'2'!H83+'6'!H83+'5'!H83+'4'!H83+'8'!H83+'7'!H83+'10'!H83+'9'!H83+'11'!H83+'12'!H83+'13'!H83+'15'!H83+'14'!H83+'16'!H83+'17'!H83+'19'!H83+'20'!H83+'22'!H83+'18'!H83+'21'!H83+'25'!H83+'23'!H83+'26'!H83+'24'!H83+'28'!H83+'27'!H83+'29'!H83+'31'!H83+'30'!H83</f>
        <v>0</v>
      </c>
      <c r="I83" s="125">
        <f>+'1'!I83+'3'!I83+'2'!I83+'6'!I83+'5'!I83+'4'!I83+'8'!I83+'7'!I83+'10'!I83+'9'!I83+'11'!I83+'12'!I83+'13'!I83+'15'!I83+'14'!I83+'16'!I83+'17'!I83+'19'!I83+'20'!I83+'22'!I83+'18'!I83+'21'!I83+'25'!I83+'23'!I83+'26'!I83+'24'!I83+'28'!I83+'27'!I83+'29'!I83+'31'!I83+'30'!I83</f>
        <v>0</v>
      </c>
      <c r="J83" s="125"/>
      <c r="K83" s="91"/>
      <c r="L83" s="125">
        <f>+'1'!L83+'3'!L83+'2'!L83+'6'!L83+'5'!L83+'4'!L83+'8'!L83+'7'!L83+'10'!L83+'9'!L83+'11'!L83+'12'!L83+'13'!L83+'15'!L83+'14'!L83+'16'!L83+'17'!L83+'19'!L83+'20'!L83+'22'!L83+'18'!L83+'21'!L83+'25'!L83+'23'!L83+'26'!L83+'24'!L83+'28'!L83+'27'!L83+'29'!L83+'31'!L83+'30'!L83</f>
        <v>0</v>
      </c>
      <c r="M83" s="125">
        <f>+'1'!M83+'3'!M83+'2'!M83+'6'!M83+'5'!M83+'4'!M83+'8'!M83+'7'!M83+'10'!M83+'9'!M83+'11'!M83+'12'!M83+'13'!M83+'15'!M83+'14'!M83+'16'!M83+'17'!M83+'19'!M83+'20'!M83+'22'!M83+'18'!M83+'21'!M83+'25'!M83+'23'!M83+'26'!M83+'24'!M83+'28'!M83+'27'!M83+'29'!M83+'31'!M83+'30'!M83</f>
        <v>0</v>
      </c>
      <c r="N83" s="125">
        <f>+'1'!N83+'3'!N83+'2'!N83+'6'!N83+'5'!N83+'4'!N83+'8'!N83+'7'!N83+'10'!N83+'9'!N83+'11'!N83+'12'!N83+'13'!N83+'15'!N83+'14'!N83+'16'!N83+'17'!N83+'19'!N83+'20'!N83+'22'!N83+'18'!N83+'21'!N83+'25'!N83+'23'!N83+'26'!N83+'24'!N83+'28'!N83+'27'!N83+'29'!N83+'31'!N83+'30'!N83</f>
        <v>0</v>
      </c>
      <c r="O83" s="125">
        <f>+'1'!O83+'3'!O83+'2'!O83+'6'!O83+'5'!O83+'4'!O83+'8'!O83+'7'!O83+'10'!O83+'9'!O83+'11'!O83+'12'!O83+'13'!O83+'15'!O83+'14'!O83+'16'!O83+'17'!O83+'19'!O83+'20'!O83+'22'!O83+'18'!O83+'21'!O83+'25'!O83+'23'!O83+'26'!O83+'24'!O83+'28'!O83+'27'!O83+'29'!O83+'31'!O83+'30'!O83</f>
        <v>0</v>
      </c>
      <c r="P83" s="125">
        <f>+'1'!P83+'3'!P83+'2'!P83+'6'!P83+'5'!P83+'4'!P83+'8'!P83+'7'!P83+'10'!P83+'9'!P83+'11'!P83+'12'!P83+'13'!P83+'15'!P83+'14'!P83+'16'!P83+'17'!P83+'19'!P83+'20'!P83+'22'!P83+'18'!P83+'21'!P83+'25'!P83+'23'!P83+'26'!P83+'24'!P83+'28'!P83+'27'!P83+'29'!P83+'31'!P83+'30'!P83</f>
        <v>0</v>
      </c>
      <c r="Q83" s="125">
        <f>+'1'!Q83+'3'!Q83+'2'!Q83+'6'!Q83+'5'!Q83+'4'!Q83+'8'!Q83+'7'!Q83+'10'!Q83+'9'!Q83+'11'!Q83+'12'!Q83+'13'!Q83+'15'!Q83+'14'!Q83+'16'!Q83+'17'!Q83+'19'!Q83+'20'!Q83+'22'!Q83+'18'!Q83+'21'!Q83+'25'!Q83+'23'!Q83+'26'!Q83+'24'!Q83+'28'!Q83+'27'!Q83+'29'!Q83+'31'!Q83+'30'!Q83</f>
        <v>0</v>
      </c>
      <c r="R83" s="125">
        <f>+'1'!R83+'3'!R83+'2'!R83+'6'!R83+'5'!R83+'4'!R83+'8'!R83+'7'!R83+'10'!R83+'9'!R83+'11'!R83+'12'!R83+'13'!R83+'15'!R83+'14'!R83+'16'!R83+'17'!R83+'19'!R83+'20'!R83+'22'!R83+'18'!R83+'21'!R83+'25'!R83+'23'!R83+'26'!R83+'24'!R83+'28'!R83+'27'!R83+'29'!R83+'31'!R83+'30'!R83</f>
        <v>0</v>
      </c>
      <c r="S83" s="125">
        <f>+'1'!S83+'3'!S83+'2'!S83+'6'!S83+'5'!S83+'4'!S83+'8'!S83+'7'!S83+'10'!S83+'9'!S83+'11'!S83+'12'!S83+'13'!S83+'15'!S83+'14'!S83+'16'!S83+'17'!S83+'19'!S83+'20'!S83+'22'!S83+'18'!S83+'21'!S83+'25'!S83+'23'!S83+'26'!S83+'24'!S83+'28'!S83+'27'!S83+'29'!S83+'31'!S83+'30'!S83</f>
        <v>0</v>
      </c>
      <c r="T83" s="126">
        <f>+'1'!T83+'3'!T83+'2'!T83+'6'!T83+'5'!T83+'4'!T83+'8'!T83+'7'!T83+'10'!T83+'9'!T83+'11'!T83+'12'!T83+'13'!T83+'15'!T83+'14'!T83+'16'!T83+'17'!T83+'19'!T83+'20'!T83+'22'!T83+'18'!T83+'21'!T83+'25'!T83+'23'!T83+'26'!T83+'24'!T83+'28'!T83+'27'!T83+'29'!T83+'31'!T83+'30'!T83</f>
        <v>0</v>
      </c>
      <c r="U83" s="127">
        <f>+'1'!U83+'3'!U83+'2'!U83+'6'!U83+'5'!U83+'4'!U83+'8'!U83+'7'!U83+'10'!U83+'9'!U83+'11'!U83+'12'!U83+'13'!U83+'15'!U83+'14'!U83+'16'!U83+'17'!U83+'19'!U83+'20'!U83+'22'!U83+'18'!U83+'21'!U83+'25'!U83+'23'!U83+'26'!U83+'24'!U83+'28'!U83+'27'!U83+'29'!U83+'31'!U83+'30'!U83</f>
        <v>0</v>
      </c>
      <c r="V83" s="127">
        <f>+'1'!V83+'3'!V83+'2'!V83+'6'!V83+'5'!V83+'4'!V83+'8'!V83+'7'!V83+'10'!V83+'9'!V83+'11'!V83+'12'!V83+'13'!V83+'15'!V83+'14'!V83+'16'!V83+'17'!V83+'19'!V83+'20'!V83+'22'!V83+'18'!V83+'21'!V83+'25'!V83+'23'!V83+'26'!V83+'24'!V83+'28'!V83+'27'!V83+'29'!V83+'31'!V83+'30'!V83</f>
        <v>0</v>
      </c>
      <c r="W83" s="127">
        <f>+'1'!W83+'3'!W83+'2'!W83+'6'!W83+'5'!W83+'4'!W83+'8'!W83+'7'!W83+'10'!W83+'9'!W83+'11'!W83+'12'!W83+'13'!W83+'15'!W83+'14'!W83+'16'!W83+'17'!W83+'19'!W83+'20'!W83+'22'!W83+'18'!W83+'21'!W83+'25'!W83+'23'!W83+'26'!W83+'24'!W83+'28'!W83+'27'!W83+'29'!W83+'31'!W83+'30'!W83</f>
        <v>0</v>
      </c>
      <c r="X83" s="127">
        <f>+'1'!X83+'3'!X83+'2'!X83+'6'!X83+'5'!X83+'4'!X83+'8'!X83+'7'!X83+'10'!X83+'9'!X83+'11'!X83+'12'!X83+'13'!X83+'15'!X83+'14'!X83+'16'!X83+'17'!X83+'19'!X83+'20'!X83+'22'!X83+'18'!X83+'21'!X83+'25'!X83+'23'!X83+'26'!X83+'24'!X83+'28'!X83+'27'!X83+'29'!X83+'31'!X83+'30'!X83</f>
        <v>0</v>
      </c>
      <c r="Y83" s="127">
        <f>+'1'!Y83+'3'!Y83+'2'!Y83+'6'!Y83+'5'!Y83+'4'!Y83+'8'!Y83+'7'!Y83+'10'!Y83+'9'!Y83+'11'!Y83+'12'!Y83+'13'!Y83+'15'!Y83+'14'!Y83+'16'!Y83+'17'!Y83+'19'!Y83+'20'!Y83+'22'!Y83+'18'!Y83+'21'!Y83+'25'!Y83+'23'!Y83+'26'!Y83+'24'!Y83+'28'!Y83+'27'!Y83+'29'!Y83+'31'!Y83+'30'!Y83</f>
        <v>0</v>
      </c>
      <c r="Z83" s="127">
        <f>+'1'!Z83+'3'!Z83+'2'!Z83+'6'!Z83+'5'!Z83+'4'!Z83+'8'!Z83+'7'!Z83+'10'!Z83+'9'!Z83+'11'!Z83+'12'!Z83+'13'!Z83+'15'!Z83+'14'!Z83+'16'!Z83+'17'!Z83+'19'!Z83+'20'!Z83+'22'!Z83+'18'!Z83+'21'!Z83+'25'!Z83+'23'!Z83+'26'!Z83+'24'!Z83+'28'!Z83+'27'!Z83+'29'!Z83+'31'!Z83+'30'!Z83</f>
        <v>0</v>
      </c>
      <c r="AA83" s="127">
        <f>+'1'!AA83+'3'!AA83+'2'!AA83+'6'!AA83+'5'!AA83+'4'!AA83+'8'!AA83+'7'!AA83+'10'!AA83+'9'!AA83+'11'!AA83+'12'!AA83+'13'!AA83+'15'!AA83+'14'!AA83+'16'!AA83+'17'!AA83+'19'!AA83+'20'!AA83+'22'!AA83+'18'!AA83+'21'!AA83+'25'!AA83+'23'!AA83+'26'!AA83+'24'!AA83+'28'!AA83+'27'!AA83+'29'!AA83+'31'!AA83+'30'!AA83</f>
        <v>0</v>
      </c>
      <c r="AB83" s="127">
        <f>+'1'!AB83+'3'!AB83+'2'!AB83+'6'!AB83+'5'!AB83+'4'!AB83+'8'!AB83+'7'!AB83+'10'!AB83+'9'!AB83+'11'!AB83+'12'!AB83+'13'!AB83+'15'!AB83+'14'!AB83+'16'!AB83+'17'!AB83+'19'!AB83+'20'!AB83+'22'!AB83+'18'!AB83+'21'!AB83+'25'!AB83+'23'!AB83+'26'!AB83+'24'!AB83+'28'!AB83+'27'!AB83+'29'!AB83+'31'!AB83+'30'!AB83</f>
        <v>0</v>
      </c>
      <c r="AC83" s="127">
        <f>+'1'!AC83+'3'!AC83+'2'!AC83+'6'!AC83+'5'!AC83+'4'!AC83+'8'!AC83+'7'!AC83+'10'!AC83+'9'!AC83+'11'!AC83+'12'!AC83+'13'!AC83+'15'!AC83+'14'!AC83+'16'!AC83+'17'!AC83+'19'!AC83+'20'!AC83+'22'!AC83+'18'!AC83+'21'!AC83+'25'!AC83+'23'!AC83+'26'!AC83+'24'!AC83+'28'!AC83+'27'!AC83+'29'!AC83+'31'!AC83+'30'!AC83</f>
        <v>0</v>
      </c>
      <c r="AD83" s="127">
        <f>+'1'!AD83+'3'!AD83+'2'!AD83+'6'!AD83+'5'!AD83+'4'!AD83+'8'!AD83+'7'!AD83+'10'!AD83+'9'!AD83+'11'!AD83+'12'!AD83+'13'!AD83+'15'!AD83+'14'!AD83+'16'!AD83+'17'!AD83+'19'!AD83+'20'!AD83+'22'!AD83+'18'!AD83+'21'!AD83+'25'!AD83+'23'!AD83+'26'!AD83+'24'!AD83+'28'!AD83+'27'!AD83+'29'!AD83+'31'!AD83+'30'!AD83</f>
        <v>0</v>
      </c>
      <c r="AE83" s="127">
        <f>+'1'!AE83+'3'!AE83+'2'!AE83+'6'!AE83+'5'!AE83+'4'!AE83+'8'!AE83+'7'!AE83+'10'!AE83+'9'!AE83+'11'!AE83+'12'!AE83+'13'!AE83+'15'!AE83+'14'!AE83+'16'!AE83+'17'!AE83+'19'!AE83+'20'!AE83+'22'!AE83+'18'!AE83+'21'!AE83+'25'!AE83+'23'!AE83+'26'!AE83+'24'!AE83+'28'!AE83+'27'!AE83+'29'!AE83+'31'!AE83+'30'!AE83</f>
        <v>0</v>
      </c>
      <c r="AF83" s="127">
        <f>+'1'!AF83+'3'!AF83+'2'!AF83+'6'!AF83+'5'!AF83+'4'!AF83+'8'!AF83+'7'!AF83+'10'!AF83+'9'!AF83+'11'!AF83+'12'!AF83+'13'!AF83+'15'!AF83+'14'!AF83+'16'!AF83+'17'!AF83+'19'!AF83+'20'!AF83+'22'!AF83+'18'!AF83+'21'!AF83+'25'!AF83+'23'!AF83+'26'!AF83+'24'!AF83+'28'!AF83+'27'!AF83+'29'!AF83+'31'!AF83+'30'!AF83</f>
        <v>0</v>
      </c>
      <c r="AG83" s="127">
        <f>+'1'!AG83+'3'!AG83+'2'!AG83+'6'!AG83+'5'!AG83+'4'!AG83+'8'!AG83+'7'!AG83+'10'!AG83+'9'!AG83+'11'!AG83+'12'!AG83+'13'!AG83+'15'!AG83+'14'!AG83+'16'!AG83+'17'!AG83+'19'!AG83+'20'!AG83+'22'!AG83+'18'!AG83+'21'!AG83+'25'!AG83+'23'!AG83+'26'!AG83+'24'!AG83+'28'!AG83+'27'!AG83+'29'!AG83+'31'!AG83+'30'!AG83</f>
        <v>0</v>
      </c>
      <c r="AH83" s="127">
        <f>+'1'!AH83+'3'!AH83+'2'!AH83+'6'!AH83+'5'!AH83+'4'!AH83+'8'!AH83+'7'!AH83+'10'!AH83+'9'!AH83+'11'!AH83+'12'!AH83+'13'!AH83+'15'!AH83+'14'!AH83+'16'!AH83+'17'!AH83+'19'!AH83+'20'!AH83+'22'!AH83+'18'!AH83+'21'!AH83+'25'!AH83+'23'!AH83+'26'!AH83+'24'!AH83+'28'!AH83+'27'!AH83+'29'!AH83+'31'!AH83+'30'!AH83</f>
        <v>0</v>
      </c>
      <c r="AI83" s="128">
        <f>+'1'!AI83+'3'!AI83+'2'!AI83+'6'!AI83+'5'!AI83+'4'!AI83+'8'!AI83+'7'!AI83+'10'!AI83+'9'!AI83+'11'!AI83+'12'!AI83+'13'!AI83+'15'!AI83+'14'!AI83+'16'!AI83+'17'!AI83+'19'!AI83+'20'!AI83+'22'!AI83+'18'!AI83+'21'!AI83+'25'!AI83+'23'!AI83+'26'!AI83+'24'!AI83+'28'!AI83+'27'!AI83+'29'!AI83+'31'!AI83+'30'!AI83</f>
        <v>0</v>
      </c>
      <c r="AJ83" s="129">
        <f>+'1'!AJ83+'3'!AJ83+'2'!AJ83+'6'!AJ83+'5'!AJ83+'4'!AJ83+'8'!AJ83+'7'!AJ83+'10'!AJ83+'9'!AJ83+'11'!AJ83+'12'!AJ83+'13'!AJ83+'15'!AJ83+'14'!AJ83+'16'!AJ83+'17'!AJ83+'19'!AJ83+'20'!AJ83+'22'!AJ83+'18'!AJ83+'21'!AJ83+'25'!AJ83+'23'!AJ83+'26'!AJ83+'24'!AJ83+'28'!AJ83+'27'!AJ83+'29'!AJ83+'31'!AJ83+'30'!AJ83</f>
        <v>0</v>
      </c>
      <c r="AK83" s="128">
        <f>+'1'!AK83+'3'!AK83+'2'!AK83+'6'!AK83+'5'!AK83+'4'!AK83+'8'!AK83+'7'!AK83+'10'!AK83+'9'!AK83+'11'!AK83+'12'!AK83+'13'!AK83+'15'!AK83+'14'!AK83+'16'!AK83+'17'!AK83+'19'!AK83+'20'!AK83+'22'!AK83+'18'!AK83+'21'!AK83+'25'!AK83+'23'!AK83+'26'!AK83+'24'!AK83+'28'!AK83+'27'!AK83+'29'!AK83+'31'!AK83+'30'!AK83</f>
        <v>0</v>
      </c>
      <c r="AL83" s="92">
        <f t="shared" si="8"/>
        <v>0</v>
      </c>
      <c r="AM83" s="122" t="str">
        <f t="shared" si="9"/>
        <v>OK</v>
      </c>
    </row>
    <row r="84" spans="1:39" ht="17.25" hidden="1" thickBot="1">
      <c r="A84" s="81"/>
      <c r="B84" s="78"/>
      <c r="C84" s="95"/>
      <c r="D84" s="83"/>
      <c r="E84" s="83"/>
      <c r="F84" s="83"/>
      <c r="G84" s="84"/>
      <c r="H84" s="26">
        <f>+'1'!H84+'3'!H84+'2'!H84+'6'!H84+'5'!H84+'4'!H84+'8'!H84+'7'!H84+'10'!H84+'9'!H84+'11'!H84+'12'!H84+'13'!H84+'15'!H84+'14'!H84+'16'!H84+'17'!H84+'19'!H84+'20'!H84+'22'!H84+'18'!H84+'21'!H84+'25'!H84+'23'!H84+'26'!H84+'24'!H84+'28'!H84+'27'!H84+'29'!H84+'31'!H84+'30'!H84</f>
        <v>0</v>
      </c>
      <c r="I84" s="27">
        <f>+'1'!I84+'3'!I84+'2'!I84+'6'!I84+'5'!I84+'4'!I84+'8'!I84+'7'!I84+'10'!I84+'9'!I84+'11'!I84+'12'!I84+'13'!I84+'15'!I84+'14'!I84+'16'!I84+'17'!I84+'19'!I84+'20'!I84+'22'!I84+'18'!I84+'21'!I84+'25'!I84+'23'!I84+'26'!I84+'24'!I84+'28'!I84+'27'!I84+'29'!I84+'31'!I84+'30'!I84</f>
        <v>0</v>
      </c>
      <c r="J84" s="27"/>
      <c r="K84" s="16"/>
      <c r="L84" s="27">
        <f>+'1'!L84+'3'!L84+'2'!L84+'6'!L84+'5'!L84+'4'!L84+'8'!L84+'7'!L84+'10'!L84+'9'!L84+'11'!L84+'12'!L84+'13'!L84+'15'!L84+'14'!L84+'16'!L84+'17'!L84+'19'!L84+'20'!L84+'22'!L84+'18'!L84+'21'!L84+'25'!L84+'23'!L84+'26'!L84+'24'!L84+'28'!L84+'27'!L84+'29'!L84+'31'!L84+'30'!L84</f>
        <v>0</v>
      </c>
      <c r="M84" s="27">
        <f>+'1'!M84+'3'!M84+'2'!M84+'6'!M84+'5'!M84+'4'!M84+'8'!M84+'7'!M84+'10'!M84+'9'!M84+'11'!M84+'12'!M84+'13'!M84+'15'!M84+'14'!M84+'16'!M84+'17'!M84+'19'!M84+'20'!M84+'22'!M84+'18'!M84+'21'!M84+'25'!M84+'23'!M84+'26'!M84+'24'!M84+'28'!M84+'27'!M84+'29'!M84+'31'!M84+'30'!M84</f>
        <v>0</v>
      </c>
      <c r="N84" s="27">
        <f>+'1'!N84+'3'!N84+'2'!N84+'6'!N84+'5'!N84+'4'!N84+'8'!N84+'7'!N84+'10'!N84+'9'!N84+'11'!N84+'12'!N84+'13'!N84+'15'!N84+'14'!N84+'16'!N84+'17'!N84+'19'!N84+'20'!N84+'22'!N84+'18'!N84+'21'!N84+'25'!N84+'23'!N84+'26'!N84+'24'!N84+'28'!N84+'27'!N84+'29'!N84+'31'!N84+'30'!N84</f>
        <v>0</v>
      </c>
      <c r="O84" s="27">
        <f>+'1'!O84+'3'!O84+'2'!O84+'6'!O84+'5'!O84+'4'!O84+'8'!O84+'7'!O84+'10'!O84+'9'!O84+'11'!O84+'12'!O84+'13'!O84+'15'!O84+'14'!O84+'16'!O84+'17'!O84+'19'!O84+'20'!O84+'22'!O84+'18'!O84+'21'!O84+'25'!O84+'23'!O84+'26'!O84+'24'!O84+'28'!O84+'27'!O84+'29'!O84+'31'!O84+'30'!O84</f>
        <v>0</v>
      </c>
      <c r="P84" s="27">
        <f>+'1'!P84+'3'!P84+'2'!P84+'6'!P84+'5'!P84+'4'!P84+'8'!P84+'7'!P84+'10'!P84+'9'!P84+'11'!P84+'12'!P84+'13'!P84+'15'!P84+'14'!P84+'16'!P84+'17'!P84+'19'!P84+'20'!P84+'22'!P84+'18'!P84+'21'!P84+'25'!P84+'23'!P84+'26'!P84+'24'!P84+'28'!P84+'27'!P84+'29'!P84+'31'!P84+'30'!P84</f>
        <v>0</v>
      </c>
      <c r="Q84" s="27">
        <f>+'1'!Q84+'3'!Q84+'2'!Q84+'6'!Q84+'5'!Q84+'4'!Q84+'8'!Q84+'7'!Q84+'10'!Q84+'9'!Q84+'11'!Q84+'12'!Q84+'13'!Q84+'15'!Q84+'14'!Q84+'16'!Q84+'17'!Q84+'19'!Q84+'20'!Q84+'22'!Q84+'18'!Q84+'21'!Q84+'25'!Q84+'23'!Q84+'26'!Q84+'24'!Q84+'28'!Q84+'27'!Q84+'29'!Q84+'31'!Q84+'30'!Q84</f>
        <v>0</v>
      </c>
      <c r="R84" s="27">
        <f>+'1'!R84+'3'!R84+'2'!R84+'6'!R84+'5'!R84+'4'!R84+'8'!R84+'7'!R84+'10'!R84+'9'!R84+'11'!R84+'12'!R84+'13'!R84+'15'!R84+'14'!R84+'16'!R84+'17'!R84+'19'!R84+'20'!R84+'22'!R84+'18'!R84+'21'!R84+'25'!R84+'23'!R84+'26'!R84+'24'!R84+'28'!R84+'27'!R84+'29'!R84+'31'!R84+'30'!R84</f>
        <v>0</v>
      </c>
      <c r="S84" s="27">
        <f>+'1'!S84+'3'!S84+'2'!S84+'6'!S84+'5'!S84+'4'!S84+'8'!S84+'7'!S84+'10'!S84+'9'!S84+'11'!S84+'12'!S84+'13'!S84+'15'!S84+'14'!S84+'16'!S84+'17'!S84+'19'!S84+'20'!S84+'22'!S84+'18'!S84+'21'!S84+'25'!S84+'23'!S84+'26'!S84+'24'!S84+'28'!S84+'27'!S84+'29'!S84+'31'!S84+'30'!S84</f>
        <v>0</v>
      </c>
      <c r="T84" s="43">
        <f>+'1'!T84+'3'!T84+'2'!T84+'6'!T84+'5'!T84+'4'!T84+'8'!T84+'7'!T84+'10'!T84+'9'!T84+'11'!T84+'12'!T84+'13'!T84+'15'!T84+'14'!T84+'16'!T84+'17'!T84+'19'!T84+'20'!T84+'22'!T84+'18'!T84+'21'!T84+'25'!T84+'23'!T84+'26'!T84+'24'!T84+'28'!T84+'27'!T84+'29'!T84+'31'!T84+'30'!T84</f>
        <v>0</v>
      </c>
      <c r="U84" s="52">
        <f>+'1'!U84+'3'!U84+'2'!U84+'6'!U84+'5'!U84+'4'!U84+'8'!U84+'7'!U84+'10'!U84+'9'!U84+'11'!U84+'12'!U84+'13'!U84+'15'!U84+'14'!U84+'16'!U84+'17'!U84+'19'!U84+'20'!U84+'22'!U84+'18'!U84+'21'!U84+'25'!U84+'23'!U84+'26'!U84+'24'!U84+'28'!U84+'27'!U84+'29'!U84+'31'!U84+'30'!U84</f>
        <v>0</v>
      </c>
      <c r="V84" s="52">
        <f>+'1'!V84+'3'!V84+'2'!V84+'6'!V84+'5'!V84+'4'!V84+'8'!V84+'7'!V84+'10'!V84+'9'!V84+'11'!V84+'12'!V84+'13'!V84+'15'!V84+'14'!V84+'16'!V84+'17'!V84+'19'!V84+'20'!V84+'22'!V84+'18'!V84+'21'!V84+'25'!V84+'23'!V84+'26'!V84+'24'!V84+'28'!V84+'27'!V84+'29'!V84+'31'!V84+'30'!V84</f>
        <v>0</v>
      </c>
      <c r="W84" s="52">
        <f>+'1'!W84+'3'!W84+'2'!W84+'6'!W84+'5'!W84+'4'!W84+'8'!W84+'7'!W84+'10'!W84+'9'!W84+'11'!W84+'12'!W84+'13'!W84+'15'!W84+'14'!W84+'16'!W84+'17'!W84+'19'!W84+'20'!W84+'22'!W84+'18'!W84+'21'!W84+'25'!W84+'23'!W84+'26'!W84+'24'!W84+'28'!W84+'27'!W84+'29'!W84+'31'!W84+'30'!W84</f>
        <v>0</v>
      </c>
      <c r="X84" s="52">
        <f>+'1'!X84+'3'!X84+'2'!X84+'6'!X84+'5'!X84+'4'!X84+'8'!X84+'7'!X84+'10'!X84+'9'!X84+'11'!X84+'12'!X84+'13'!X84+'15'!X84+'14'!X84+'16'!X84+'17'!X84+'19'!X84+'20'!X84+'22'!X84+'18'!X84+'21'!X84+'25'!X84+'23'!X84+'26'!X84+'24'!X84+'28'!X84+'27'!X84+'29'!X84+'31'!X84+'30'!X84</f>
        <v>0</v>
      </c>
      <c r="Y84" s="52">
        <f>+'1'!Y84+'3'!Y84+'2'!Y84+'6'!Y84+'5'!Y84+'4'!Y84+'8'!Y84+'7'!Y84+'10'!Y84+'9'!Y84+'11'!Y84+'12'!Y84+'13'!Y84+'15'!Y84+'14'!Y84+'16'!Y84+'17'!Y84+'19'!Y84+'20'!Y84+'22'!Y84+'18'!Y84+'21'!Y84+'25'!Y84+'23'!Y84+'26'!Y84+'24'!Y84+'28'!Y84+'27'!Y84+'29'!Y84+'31'!Y84+'30'!Y84</f>
        <v>0</v>
      </c>
      <c r="Z84" s="52">
        <f>+'1'!Z84+'3'!Z84+'2'!Z84+'6'!Z84+'5'!Z84+'4'!Z84+'8'!Z84+'7'!Z84+'10'!Z84+'9'!Z84+'11'!Z84+'12'!Z84+'13'!Z84+'15'!Z84+'14'!Z84+'16'!Z84+'17'!Z84+'19'!Z84+'20'!Z84+'22'!Z84+'18'!Z84+'21'!Z84+'25'!Z84+'23'!Z84+'26'!Z84+'24'!Z84+'28'!Z84+'27'!Z84+'29'!Z84+'31'!Z84+'30'!Z84</f>
        <v>0</v>
      </c>
      <c r="AA84" s="52">
        <f>+'1'!AA84+'3'!AA84+'2'!AA84+'6'!AA84+'5'!AA84+'4'!AA84+'8'!AA84+'7'!AA84+'10'!AA84+'9'!AA84+'11'!AA84+'12'!AA84+'13'!AA84+'15'!AA84+'14'!AA84+'16'!AA84+'17'!AA84+'19'!AA84+'20'!AA84+'22'!AA84+'18'!AA84+'21'!AA84+'25'!AA84+'23'!AA84+'26'!AA84+'24'!AA84+'28'!AA84+'27'!AA84+'29'!AA84+'31'!AA84+'30'!AA84</f>
        <v>0</v>
      </c>
      <c r="AB84" s="52">
        <f>+'1'!AB84+'3'!AB84+'2'!AB84+'6'!AB84+'5'!AB84+'4'!AB84+'8'!AB84+'7'!AB84+'10'!AB84+'9'!AB84+'11'!AB84+'12'!AB84+'13'!AB84+'15'!AB84+'14'!AB84+'16'!AB84+'17'!AB84+'19'!AB84+'20'!AB84+'22'!AB84+'18'!AB84+'21'!AB84+'25'!AB84+'23'!AB84+'26'!AB84+'24'!AB84+'28'!AB84+'27'!AB84+'29'!AB84+'31'!AB84+'30'!AB84</f>
        <v>0</v>
      </c>
      <c r="AC84" s="52">
        <f>+'1'!AC84+'3'!AC84+'2'!AC84+'6'!AC84+'5'!AC84+'4'!AC84+'8'!AC84+'7'!AC84+'10'!AC84+'9'!AC84+'11'!AC84+'12'!AC84+'13'!AC84+'15'!AC84+'14'!AC84+'16'!AC84+'17'!AC84+'19'!AC84+'20'!AC84+'22'!AC84+'18'!AC84+'21'!AC84+'25'!AC84+'23'!AC84+'26'!AC84+'24'!AC84+'28'!AC84+'27'!AC84+'29'!AC84+'31'!AC84+'30'!AC84</f>
        <v>0</v>
      </c>
      <c r="AD84" s="52">
        <f>+'1'!AD84+'3'!AD84+'2'!AD84+'6'!AD84+'5'!AD84+'4'!AD84+'8'!AD84+'7'!AD84+'10'!AD84+'9'!AD84+'11'!AD84+'12'!AD84+'13'!AD84+'15'!AD84+'14'!AD84+'16'!AD84+'17'!AD84+'19'!AD84+'20'!AD84+'22'!AD84+'18'!AD84+'21'!AD84+'25'!AD84+'23'!AD84+'26'!AD84+'24'!AD84+'28'!AD84+'27'!AD84+'29'!AD84+'31'!AD84+'30'!AD84</f>
        <v>0</v>
      </c>
      <c r="AE84" s="52">
        <f>+'1'!AE84+'3'!AE84+'2'!AE84+'6'!AE84+'5'!AE84+'4'!AE84+'8'!AE84+'7'!AE84+'10'!AE84+'9'!AE84+'11'!AE84+'12'!AE84+'13'!AE84+'15'!AE84+'14'!AE84+'16'!AE84+'17'!AE84+'19'!AE84+'20'!AE84+'22'!AE84+'18'!AE84+'21'!AE84+'25'!AE84+'23'!AE84+'26'!AE84+'24'!AE84+'28'!AE84+'27'!AE84+'29'!AE84+'31'!AE84+'30'!AE84</f>
        <v>0</v>
      </c>
      <c r="AF84" s="52">
        <f>+'1'!AF84+'3'!AF84+'2'!AF84+'6'!AF84+'5'!AF84+'4'!AF84+'8'!AF84+'7'!AF84+'10'!AF84+'9'!AF84+'11'!AF84+'12'!AF84+'13'!AF84+'15'!AF84+'14'!AF84+'16'!AF84+'17'!AF84+'19'!AF84+'20'!AF84+'22'!AF84+'18'!AF84+'21'!AF84+'25'!AF84+'23'!AF84+'26'!AF84+'24'!AF84+'28'!AF84+'27'!AF84+'29'!AF84+'31'!AF84+'30'!AF84</f>
        <v>0</v>
      </c>
      <c r="AG84" s="52">
        <f>+'1'!AG84+'3'!AG84+'2'!AG84+'6'!AG84+'5'!AG84+'4'!AG84+'8'!AG84+'7'!AG84+'10'!AG84+'9'!AG84+'11'!AG84+'12'!AG84+'13'!AG84+'15'!AG84+'14'!AG84+'16'!AG84+'17'!AG84+'19'!AG84+'20'!AG84+'22'!AG84+'18'!AG84+'21'!AG84+'25'!AG84+'23'!AG84+'26'!AG84+'24'!AG84+'28'!AG84+'27'!AG84+'29'!AG84+'31'!AG84+'30'!AG84</f>
        <v>0</v>
      </c>
      <c r="AH84" s="52">
        <f>+'1'!AH84+'3'!AH84+'2'!AH84+'6'!AH84+'5'!AH84+'4'!AH84+'8'!AH84+'7'!AH84+'10'!AH84+'9'!AH84+'11'!AH84+'12'!AH84+'13'!AH84+'15'!AH84+'14'!AH84+'16'!AH84+'17'!AH84+'19'!AH84+'20'!AH84+'22'!AH84+'18'!AH84+'21'!AH84+'25'!AH84+'23'!AH84+'26'!AH84+'24'!AH84+'28'!AH84+'27'!AH84+'29'!AH84+'31'!AH84+'30'!AH84</f>
        <v>0</v>
      </c>
      <c r="AI84" s="55">
        <f>+'1'!AI84+'3'!AI84+'2'!AI84+'6'!AI84+'5'!AI84+'4'!AI84+'8'!AI84+'7'!AI84+'10'!AI84+'9'!AI84+'11'!AI84+'12'!AI84+'13'!AI84+'15'!AI84+'14'!AI84+'16'!AI84+'17'!AI84+'19'!AI84+'20'!AI84+'22'!AI84+'18'!AI84+'21'!AI84+'25'!AI84+'23'!AI84+'26'!AI84+'24'!AI84+'28'!AI84+'27'!AI84+'29'!AI84+'31'!AI84+'30'!AI84</f>
        <v>0</v>
      </c>
      <c r="AJ84" s="58">
        <f>+'1'!AJ84+'3'!AJ84+'2'!AJ84+'6'!AJ84+'5'!AJ84+'4'!AJ84+'8'!AJ84+'7'!AJ84+'10'!AJ84+'9'!AJ84+'11'!AJ84+'12'!AJ84+'13'!AJ84+'15'!AJ84+'14'!AJ84+'16'!AJ84+'17'!AJ84+'19'!AJ84+'20'!AJ84+'22'!AJ84+'18'!AJ84+'21'!AJ84+'25'!AJ84+'23'!AJ84+'26'!AJ84+'24'!AJ84+'28'!AJ84+'27'!AJ84+'29'!AJ84+'31'!AJ84+'30'!AJ84</f>
        <v>0</v>
      </c>
      <c r="AK84" s="55">
        <f>+'1'!AK84+'3'!AK84+'2'!AK84+'6'!AK84+'5'!AK84+'4'!AK84+'8'!AK84+'7'!AK84+'10'!AK84+'9'!AK84+'11'!AK84+'12'!AK84+'13'!AK84+'15'!AK84+'14'!AK84+'16'!AK84+'17'!AK84+'19'!AK84+'20'!AK84+'22'!AK84+'18'!AK84+'21'!AK84+'25'!AK84+'23'!AK84+'26'!AK84+'24'!AK84+'28'!AK84+'27'!AK84+'29'!AK84+'31'!AK84+'30'!AK84</f>
        <v>0</v>
      </c>
      <c r="AL84" s="66">
        <f t="shared" si="8"/>
        <v>0</v>
      </c>
      <c r="AM84" s="28" t="str">
        <f t="shared" si="9"/>
        <v>OK</v>
      </c>
    </row>
    <row r="85" spans="1:39" ht="17.25" hidden="1" thickBot="1">
      <c r="A85" s="87"/>
      <c r="B85" s="93"/>
      <c r="C85" s="130"/>
      <c r="D85" s="88"/>
      <c r="E85" s="88"/>
      <c r="F85" s="88"/>
      <c r="G85" s="89"/>
      <c r="H85" s="124">
        <f>+'1'!H85+'3'!H85+'2'!H85+'6'!H85+'5'!H85+'4'!H85+'8'!H85+'7'!H85+'10'!H85+'9'!H85+'11'!H85+'12'!H85+'13'!H85+'15'!H85+'14'!H85+'16'!H85+'17'!H85+'19'!H85+'20'!H85+'22'!H85+'18'!H85+'21'!H85+'25'!H85+'23'!H85+'26'!H85+'24'!H85+'28'!H85+'27'!H85+'29'!H85+'31'!H85+'30'!H85</f>
        <v>0</v>
      </c>
      <c r="I85" s="125">
        <f>+'1'!I85+'3'!I85+'2'!I85+'6'!I85+'5'!I85+'4'!I85+'8'!I85+'7'!I85+'10'!I85+'9'!I85+'11'!I85+'12'!I85+'13'!I85+'15'!I85+'14'!I85+'16'!I85+'17'!I85+'19'!I85+'20'!I85+'22'!I85+'18'!I85+'21'!I85+'25'!I85+'23'!I85+'26'!I85+'24'!I85+'28'!I85+'27'!I85+'29'!I85+'31'!I85+'30'!I85</f>
        <v>0</v>
      </c>
      <c r="J85" s="125"/>
      <c r="K85" s="91"/>
      <c r="L85" s="125">
        <f>+'1'!L85+'3'!L85+'2'!L85+'6'!L85+'5'!L85+'4'!L85+'8'!L85+'7'!L85+'10'!L85+'9'!L85+'11'!L85+'12'!L85+'13'!L85+'15'!L85+'14'!L85+'16'!L85+'17'!L85+'19'!L85+'20'!L85+'22'!L85+'18'!L85+'21'!L85+'25'!L85+'23'!L85+'26'!L85+'24'!L85+'28'!L85+'27'!L85+'29'!L85+'31'!L85+'30'!L85</f>
        <v>0</v>
      </c>
      <c r="M85" s="125">
        <f>+'1'!M85+'3'!M85+'2'!M85+'6'!M85+'5'!M85+'4'!M85+'8'!M85+'7'!M85+'10'!M85+'9'!M85+'11'!M85+'12'!M85+'13'!M85+'15'!M85+'14'!M85+'16'!M85+'17'!M85+'19'!M85+'20'!M85+'22'!M85+'18'!M85+'21'!M85+'25'!M85+'23'!M85+'26'!M85+'24'!M85+'28'!M85+'27'!M85+'29'!M85+'31'!M85+'30'!M85</f>
        <v>0</v>
      </c>
      <c r="N85" s="125">
        <f>+'1'!N85+'3'!N85+'2'!N85+'6'!N85+'5'!N85+'4'!N85+'8'!N85+'7'!N85+'10'!N85+'9'!N85+'11'!N85+'12'!N85+'13'!N85+'15'!N85+'14'!N85+'16'!N85+'17'!N85+'19'!N85+'20'!N85+'22'!N85+'18'!N85+'21'!N85+'25'!N85+'23'!N85+'26'!N85+'24'!N85+'28'!N85+'27'!N85+'29'!N85+'31'!N85+'30'!N85</f>
        <v>0</v>
      </c>
      <c r="O85" s="125">
        <f>+'1'!O85+'3'!O85+'2'!O85+'6'!O85+'5'!O85+'4'!O85+'8'!O85+'7'!O85+'10'!O85+'9'!O85+'11'!O85+'12'!O85+'13'!O85+'15'!O85+'14'!O85+'16'!O85+'17'!O85+'19'!O85+'20'!O85+'22'!O85+'18'!O85+'21'!O85+'25'!O85+'23'!O85+'26'!O85+'24'!O85+'28'!O85+'27'!O85+'29'!O85+'31'!O85+'30'!O85</f>
        <v>0</v>
      </c>
      <c r="P85" s="125">
        <f>+'1'!P85+'3'!P85+'2'!P85+'6'!P85+'5'!P85+'4'!P85+'8'!P85+'7'!P85+'10'!P85+'9'!P85+'11'!P85+'12'!P85+'13'!P85+'15'!P85+'14'!P85+'16'!P85+'17'!P85+'19'!P85+'20'!P85+'22'!P85+'18'!P85+'21'!P85+'25'!P85+'23'!P85+'26'!P85+'24'!P85+'28'!P85+'27'!P85+'29'!P85+'31'!P85+'30'!P85</f>
        <v>0</v>
      </c>
      <c r="Q85" s="125">
        <f>+'1'!Q85+'3'!Q85+'2'!Q85+'6'!Q85+'5'!Q85+'4'!Q85+'8'!Q85+'7'!Q85+'10'!Q85+'9'!Q85+'11'!Q85+'12'!Q85+'13'!Q85+'15'!Q85+'14'!Q85+'16'!Q85+'17'!Q85+'19'!Q85+'20'!Q85+'22'!Q85+'18'!Q85+'21'!Q85+'25'!Q85+'23'!Q85+'26'!Q85+'24'!Q85+'28'!Q85+'27'!Q85+'29'!Q85+'31'!Q85+'30'!Q85</f>
        <v>0</v>
      </c>
      <c r="R85" s="125">
        <f>+'1'!R85+'3'!R85+'2'!R85+'6'!R85+'5'!R85+'4'!R85+'8'!R85+'7'!R85+'10'!R85+'9'!R85+'11'!R85+'12'!R85+'13'!R85+'15'!R85+'14'!R85+'16'!R85+'17'!R85+'19'!R85+'20'!R85+'22'!R85+'18'!R85+'21'!R85+'25'!R85+'23'!R85+'26'!R85+'24'!R85+'28'!R85+'27'!R85+'29'!R85+'31'!R85+'30'!R85</f>
        <v>0</v>
      </c>
      <c r="S85" s="125">
        <f>+'1'!S85+'3'!S85+'2'!S85+'6'!S85+'5'!S85+'4'!S85+'8'!S85+'7'!S85+'10'!S85+'9'!S85+'11'!S85+'12'!S85+'13'!S85+'15'!S85+'14'!S85+'16'!S85+'17'!S85+'19'!S85+'20'!S85+'22'!S85+'18'!S85+'21'!S85+'25'!S85+'23'!S85+'26'!S85+'24'!S85+'28'!S85+'27'!S85+'29'!S85+'31'!S85+'30'!S85</f>
        <v>0</v>
      </c>
      <c r="T85" s="126">
        <f>+'1'!T85+'3'!T85+'2'!T85+'6'!T85+'5'!T85+'4'!T85+'8'!T85+'7'!T85+'10'!T85+'9'!T85+'11'!T85+'12'!T85+'13'!T85+'15'!T85+'14'!T85+'16'!T85+'17'!T85+'19'!T85+'20'!T85+'22'!T85+'18'!T85+'21'!T85+'25'!T85+'23'!T85+'26'!T85+'24'!T85+'28'!T85+'27'!T85+'29'!T85+'31'!T85+'30'!T85</f>
        <v>0</v>
      </c>
      <c r="U85" s="127">
        <f>+'1'!U85+'3'!U85+'2'!U85+'6'!U85+'5'!U85+'4'!U85+'8'!U85+'7'!U85+'10'!U85+'9'!U85+'11'!U85+'12'!U85+'13'!U85+'15'!U85+'14'!U85+'16'!U85+'17'!U85+'19'!U85+'20'!U85+'22'!U85+'18'!U85+'21'!U85+'25'!U85+'23'!U85+'26'!U85+'24'!U85+'28'!U85+'27'!U85+'29'!U85+'31'!U85+'30'!U85</f>
        <v>0</v>
      </c>
      <c r="V85" s="127">
        <f>+'1'!V85+'3'!V85+'2'!V85+'6'!V85+'5'!V85+'4'!V85+'8'!V85+'7'!V85+'10'!V85+'9'!V85+'11'!V85+'12'!V85+'13'!V85+'15'!V85+'14'!V85+'16'!V85+'17'!V85+'19'!V85+'20'!V85+'22'!V85+'18'!V85+'21'!V85+'25'!V85+'23'!V85+'26'!V85+'24'!V85+'28'!V85+'27'!V85+'29'!V85+'31'!V85+'30'!V85</f>
        <v>0</v>
      </c>
      <c r="W85" s="127">
        <f>+'1'!W85+'3'!W85+'2'!W85+'6'!W85+'5'!W85+'4'!W85+'8'!W85+'7'!W85+'10'!W85+'9'!W85+'11'!W85+'12'!W85+'13'!W85+'15'!W85+'14'!W85+'16'!W85+'17'!W85+'19'!W85+'20'!W85+'22'!W85+'18'!W85+'21'!W85+'25'!W85+'23'!W85+'26'!W85+'24'!W85+'28'!W85+'27'!W85+'29'!W85+'31'!W85+'30'!W85</f>
        <v>0</v>
      </c>
      <c r="X85" s="127">
        <f>+'1'!X85+'3'!X85+'2'!X85+'6'!X85+'5'!X85+'4'!X85+'8'!X85+'7'!X85+'10'!X85+'9'!X85+'11'!X85+'12'!X85+'13'!X85+'15'!X85+'14'!X85+'16'!X85+'17'!X85+'19'!X85+'20'!X85+'22'!X85+'18'!X85+'21'!X85+'25'!X85+'23'!X85+'26'!X85+'24'!X85+'28'!X85+'27'!X85+'29'!X85+'31'!X85+'30'!X85</f>
        <v>0</v>
      </c>
      <c r="Y85" s="127">
        <f>+'1'!Y85+'3'!Y85+'2'!Y85+'6'!Y85+'5'!Y85+'4'!Y85+'8'!Y85+'7'!Y85+'10'!Y85+'9'!Y85+'11'!Y85+'12'!Y85+'13'!Y85+'15'!Y85+'14'!Y85+'16'!Y85+'17'!Y85+'19'!Y85+'20'!Y85+'22'!Y85+'18'!Y85+'21'!Y85+'25'!Y85+'23'!Y85+'26'!Y85+'24'!Y85+'28'!Y85+'27'!Y85+'29'!Y85+'31'!Y85+'30'!Y85</f>
        <v>0</v>
      </c>
      <c r="Z85" s="127">
        <f>+'1'!Z85+'3'!Z85+'2'!Z85+'6'!Z85+'5'!Z85+'4'!Z85+'8'!Z85+'7'!Z85+'10'!Z85+'9'!Z85+'11'!Z85+'12'!Z85+'13'!Z85+'15'!Z85+'14'!Z85+'16'!Z85+'17'!Z85+'19'!Z85+'20'!Z85+'22'!Z85+'18'!Z85+'21'!Z85+'25'!Z85+'23'!Z85+'26'!Z85+'24'!Z85+'28'!Z85+'27'!Z85+'29'!Z85+'31'!Z85+'30'!Z85</f>
        <v>0</v>
      </c>
      <c r="AA85" s="127">
        <f>+'1'!AA85+'3'!AA85+'2'!AA85+'6'!AA85+'5'!AA85+'4'!AA85+'8'!AA85+'7'!AA85+'10'!AA85+'9'!AA85+'11'!AA85+'12'!AA85+'13'!AA85+'15'!AA85+'14'!AA85+'16'!AA85+'17'!AA85+'19'!AA85+'20'!AA85+'22'!AA85+'18'!AA85+'21'!AA85+'25'!AA85+'23'!AA85+'26'!AA85+'24'!AA85+'28'!AA85+'27'!AA85+'29'!AA85+'31'!AA85+'30'!AA85</f>
        <v>0</v>
      </c>
      <c r="AB85" s="127">
        <f>+'1'!AB85+'3'!AB85+'2'!AB85+'6'!AB85+'5'!AB85+'4'!AB85+'8'!AB85+'7'!AB85+'10'!AB85+'9'!AB85+'11'!AB85+'12'!AB85+'13'!AB85+'15'!AB85+'14'!AB85+'16'!AB85+'17'!AB85+'19'!AB85+'20'!AB85+'22'!AB85+'18'!AB85+'21'!AB85+'25'!AB85+'23'!AB85+'26'!AB85+'24'!AB85+'28'!AB85+'27'!AB85+'29'!AB85+'31'!AB85+'30'!AB85</f>
        <v>0</v>
      </c>
      <c r="AC85" s="127">
        <f>+'1'!AC85+'3'!AC85+'2'!AC85+'6'!AC85+'5'!AC85+'4'!AC85+'8'!AC85+'7'!AC85+'10'!AC85+'9'!AC85+'11'!AC85+'12'!AC85+'13'!AC85+'15'!AC85+'14'!AC85+'16'!AC85+'17'!AC85+'19'!AC85+'20'!AC85+'22'!AC85+'18'!AC85+'21'!AC85+'25'!AC85+'23'!AC85+'26'!AC85+'24'!AC85+'28'!AC85+'27'!AC85+'29'!AC85+'31'!AC85+'30'!AC85</f>
        <v>0</v>
      </c>
      <c r="AD85" s="127">
        <f>+'1'!AD85+'3'!AD85+'2'!AD85+'6'!AD85+'5'!AD85+'4'!AD85+'8'!AD85+'7'!AD85+'10'!AD85+'9'!AD85+'11'!AD85+'12'!AD85+'13'!AD85+'15'!AD85+'14'!AD85+'16'!AD85+'17'!AD85+'19'!AD85+'20'!AD85+'22'!AD85+'18'!AD85+'21'!AD85+'25'!AD85+'23'!AD85+'26'!AD85+'24'!AD85+'28'!AD85+'27'!AD85+'29'!AD85+'31'!AD85+'30'!AD85</f>
        <v>0</v>
      </c>
      <c r="AE85" s="127">
        <f>+'1'!AE85+'3'!AE85+'2'!AE85+'6'!AE85+'5'!AE85+'4'!AE85+'8'!AE85+'7'!AE85+'10'!AE85+'9'!AE85+'11'!AE85+'12'!AE85+'13'!AE85+'15'!AE85+'14'!AE85+'16'!AE85+'17'!AE85+'19'!AE85+'20'!AE85+'22'!AE85+'18'!AE85+'21'!AE85+'25'!AE85+'23'!AE85+'26'!AE85+'24'!AE85+'28'!AE85+'27'!AE85+'29'!AE85+'31'!AE85+'30'!AE85</f>
        <v>0</v>
      </c>
      <c r="AF85" s="127">
        <f>+'1'!AF85+'3'!AF85+'2'!AF85+'6'!AF85+'5'!AF85+'4'!AF85+'8'!AF85+'7'!AF85+'10'!AF85+'9'!AF85+'11'!AF85+'12'!AF85+'13'!AF85+'15'!AF85+'14'!AF85+'16'!AF85+'17'!AF85+'19'!AF85+'20'!AF85+'22'!AF85+'18'!AF85+'21'!AF85+'25'!AF85+'23'!AF85+'26'!AF85+'24'!AF85+'28'!AF85+'27'!AF85+'29'!AF85+'31'!AF85+'30'!AF85</f>
        <v>0</v>
      </c>
      <c r="AG85" s="127">
        <f>+'1'!AG85+'3'!AG85+'2'!AG85+'6'!AG85+'5'!AG85+'4'!AG85+'8'!AG85+'7'!AG85+'10'!AG85+'9'!AG85+'11'!AG85+'12'!AG85+'13'!AG85+'15'!AG85+'14'!AG85+'16'!AG85+'17'!AG85+'19'!AG85+'20'!AG85+'22'!AG85+'18'!AG85+'21'!AG85+'25'!AG85+'23'!AG85+'26'!AG85+'24'!AG85+'28'!AG85+'27'!AG85+'29'!AG85+'31'!AG85+'30'!AG85</f>
        <v>0</v>
      </c>
      <c r="AH85" s="127">
        <f>+'1'!AH85+'3'!AH85+'2'!AH85+'6'!AH85+'5'!AH85+'4'!AH85+'8'!AH85+'7'!AH85+'10'!AH85+'9'!AH85+'11'!AH85+'12'!AH85+'13'!AH85+'15'!AH85+'14'!AH85+'16'!AH85+'17'!AH85+'19'!AH85+'20'!AH85+'22'!AH85+'18'!AH85+'21'!AH85+'25'!AH85+'23'!AH85+'26'!AH85+'24'!AH85+'28'!AH85+'27'!AH85+'29'!AH85+'31'!AH85+'30'!AH85</f>
        <v>0</v>
      </c>
      <c r="AI85" s="128">
        <f>+'1'!AI85+'3'!AI85+'2'!AI85+'6'!AI85+'5'!AI85+'4'!AI85+'8'!AI85+'7'!AI85+'10'!AI85+'9'!AI85+'11'!AI85+'12'!AI85+'13'!AI85+'15'!AI85+'14'!AI85+'16'!AI85+'17'!AI85+'19'!AI85+'20'!AI85+'22'!AI85+'18'!AI85+'21'!AI85+'25'!AI85+'23'!AI85+'26'!AI85+'24'!AI85+'28'!AI85+'27'!AI85+'29'!AI85+'31'!AI85+'30'!AI85</f>
        <v>0</v>
      </c>
      <c r="AJ85" s="129">
        <f>+'1'!AJ85+'3'!AJ85+'2'!AJ85+'6'!AJ85+'5'!AJ85+'4'!AJ85+'8'!AJ85+'7'!AJ85+'10'!AJ85+'9'!AJ85+'11'!AJ85+'12'!AJ85+'13'!AJ85+'15'!AJ85+'14'!AJ85+'16'!AJ85+'17'!AJ85+'19'!AJ85+'20'!AJ85+'22'!AJ85+'18'!AJ85+'21'!AJ85+'25'!AJ85+'23'!AJ85+'26'!AJ85+'24'!AJ85+'28'!AJ85+'27'!AJ85+'29'!AJ85+'31'!AJ85+'30'!AJ85</f>
        <v>0</v>
      </c>
      <c r="AK85" s="128">
        <f>+'1'!AK85+'3'!AK85+'2'!AK85+'6'!AK85+'5'!AK85+'4'!AK85+'8'!AK85+'7'!AK85+'10'!AK85+'9'!AK85+'11'!AK85+'12'!AK85+'13'!AK85+'15'!AK85+'14'!AK85+'16'!AK85+'17'!AK85+'19'!AK85+'20'!AK85+'22'!AK85+'18'!AK85+'21'!AK85+'25'!AK85+'23'!AK85+'26'!AK85+'24'!AK85+'28'!AK85+'27'!AK85+'29'!AK85+'31'!AK85+'30'!AK85</f>
        <v>0</v>
      </c>
      <c r="AL85" s="92">
        <f t="shared" si="8"/>
        <v>0</v>
      </c>
      <c r="AM85" s="122" t="str">
        <f t="shared" si="9"/>
        <v>OK</v>
      </c>
    </row>
    <row r="86" spans="1:39" ht="17.25" hidden="1" thickBot="1">
      <c r="A86" s="68"/>
      <c r="B86" s="78"/>
      <c r="C86" s="23"/>
      <c r="D86" s="83"/>
      <c r="E86" s="83"/>
      <c r="F86" s="83"/>
      <c r="G86" s="84"/>
      <c r="H86" s="26">
        <f>+'1'!H86+'3'!H86+'2'!H86+'6'!H86+'5'!H86+'4'!H86+'8'!H86+'7'!H86+'10'!H86+'9'!H86+'11'!H86+'12'!H86+'13'!H86+'15'!H86+'14'!H86+'16'!H86+'17'!H86+'19'!H86+'20'!H86+'22'!H86+'18'!H86+'21'!H86+'25'!H86+'23'!H86+'26'!H86+'24'!H86+'28'!H86+'27'!H86+'29'!H86+'31'!H86+'30'!H86</f>
        <v>0</v>
      </c>
      <c r="I86" s="27">
        <f>+'1'!I86+'3'!I86+'2'!I86+'6'!I86+'5'!I86+'4'!I86+'8'!I86+'7'!I86+'10'!I86+'9'!I86+'11'!I86+'12'!I86+'13'!I86+'15'!I86+'14'!I86+'16'!I86+'17'!I86+'19'!I86+'20'!I86+'22'!I86+'18'!I86+'21'!I86+'25'!I86+'23'!I86+'26'!I86+'24'!I86+'28'!I86+'27'!I86+'29'!I86+'31'!I86+'30'!I86</f>
        <v>0</v>
      </c>
      <c r="J86" s="27"/>
      <c r="K86" s="16"/>
      <c r="L86" s="27">
        <f>+'1'!L86+'3'!L86+'2'!L86+'6'!L86+'5'!L86+'4'!L86+'8'!L86+'7'!L86+'10'!L86+'9'!L86+'11'!L86+'12'!L86+'13'!L86+'15'!L86+'14'!L86+'16'!L86+'17'!L86+'19'!L86+'20'!L86+'22'!L86+'18'!L86+'21'!L86+'25'!L86+'23'!L86+'26'!L86+'24'!L86+'28'!L86+'27'!L86+'29'!L86+'31'!L86+'30'!L86</f>
        <v>0</v>
      </c>
      <c r="M86" s="27">
        <f>+'1'!M86+'3'!M86+'2'!M86+'6'!M86+'5'!M86+'4'!M86+'8'!M86+'7'!M86+'10'!M86+'9'!M86+'11'!M86+'12'!M86+'13'!M86+'15'!M86+'14'!M86+'16'!M86+'17'!M86+'19'!M86+'20'!M86+'22'!M86+'18'!M86+'21'!M86+'25'!M86+'23'!M86+'26'!M86+'24'!M86+'28'!M86+'27'!M86+'29'!M86+'31'!M86+'30'!M86</f>
        <v>0</v>
      </c>
      <c r="N86" s="27">
        <f>+'1'!N86+'3'!N86+'2'!N86+'6'!N86+'5'!N86+'4'!N86+'8'!N86+'7'!N86+'10'!N86+'9'!N86+'11'!N86+'12'!N86+'13'!N86+'15'!N86+'14'!N86+'16'!N86+'17'!N86+'19'!N86+'20'!N86+'22'!N86+'18'!N86+'21'!N86+'25'!N86+'23'!N86+'26'!N86+'24'!N86+'28'!N86+'27'!N86+'29'!N86+'31'!N86+'30'!N86</f>
        <v>0</v>
      </c>
      <c r="O86" s="27">
        <f>+'1'!O86+'3'!O86+'2'!O86+'6'!O86+'5'!O86+'4'!O86+'8'!O86+'7'!O86+'10'!O86+'9'!O86+'11'!O86+'12'!O86+'13'!O86+'15'!O86+'14'!O86+'16'!O86+'17'!O86+'19'!O86+'20'!O86+'22'!O86+'18'!O86+'21'!O86+'25'!O86+'23'!O86+'26'!O86+'24'!O86+'28'!O86+'27'!O86+'29'!O86+'31'!O86+'30'!O86</f>
        <v>0</v>
      </c>
      <c r="P86" s="27">
        <f>+'1'!P86+'3'!P86+'2'!P86+'6'!P86+'5'!P86+'4'!P86+'8'!P86+'7'!P86+'10'!P86+'9'!P86+'11'!P86+'12'!P86+'13'!P86+'15'!P86+'14'!P86+'16'!P86+'17'!P86+'19'!P86+'20'!P86+'22'!P86+'18'!P86+'21'!P86+'25'!P86+'23'!P86+'26'!P86+'24'!P86+'28'!P86+'27'!P86+'29'!P86+'31'!P86+'30'!P86</f>
        <v>0</v>
      </c>
      <c r="Q86" s="27">
        <f>+'1'!Q86+'3'!Q86+'2'!Q86+'6'!Q86+'5'!Q86+'4'!Q86+'8'!Q86+'7'!Q86+'10'!Q86+'9'!Q86+'11'!Q86+'12'!Q86+'13'!Q86+'15'!Q86+'14'!Q86+'16'!Q86+'17'!Q86+'19'!Q86+'20'!Q86+'22'!Q86+'18'!Q86+'21'!Q86+'25'!Q86+'23'!Q86+'26'!Q86+'24'!Q86+'28'!Q86+'27'!Q86+'29'!Q86+'31'!Q86+'30'!Q86</f>
        <v>0</v>
      </c>
      <c r="R86" s="27">
        <f>+'1'!R86+'3'!R86+'2'!R86+'6'!R86+'5'!R86+'4'!R86+'8'!R86+'7'!R86+'10'!R86+'9'!R86+'11'!R86+'12'!R86+'13'!R86+'15'!R86+'14'!R86+'16'!R86+'17'!R86+'19'!R86+'20'!R86+'22'!R86+'18'!R86+'21'!R86+'25'!R86+'23'!R86+'26'!R86+'24'!R86+'28'!R86+'27'!R86+'29'!R86+'31'!R86+'30'!R86</f>
        <v>0</v>
      </c>
      <c r="S86" s="27">
        <f>+'1'!S86+'3'!S86+'2'!S86+'6'!S86+'5'!S86+'4'!S86+'8'!S86+'7'!S86+'10'!S86+'9'!S86+'11'!S86+'12'!S86+'13'!S86+'15'!S86+'14'!S86+'16'!S86+'17'!S86+'19'!S86+'20'!S86+'22'!S86+'18'!S86+'21'!S86+'25'!S86+'23'!S86+'26'!S86+'24'!S86+'28'!S86+'27'!S86+'29'!S86+'31'!S86+'30'!S86</f>
        <v>0</v>
      </c>
      <c r="T86" s="43">
        <f>+'1'!T86+'3'!T86+'2'!T86+'6'!T86+'5'!T86+'4'!T86+'8'!T86+'7'!T86+'10'!T86+'9'!T86+'11'!T86+'12'!T86+'13'!T86+'15'!T86+'14'!T86+'16'!T86+'17'!T86+'19'!T86+'20'!T86+'22'!T86+'18'!T86+'21'!T86+'25'!T86+'23'!T86+'26'!T86+'24'!T86+'28'!T86+'27'!T86+'29'!T86+'31'!T86+'30'!T86</f>
        <v>0</v>
      </c>
      <c r="U86" s="52">
        <f>+'1'!U86+'3'!U86+'2'!U86+'6'!U86+'5'!U86+'4'!U86+'8'!U86+'7'!U86+'10'!U86+'9'!U86+'11'!U86+'12'!U86+'13'!U86+'15'!U86+'14'!U86+'16'!U86+'17'!U86+'19'!U86+'20'!U86+'22'!U86+'18'!U86+'21'!U86+'25'!U86+'23'!U86+'26'!U86+'24'!U86+'28'!U86+'27'!U86+'29'!U86+'31'!U86+'30'!U86</f>
        <v>0</v>
      </c>
      <c r="V86" s="52">
        <f>+'1'!V86+'3'!V86+'2'!V86+'6'!V86+'5'!V86+'4'!V86+'8'!V86+'7'!V86+'10'!V86+'9'!V86+'11'!V86+'12'!V86+'13'!V86+'15'!V86+'14'!V86+'16'!V86+'17'!V86+'19'!V86+'20'!V86+'22'!V86+'18'!V86+'21'!V86+'25'!V86+'23'!V86+'26'!V86+'24'!V86+'28'!V86+'27'!V86+'29'!V86+'31'!V86+'30'!V86</f>
        <v>0</v>
      </c>
      <c r="W86" s="52">
        <f>+'1'!W86+'3'!W86+'2'!W86+'6'!W86+'5'!W86+'4'!W86+'8'!W86+'7'!W86+'10'!W86+'9'!W86+'11'!W86+'12'!W86+'13'!W86+'15'!W86+'14'!W86+'16'!W86+'17'!W86+'19'!W86+'20'!W86+'22'!W86+'18'!W86+'21'!W86+'25'!W86+'23'!W86+'26'!W86+'24'!W86+'28'!W86+'27'!W86+'29'!W86+'31'!W86+'30'!W86</f>
        <v>0</v>
      </c>
      <c r="X86" s="52">
        <f>+'1'!X86+'3'!X86+'2'!X86+'6'!X86+'5'!X86+'4'!X86+'8'!X86+'7'!X86+'10'!X86+'9'!X86+'11'!X86+'12'!X86+'13'!X86+'15'!X86+'14'!X86+'16'!X86+'17'!X86+'19'!X86+'20'!X86+'22'!X86+'18'!X86+'21'!X86+'25'!X86+'23'!X86+'26'!X86+'24'!X86+'28'!X86+'27'!X86+'29'!X86+'31'!X86+'30'!X86</f>
        <v>0</v>
      </c>
      <c r="Y86" s="52">
        <f>+'1'!Y86+'3'!Y86+'2'!Y86+'6'!Y86+'5'!Y86+'4'!Y86+'8'!Y86+'7'!Y86+'10'!Y86+'9'!Y86+'11'!Y86+'12'!Y86+'13'!Y86+'15'!Y86+'14'!Y86+'16'!Y86+'17'!Y86+'19'!Y86+'20'!Y86+'22'!Y86+'18'!Y86+'21'!Y86+'25'!Y86+'23'!Y86+'26'!Y86+'24'!Y86+'28'!Y86+'27'!Y86+'29'!Y86+'31'!Y86+'30'!Y86</f>
        <v>0</v>
      </c>
      <c r="Z86" s="52">
        <f>+'1'!Z86+'3'!Z86+'2'!Z86+'6'!Z86+'5'!Z86+'4'!Z86+'8'!Z86+'7'!Z86+'10'!Z86+'9'!Z86+'11'!Z86+'12'!Z86+'13'!Z86+'15'!Z86+'14'!Z86+'16'!Z86+'17'!Z86+'19'!Z86+'20'!Z86+'22'!Z86+'18'!Z86+'21'!Z86+'25'!Z86+'23'!Z86+'26'!Z86+'24'!Z86+'28'!Z86+'27'!Z86+'29'!Z86+'31'!Z86+'30'!Z86</f>
        <v>0</v>
      </c>
      <c r="AA86" s="52">
        <f>+'1'!AA86+'3'!AA86+'2'!AA86+'6'!AA86+'5'!AA86+'4'!AA86+'8'!AA86+'7'!AA86+'10'!AA86+'9'!AA86+'11'!AA86+'12'!AA86+'13'!AA86+'15'!AA86+'14'!AA86+'16'!AA86+'17'!AA86+'19'!AA86+'20'!AA86+'22'!AA86+'18'!AA86+'21'!AA86+'25'!AA86+'23'!AA86+'26'!AA86+'24'!AA86+'28'!AA86+'27'!AA86+'29'!AA86+'31'!AA86+'30'!AA86</f>
        <v>0</v>
      </c>
      <c r="AB86" s="52">
        <f>+'1'!AB86+'3'!AB86+'2'!AB86+'6'!AB86+'5'!AB86+'4'!AB86+'8'!AB86+'7'!AB86+'10'!AB86+'9'!AB86+'11'!AB86+'12'!AB86+'13'!AB86+'15'!AB86+'14'!AB86+'16'!AB86+'17'!AB86+'19'!AB86+'20'!AB86+'22'!AB86+'18'!AB86+'21'!AB86+'25'!AB86+'23'!AB86+'26'!AB86+'24'!AB86+'28'!AB86+'27'!AB86+'29'!AB86+'31'!AB86+'30'!AB86</f>
        <v>0</v>
      </c>
      <c r="AC86" s="52">
        <f>+'1'!AC86+'3'!AC86+'2'!AC86+'6'!AC86+'5'!AC86+'4'!AC86+'8'!AC86+'7'!AC86+'10'!AC86+'9'!AC86+'11'!AC86+'12'!AC86+'13'!AC86+'15'!AC86+'14'!AC86+'16'!AC86+'17'!AC86+'19'!AC86+'20'!AC86+'22'!AC86+'18'!AC86+'21'!AC86+'25'!AC86+'23'!AC86+'26'!AC86+'24'!AC86+'28'!AC86+'27'!AC86+'29'!AC86+'31'!AC86+'30'!AC86</f>
        <v>0</v>
      </c>
      <c r="AD86" s="52">
        <f>+'1'!AD86+'3'!AD86+'2'!AD86+'6'!AD86+'5'!AD86+'4'!AD86+'8'!AD86+'7'!AD86+'10'!AD86+'9'!AD86+'11'!AD86+'12'!AD86+'13'!AD86+'15'!AD86+'14'!AD86+'16'!AD86+'17'!AD86+'19'!AD86+'20'!AD86+'22'!AD86+'18'!AD86+'21'!AD86+'25'!AD86+'23'!AD86+'26'!AD86+'24'!AD86+'28'!AD86+'27'!AD86+'29'!AD86+'31'!AD86+'30'!AD86</f>
        <v>0</v>
      </c>
      <c r="AE86" s="52">
        <f>+'1'!AE86+'3'!AE86+'2'!AE86+'6'!AE86+'5'!AE86+'4'!AE86+'8'!AE86+'7'!AE86+'10'!AE86+'9'!AE86+'11'!AE86+'12'!AE86+'13'!AE86+'15'!AE86+'14'!AE86+'16'!AE86+'17'!AE86+'19'!AE86+'20'!AE86+'22'!AE86+'18'!AE86+'21'!AE86+'25'!AE86+'23'!AE86+'26'!AE86+'24'!AE86+'28'!AE86+'27'!AE86+'29'!AE86+'31'!AE86+'30'!AE86</f>
        <v>0</v>
      </c>
      <c r="AF86" s="52">
        <f>+'1'!AF86+'3'!AF86+'2'!AF86+'6'!AF86+'5'!AF86+'4'!AF86+'8'!AF86+'7'!AF86+'10'!AF86+'9'!AF86+'11'!AF86+'12'!AF86+'13'!AF86+'15'!AF86+'14'!AF86+'16'!AF86+'17'!AF86+'19'!AF86+'20'!AF86+'22'!AF86+'18'!AF86+'21'!AF86+'25'!AF86+'23'!AF86+'26'!AF86+'24'!AF86+'28'!AF86+'27'!AF86+'29'!AF86+'31'!AF86+'30'!AF86</f>
        <v>0</v>
      </c>
      <c r="AG86" s="52">
        <f>+'1'!AG86+'3'!AG86+'2'!AG86+'6'!AG86+'5'!AG86+'4'!AG86+'8'!AG86+'7'!AG86+'10'!AG86+'9'!AG86+'11'!AG86+'12'!AG86+'13'!AG86+'15'!AG86+'14'!AG86+'16'!AG86+'17'!AG86+'19'!AG86+'20'!AG86+'22'!AG86+'18'!AG86+'21'!AG86+'25'!AG86+'23'!AG86+'26'!AG86+'24'!AG86+'28'!AG86+'27'!AG86+'29'!AG86+'31'!AG86+'30'!AG86</f>
        <v>0</v>
      </c>
      <c r="AH86" s="52">
        <f>+'1'!AH86+'3'!AH86+'2'!AH86+'6'!AH86+'5'!AH86+'4'!AH86+'8'!AH86+'7'!AH86+'10'!AH86+'9'!AH86+'11'!AH86+'12'!AH86+'13'!AH86+'15'!AH86+'14'!AH86+'16'!AH86+'17'!AH86+'19'!AH86+'20'!AH86+'22'!AH86+'18'!AH86+'21'!AH86+'25'!AH86+'23'!AH86+'26'!AH86+'24'!AH86+'28'!AH86+'27'!AH86+'29'!AH86+'31'!AH86+'30'!AH86</f>
        <v>0</v>
      </c>
      <c r="AI86" s="55">
        <f>+'1'!AI86+'3'!AI86+'2'!AI86+'6'!AI86+'5'!AI86+'4'!AI86+'8'!AI86+'7'!AI86+'10'!AI86+'9'!AI86+'11'!AI86+'12'!AI86+'13'!AI86+'15'!AI86+'14'!AI86+'16'!AI86+'17'!AI86+'19'!AI86+'20'!AI86+'22'!AI86+'18'!AI86+'21'!AI86+'25'!AI86+'23'!AI86+'26'!AI86+'24'!AI86+'28'!AI86+'27'!AI86+'29'!AI86+'31'!AI86+'30'!AI86</f>
        <v>0</v>
      </c>
      <c r="AJ86" s="58">
        <f>+'1'!AJ86+'3'!AJ86+'2'!AJ86+'6'!AJ86+'5'!AJ86+'4'!AJ86+'8'!AJ86+'7'!AJ86+'10'!AJ86+'9'!AJ86+'11'!AJ86+'12'!AJ86+'13'!AJ86+'15'!AJ86+'14'!AJ86+'16'!AJ86+'17'!AJ86+'19'!AJ86+'20'!AJ86+'22'!AJ86+'18'!AJ86+'21'!AJ86+'25'!AJ86+'23'!AJ86+'26'!AJ86+'24'!AJ86+'28'!AJ86+'27'!AJ86+'29'!AJ86+'31'!AJ86+'30'!AJ86</f>
        <v>0</v>
      </c>
      <c r="AK86" s="55">
        <f>+'1'!AK86+'3'!AK86+'2'!AK86+'6'!AK86+'5'!AK86+'4'!AK86+'8'!AK86+'7'!AK86+'10'!AK86+'9'!AK86+'11'!AK86+'12'!AK86+'13'!AK86+'15'!AK86+'14'!AK86+'16'!AK86+'17'!AK86+'19'!AK86+'20'!AK86+'22'!AK86+'18'!AK86+'21'!AK86+'25'!AK86+'23'!AK86+'26'!AK86+'24'!AK86+'28'!AK86+'27'!AK86+'29'!AK86+'31'!AK86+'30'!AK86</f>
        <v>0</v>
      </c>
      <c r="AL86" s="66">
        <f t="shared" si="8"/>
        <v>0</v>
      </c>
      <c r="AM86" s="28" t="str">
        <f t="shared" si="9"/>
        <v>OK</v>
      </c>
    </row>
    <row r="87" spans="1:39" ht="17.25" hidden="1" thickBot="1">
      <c r="A87" s="87"/>
      <c r="B87" s="93"/>
      <c r="C87" s="130"/>
      <c r="D87" s="88"/>
      <c r="E87" s="88"/>
      <c r="F87" s="88"/>
      <c r="G87" s="89"/>
      <c r="H87" s="124">
        <f>+'1'!H87+'3'!H87+'2'!H87+'6'!H87+'5'!H87+'4'!H87+'8'!H87+'7'!H87+'10'!H87+'9'!H87+'11'!H87+'12'!H87+'13'!H87+'15'!H87+'14'!H87+'16'!H87+'17'!H87+'19'!H87+'20'!H87+'22'!H87+'18'!H87+'21'!H87+'25'!H87+'23'!H87+'26'!H87+'24'!H87+'28'!H87+'27'!H87+'29'!H87+'31'!H87+'30'!H87</f>
        <v>0</v>
      </c>
      <c r="I87" s="125">
        <f>+'1'!I87+'3'!I87+'2'!I87+'6'!I87+'5'!I87+'4'!I87+'8'!I87+'7'!I87+'10'!I87+'9'!I87+'11'!I87+'12'!I87+'13'!I87+'15'!I87+'14'!I87+'16'!I87+'17'!I87+'19'!I87+'20'!I87+'22'!I87+'18'!I87+'21'!I87+'25'!I87+'23'!I87+'26'!I87+'24'!I87+'28'!I87+'27'!I87+'29'!I87+'31'!I87+'30'!I87</f>
        <v>0</v>
      </c>
      <c r="J87" s="125"/>
      <c r="K87" s="91"/>
      <c r="L87" s="125">
        <f>+'1'!L87+'3'!L87+'2'!L87+'6'!L87+'5'!L87+'4'!L87+'8'!L87+'7'!L87+'10'!L87+'9'!L87+'11'!L87+'12'!L87+'13'!L87+'15'!L87+'14'!L87+'16'!L87+'17'!L87+'19'!L87+'20'!L87+'22'!L87+'18'!L87+'21'!L87+'25'!L87+'23'!L87+'26'!L87+'24'!L87+'28'!L87+'27'!L87+'29'!L87+'31'!L87+'30'!L87</f>
        <v>0</v>
      </c>
      <c r="M87" s="125">
        <f>+'1'!M87+'3'!M87+'2'!M87+'6'!M87+'5'!M87+'4'!M87+'8'!M87+'7'!M87+'10'!M87+'9'!M87+'11'!M87+'12'!M87+'13'!M87+'15'!M87+'14'!M87+'16'!M87+'17'!M87+'19'!M87+'20'!M87+'22'!M87+'18'!M87+'21'!M87+'25'!M87+'23'!M87+'26'!M87+'24'!M87+'28'!M87+'27'!M87+'29'!M87+'31'!M87+'30'!M87</f>
        <v>0</v>
      </c>
      <c r="N87" s="125">
        <f>+'1'!N87+'3'!N87+'2'!N87+'6'!N87+'5'!N87+'4'!N87+'8'!N87+'7'!N87+'10'!N87+'9'!N87+'11'!N87+'12'!N87+'13'!N87+'15'!N87+'14'!N87+'16'!N87+'17'!N87+'19'!N87+'20'!N87+'22'!N87+'18'!N87+'21'!N87+'25'!N87+'23'!N87+'26'!N87+'24'!N87+'28'!N87+'27'!N87+'29'!N87+'31'!N87+'30'!N87</f>
        <v>0</v>
      </c>
      <c r="O87" s="125">
        <f>+'1'!O87+'3'!O87+'2'!O87+'6'!O87+'5'!O87+'4'!O87+'8'!O87+'7'!O87+'10'!O87+'9'!O87+'11'!O87+'12'!O87+'13'!O87+'15'!O87+'14'!O87+'16'!O87+'17'!O87+'19'!O87+'20'!O87+'22'!O87+'18'!O87+'21'!O87+'25'!O87+'23'!O87+'26'!O87+'24'!O87+'28'!O87+'27'!O87+'29'!O87+'31'!O87+'30'!O87</f>
        <v>0</v>
      </c>
      <c r="P87" s="125">
        <f>+'1'!P87+'3'!P87+'2'!P87+'6'!P87+'5'!P87+'4'!P87+'8'!P87+'7'!P87+'10'!P87+'9'!P87+'11'!P87+'12'!P87+'13'!P87+'15'!P87+'14'!P87+'16'!P87+'17'!P87+'19'!P87+'20'!P87+'22'!P87+'18'!P87+'21'!P87+'25'!P87+'23'!P87+'26'!P87+'24'!P87+'28'!P87+'27'!P87+'29'!P87+'31'!P87+'30'!P87</f>
        <v>0</v>
      </c>
      <c r="Q87" s="125">
        <f>+'1'!Q87+'3'!Q87+'2'!Q87+'6'!Q87+'5'!Q87+'4'!Q87+'8'!Q87+'7'!Q87+'10'!Q87+'9'!Q87+'11'!Q87+'12'!Q87+'13'!Q87+'15'!Q87+'14'!Q87+'16'!Q87+'17'!Q87+'19'!Q87+'20'!Q87+'22'!Q87+'18'!Q87+'21'!Q87+'25'!Q87+'23'!Q87+'26'!Q87+'24'!Q87+'28'!Q87+'27'!Q87+'29'!Q87+'31'!Q87+'30'!Q87</f>
        <v>0</v>
      </c>
      <c r="R87" s="125">
        <f>+'1'!R87+'3'!R87+'2'!R87+'6'!R87+'5'!R87+'4'!R87+'8'!R87+'7'!R87+'10'!R87+'9'!R87+'11'!R87+'12'!R87+'13'!R87+'15'!R87+'14'!R87+'16'!R87+'17'!R87+'19'!R87+'20'!R87+'22'!R87+'18'!R87+'21'!R87+'25'!R87+'23'!R87+'26'!R87+'24'!R87+'28'!R87+'27'!R87+'29'!R87+'31'!R87+'30'!R87</f>
        <v>0</v>
      </c>
      <c r="S87" s="125">
        <f>+'1'!S87+'3'!S87+'2'!S87+'6'!S87+'5'!S87+'4'!S87+'8'!S87+'7'!S87+'10'!S87+'9'!S87+'11'!S87+'12'!S87+'13'!S87+'15'!S87+'14'!S87+'16'!S87+'17'!S87+'19'!S87+'20'!S87+'22'!S87+'18'!S87+'21'!S87+'25'!S87+'23'!S87+'26'!S87+'24'!S87+'28'!S87+'27'!S87+'29'!S87+'31'!S87+'30'!S87</f>
        <v>0</v>
      </c>
      <c r="T87" s="126">
        <f>+'1'!T87+'3'!T87+'2'!T87+'6'!T87+'5'!T87+'4'!T87+'8'!T87+'7'!T87+'10'!T87+'9'!T87+'11'!T87+'12'!T87+'13'!T87+'15'!T87+'14'!T87+'16'!T87+'17'!T87+'19'!T87+'20'!T87+'22'!T87+'18'!T87+'21'!T87+'25'!T87+'23'!T87+'26'!T87+'24'!T87+'28'!T87+'27'!T87+'29'!T87+'31'!T87+'30'!T87</f>
        <v>0</v>
      </c>
      <c r="U87" s="127">
        <f>+'1'!U87+'3'!U87+'2'!U87+'6'!U87+'5'!U87+'4'!U87+'8'!U87+'7'!U87+'10'!U87+'9'!U87+'11'!U87+'12'!U87+'13'!U87+'15'!U87+'14'!U87+'16'!U87+'17'!U87+'19'!U87+'20'!U87+'22'!U87+'18'!U87+'21'!U87+'25'!U87+'23'!U87+'26'!U87+'24'!U87+'28'!U87+'27'!U87+'29'!U87+'31'!U87+'30'!U87</f>
        <v>0</v>
      </c>
      <c r="V87" s="127">
        <f>+'1'!V87+'3'!V87+'2'!V87+'6'!V87+'5'!V87+'4'!V87+'8'!V87+'7'!V87+'10'!V87+'9'!V87+'11'!V87+'12'!V87+'13'!V87+'15'!V87+'14'!V87+'16'!V87+'17'!V87+'19'!V87+'20'!V87+'22'!V87+'18'!V87+'21'!V87+'25'!V87+'23'!V87+'26'!V87+'24'!V87+'28'!V87+'27'!V87+'29'!V87+'31'!V87+'30'!V87</f>
        <v>0</v>
      </c>
      <c r="W87" s="127">
        <f>+'1'!W87+'3'!W87+'2'!W87+'6'!W87+'5'!W87+'4'!W87+'8'!W87+'7'!W87+'10'!W87+'9'!W87+'11'!W87+'12'!W87+'13'!W87+'15'!W87+'14'!W87+'16'!W87+'17'!W87+'19'!W87+'20'!W87+'22'!W87+'18'!W87+'21'!W87+'25'!W87+'23'!W87+'26'!W87+'24'!W87+'28'!W87+'27'!W87+'29'!W87+'31'!W87+'30'!W87</f>
        <v>0</v>
      </c>
      <c r="X87" s="127">
        <f>+'1'!X87+'3'!X87+'2'!X87+'6'!X87+'5'!X87+'4'!X87+'8'!X87+'7'!X87+'10'!X87+'9'!X87+'11'!X87+'12'!X87+'13'!X87+'15'!X87+'14'!X87+'16'!X87+'17'!X87+'19'!X87+'20'!X87+'22'!X87+'18'!X87+'21'!X87+'25'!X87+'23'!X87+'26'!X87+'24'!X87+'28'!X87+'27'!X87+'29'!X87+'31'!X87+'30'!X87</f>
        <v>0</v>
      </c>
      <c r="Y87" s="127">
        <f>+'1'!Y87+'3'!Y87+'2'!Y87+'6'!Y87+'5'!Y87+'4'!Y87+'8'!Y87+'7'!Y87+'10'!Y87+'9'!Y87+'11'!Y87+'12'!Y87+'13'!Y87+'15'!Y87+'14'!Y87+'16'!Y87+'17'!Y87+'19'!Y87+'20'!Y87+'22'!Y87+'18'!Y87+'21'!Y87+'25'!Y87+'23'!Y87+'26'!Y87+'24'!Y87+'28'!Y87+'27'!Y87+'29'!Y87+'31'!Y87+'30'!Y87</f>
        <v>0</v>
      </c>
      <c r="Z87" s="127">
        <f>+'1'!Z87+'3'!Z87+'2'!Z87+'6'!Z87+'5'!Z87+'4'!Z87+'8'!Z87+'7'!Z87+'10'!Z87+'9'!Z87+'11'!Z87+'12'!Z87+'13'!Z87+'15'!Z87+'14'!Z87+'16'!Z87+'17'!Z87+'19'!Z87+'20'!Z87+'22'!Z87+'18'!Z87+'21'!Z87+'25'!Z87+'23'!Z87+'26'!Z87+'24'!Z87+'28'!Z87+'27'!Z87+'29'!Z87+'31'!Z87+'30'!Z87</f>
        <v>0</v>
      </c>
      <c r="AA87" s="127">
        <f>+'1'!AA87+'3'!AA87+'2'!AA87+'6'!AA87+'5'!AA87+'4'!AA87+'8'!AA87+'7'!AA87+'10'!AA87+'9'!AA87+'11'!AA87+'12'!AA87+'13'!AA87+'15'!AA87+'14'!AA87+'16'!AA87+'17'!AA87+'19'!AA87+'20'!AA87+'22'!AA87+'18'!AA87+'21'!AA87+'25'!AA87+'23'!AA87+'26'!AA87+'24'!AA87+'28'!AA87+'27'!AA87+'29'!AA87+'31'!AA87+'30'!AA87</f>
        <v>0</v>
      </c>
      <c r="AB87" s="127">
        <f>+'1'!AB87+'3'!AB87+'2'!AB87+'6'!AB87+'5'!AB87+'4'!AB87+'8'!AB87+'7'!AB87+'10'!AB87+'9'!AB87+'11'!AB87+'12'!AB87+'13'!AB87+'15'!AB87+'14'!AB87+'16'!AB87+'17'!AB87+'19'!AB87+'20'!AB87+'22'!AB87+'18'!AB87+'21'!AB87+'25'!AB87+'23'!AB87+'26'!AB87+'24'!AB87+'28'!AB87+'27'!AB87+'29'!AB87+'31'!AB87+'30'!AB87</f>
        <v>0</v>
      </c>
      <c r="AC87" s="127">
        <f>+'1'!AC87+'3'!AC87+'2'!AC87+'6'!AC87+'5'!AC87+'4'!AC87+'8'!AC87+'7'!AC87+'10'!AC87+'9'!AC87+'11'!AC87+'12'!AC87+'13'!AC87+'15'!AC87+'14'!AC87+'16'!AC87+'17'!AC87+'19'!AC87+'20'!AC87+'22'!AC87+'18'!AC87+'21'!AC87+'25'!AC87+'23'!AC87+'26'!AC87+'24'!AC87+'28'!AC87+'27'!AC87+'29'!AC87+'31'!AC87+'30'!AC87</f>
        <v>0</v>
      </c>
      <c r="AD87" s="127">
        <f>+'1'!AD87+'3'!AD87+'2'!AD87+'6'!AD87+'5'!AD87+'4'!AD87+'8'!AD87+'7'!AD87+'10'!AD87+'9'!AD87+'11'!AD87+'12'!AD87+'13'!AD87+'15'!AD87+'14'!AD87+'16'!AD87+'17'!AD87+'19'!AD87+'20'!AD87+'22'!AD87+'18'!AD87+'21'!AD87+'25'!AD87+'23'!AD87+'26'!AD87+'24'!AD87+'28'!AD87+'27'!AD87+'29'!AD87+'31'!AD87+'30'!AD87</f>
        <v>0</v>
      </c>
      <c r="AE87" s="127">
        <f>+'1'!AE87+'3'!AE87+'2'!AE87+'6'!AE87+'5'!AE87+'4'!AE87+'8'!AE87+'7'!AE87+'10'!AE87+'9'!AE87+'11'!AE87+'12'!AE87+'13'!AE87+'15'!AE87+'14'!AE87+'16'!AE87+'17'!AE87+'19'!AE87+'20'!AE87+'22'!AE87+'18'!AE87+'21'!AE87+'25'!AE87+'23'!AE87+'26'!AE87+'24'!AE87+'28'!AE87+'27'!AE87+'29'!AE87+'31'!AE87+'30'!AE87</f>
        <v>0</v>
      </c>
      <c r="AF87" s="127">
        <f>+'1'!AF87+'3'!AF87+'2'!AF87+'6'!AF87+'5'!AF87+'4'!AF87+'8'!AF87+'7'!AF87+'10'!AF87+'9'!AF87+'11'!AF87+'12'!AF87+'13'!AF87+'15'!AF87+'14'!AF87+'16'!AF87+'17'!AF87+'19'!AF87+'20'!AF87+'22'!AF87+'18'!AF87+'21'!AF87+'25'!AF87+'23'!AF87+'26'!AF87+'24'!AF87+'28'!AF87+'27'!AF87+'29'!AF87+'31'!AF87+'30'!AF87</f>
        <v>0</v>
      </c>
      <c r="AG87" s="127">
        <f>+'1'!AG87+'3'!AG87+'2'!AG87+'6'!AG87+'5'!AG87+'4'!AG87+'8'!AG87+'7'!AG87+'10'!AG87+'9'!AG87+'11'!AG87+'12'!AG87+'13'!AG87+'15'!AG87+'14'!AG87+'16'!AG87+'17'!AG87+'19'!AG87+'20'!AG87+'22'!AG87+'18'!AG87+'21'!AG87+'25'!AG87+'23'!AG87+'26'!AG87+'24'!AG87+'28'!AG87+'27'!AG87+'29'!AG87+'31'!AG87+'30'!AG87</f>
        <v>0</v>
      </c>
      <c r="AH87" s="127">
        <f>+'1'!AH87+'3'!AH87+'2'!AH87+'6'!AH87+'5'!AH87+'4'!AH87+'8'!AH87+'7'!AH87+'10'!AH87+'9'!AH87+'11'!AH87+'12'!AH87+'13'!AH87+'15'!AH87+'14'!AH87+'16'!AH87+'17'!AH87+'19'!AH87+'20'!AH87+'22'!AH87+'18'!AH87+'21'!AH87+'25'!AH87+'23'!AH87+'26'!AH87+'24'!AH87+'28'!AH87+'27'!AH87+'29'!AH87+'31'!AH87+'30'!AH87</f>
        <v>0</v>
      </c>
      <c r="AI87" s="128">
        <f>+'1'!AI87+'3'!AI87+'2'!AI87+'6'!AI87+'5'!AI87+'4'!AI87+'8'!AI87+'7'!AI87+'10'!AI87+'9'!AI87+'11'!AI87+'12'!AI87+'13'!AI87+'15'!AI87+'14'!AI87+'16'!AI87+'17'!AI87+'19'!AI87+'20'!AI87+'22'!AI87+'18'!AI87+'21'!AI87+'25'!AI87+'23'!AI87+'26'!AI87+'24'!AI87+'28'!AI87+'27'!AI87+'29'!AI87+'31'!AI87+'30'!AI87</f>
        <v>0</v>
      </c>
      <c r="AJ87" s="129">
        <f>+'1'!AJ87+'3'!AJ87+'2'!AJ87+'6'!AJ87+'5'!AJ87+'4'!AJ87+'8'!AJ87+'7'!AJ87+'10'!AJ87+'9'!AJ87+'11'!AJ87+'12'!AJ87+'13'!AJ87+'15'!AJ87+'14'!AJ87+'16'!AJ87+'17'!AJ87+'19'!AJ87+'20'!AJ87+'22'!AJ87+'18'!AJ87+'21'!AJ87+'25'!AJ87+'23'!AJ87+'26'!AJ87+'24'!AJ87+'28'!AJ87+'27'!AJ87+'29'!AJ87+'31'!AJ87+'30'!AJ87</f>
        <v>0</v>
      </c>
      <c r="AK87" s="128">
        <f>+'1'!AK87+'3'!AK87+'2'!AK87+'6'!AK87+'5'!AK87+'4'!AK87+'8'!AK87+'7'!AK87+'10'!AK87+'9'!AK87+'11'!AK87+'12'!AK87+'13'!AK87+'15'!AK87+'14'!AK87+'16'!AK87+'17'!AK87+'19'!AK87+'20'!AK87+'22'!AK87+'18'!AK87+'21'!AK87+'25'!AK87+'23'!AK87+'26'!AK87+'24'!AK87+'28'!AK87+'27'!AK87+'29'!AK87+'31'!AK87+'30'!AK87</f>
        <v>0</v>
      </c>
      <c r="AL87" s="92">
        <f t="shared" si="8"/>
        <v>0</v>
      </c>
      <c r="AM87" s="122" t="str">
        <f t="shared" si="9"/>
        <v>OK</v>
      </c>
    </row>
    <row r="88" spans="1:39" ht="17.25" hidden="1" thickBot="1">
      <c r="A88" s="68"/>
      <c r="B88" s="78"/>
      <c r="C88" s="23"/>
      <c r="D88" s="83"/>
      <c r="E88" s="83"/>
      <c r="F88" s="83"/>
      <c r="G88" s="84"/>
      <c r="H88" s="26">
        <f>+'1'!H88+'3'!H88+'2'!H88+'6'!H88+'5'!H88+'4'!H88+'8'!H88+'7'!H88+'10'!H88+'9'!H88+'11'!H88+'12'!H88+'13'!H88+'15'!H88+'14'!H88+'16'!H88+'17'!H88+'19'!H88+'20'!H88+'22'!H88+'18'!H88+'21'!H88+'25'!H88+'23'!H88+'26'!H88+'24'!H88+'28'!H88+'27'!H88+'29'!H88+'31'!H88+'30'!H88</f>
        <v>0</v>
      </c>
      <c r="I88" s="27">
        <f>+'1'!I88+'3'!I88+'2'!I88+'6'!I88+'5'!I88+'4'!I88+'8'!I88+'7'!I88+'10'!I88+'9'!I88+'11'!I88+'12'!I88+'13'!I88+'15'!I88+'14'!I88+'16'!I88+'17'!I88+'19'!I88+'20'!I88+'22'!I88+'18'!I88+'21'!I88+'25'!I88+'23'!I88+'26'!I88+'24'!I88+'28'!I88+'27'!I88+'29'!I88+'31'!I88+'30'!I88</f>
        <v>0</v>
      </c>
      <c r="J88" s="27"/>
      <c r="K88" s="16"/>
      <c r="L88" s="27">
        <f>+'1'!L88+'3'!L88+'2'!L88+'6'!L88+'5'!L88+'4'!L88+'8'!L88+'7'!L88+'10'!L88+'9'!L88+'11'!L88+'12'!L88+'13'!L88+'15'!L88+'14'!L88+'16'!L88+'17'!L88+'19'!L88+'20'!L88+'22'!L88+'18'!L88+'21'!L88+'25'!L88+'23'!L88+'26'!L88+'24'!L88+'28'!L88+'27'!L88+'29'!L88+'31'!L88+'30'!L88</f>
        <v>0</v>
      </c>
      <c r="M88" s="27">
        <f>+'1'!M88+'3'!M88+'2'!M88+'6'!M88+'5'!M88+'4'!M88+'8'!M88+'7'!M88+'10'!M88+'9'!M88+'11'!M88+'12'!M88+'13'!M88+'15'!M88+'14'!M88+'16'!M88+'17'!M88+'19'!M88+'20'!M88+'22'!M88+'18'!M88+'21'!M88+'25'!M88+'23'!M88+'26'!M88+'24'!M88+'28'!M88+'27'!M88+'29'!M88+'31'!M88+'30'!M88</f>
        <v>0</v>
      </c>
      <c r="N88" s="27">
        <f>+'1'!N88+'3'!N88+'2'!N88+'6'!N88+'5'!N88+'4'!N88+'8'!N88+'7'!N88+'10'!N88+'9'!N88+'11'!N88+'12'!N88+'13'!N88+'15'!N88+'14'!N88+'16'!N88+'17'!N88+'19'!N88+'20'!N88+'22'!N88+'18'!N88+'21'!N88+'25'!N88+'23'!N88+'26'!N88+'24'!N88+'28'!N88+'27'!N88+'29'!N88+'31'!N88+'30'!N88</f>
        <v>0</v>
      </c>
      <c r="O88" s="27">
        <f>+'1'!O88+'3'!O88+'2'!O88+'6'!O88+'5'!O88+'4'!O88+'8'!O88+'7'!O88+'10'!O88+'9'!O88+'11'!O88+'12'!O88+'13'!O88+'15'!O88+'14'!O88+'16'!O88+'17'!O88+'19'!O88+'20'!O88+'22'!O88+'18'!O88+'21'!O88+'25'!O88+'23'!O88+'26'!O88+'24'!O88+'28'!O88+'27'!O88+'29'!O88+'31'!O88+'30'!O88</f>
        <v>0</v>
      </c>
      <c r="P88" s="27">
        <f>+'1'!P88+'3'!P88+'2'!P88+'6'!P88+'5'!P88+'4'!P88+'8'!P88+'7'!P88+'10'!P88+'9'!P88+'11'!P88+'12'!P88+'13'!P88+'15'!P88+'14'!P88+'16'!P88+'17'!P88+'19'!P88+'20'!P88+'22'!P88+'18'!P88+'21'!P88+'25'!P88+'23'!P88+'26'!P88+'24'!P88+'28'!P88+'27'!P88+'29'!P88+'31'!P88+'30'!P88</f>
        <v>0</v>
      </c>
      <c r="Q88" s="27">
        <f>+'1'!Q88+'3'!Q88+'2'!Q88+'6'!Q88+'5'!Q88+'4'!Q88+'8'!Q88+'7'!Q88+'10'!Q88+'9'!Q88+'11'!Q88+'12'!Q88+'13'!Q88+'15'!Q88+'14'!Q88+'16'!Q88+'17'!Q88+'19'!Q88+'20'!Q88+'22'!Q88+'18'!Q88+'21'!Q88+'25'!Q88+'23'!Q88+'26'!Q88+'24'!Q88+'28'!Q88+'27'!Q88+'29'!Q88+'31'!Q88+'30'!Q88</f>
        <v>0</v>
      </c>
      <c r="R88" s="27">
        <f>+'1'!R88+'3'!R88+'2'!R88+'6'!R88+'5'!R88+'4'!R88+'8'!R88+'7'!R88+'10'!R88+'9'!R88+'11'!R88+'12'!R88+'13'!R88+'15'!R88+'14'!R88+'16'!R88+'17'!R88+'19'!R88+'20'!R88+'22'!R88+'18'!R88+'21'!R88+'25'!R88+'23'!R88+'26'!R88+'24'!R88+'28'!R88+'27'!R88+'29'!R88+'31'!R88+'30'!R88</f>
        <v>0</v>
      </c>
      <c r="S88" s="27">
        <f>+'1'!S88+'3'!S88+'2'!S88+'6'!S88+'5'!S88+'4'!S88+'8'!S88+'7'!S88+'10'!S88+'9'!S88+'11'!S88+'12'!S88+'13'!S88+'15'!S88+'14'!S88+'16'!S88+'17'!S88+'19'!S88+'20'!S88+'22'!S88+'18'!S88+'21'!S88+'25'!S88+'23'!S88+'26'!S88+'24'!S88+'28'!S88+'27'!S88+'29'!S88+'31'!S88+'30'!S88</f>
        <v>0</v>
      </c>
      <c r="T88" s="43">
        <f>+'1'!T88+'3'!T88+'2'!T88+'6'!T88+'5'!T88+'4'!T88+'8'!T88+'7'!T88+'10'!T88+'9'!T88+'11'!T88+'12'!T88+'13'!T88+'15'!T88+'14'!T88+'16'!T88+'17'!T88+'19'!T88+'20'!T88+'22'!T88+'18'!T88+'21'!T88+'25'!T88+'23'!T88+'26'!T88+'24'!T88+'28'!T88+'27'!T88+'29'!T88+'31'!T88+'30'!T88</f>
        <v>0</v>
      </c>
      <c r="U88" s="52">
        <f>+'1'!U88+'3'!U88+'2'!U88+'6'!U88+'5'!U88+'4'!U88+'8'!U88+'7'!U88+'10'!U88+'9'!U88+'11'!U88+'12'!U88+'13'!U88+'15'!U88+'14'!U88+'16'!U88+'17'!U88+'19'!U88+'20'!U88+'22'!U88+'18'!U88+'21'!U88+'25'!U88+'23'!U88+'26'!U88+'24'!U88+'28'!U88+'27'!U88+'29'!U88+'31'!U88+'30'!U88</f>
        <v>0</v>
      </c>
      <c r="V88" s="52">
        <f>+'1'!V88+'3'!V88+'2'!V88+'6'!V88+'5'!V88+'4'!V88+'8'!V88+'7'!V88+'10'!V88+'9'!V88+'11'!V88+'12'!V88+'13'!V88+'15'!V88+'14'!V88+'16'!V88+'17'!V88+'19'!V88+'20'!V88+'22'!V88+'18'!V88+'21'!V88+'25'!V88+'23'!V88+'26'!V88+'24'!V88+'28'!V88+'27'!V88+'29'!V88+'31'!V88+'30'!V88</f>
        <v>0</v>
      </c>
      <c r="W88" s="52">
        <f>+'1'!W88+'3'!W88+'2'!W88+'6'!W88+'5'!W88+'4'!W88+'8'!W88+'7'!W88+'10'!W88+'9'!W88+'11'!W88+'12'!W88+'13'!W88+'15'!W88+'14'!W88+'16'!W88+'17'!W88+'19'!W88+'20'!W88+'22'!W88+'18'!W88+'21'!W88+'25'!W88+'23'!W88+'26'!W88+'24'!W88+'28'!W88+'27'!W88+'29'!W88+'31'!W88+'30'!W88</f>
        <v>0</v>
      </c>
      <c r="X88" s="52">
        <f>+'1'!X88+'3'!X88+'2'!X88+'6'!X88+'5'!X88+'4'!X88+'8'!X88+'7'!X88+'10'!X88+'9'!X88+'11'!X88+'12'!X88+'13'!X88+'15'!X88+'14'!X88+'16'!X88+'17'!X88+'19'!X88+'20'!X88+'22'!X88+'18'!X88+'21'!X88+'25'!X88+'23'!X88+'26'!X88+'24'!X88+'28'!X88+'27'!X88+'29'!X88+'31'!X88+'30'!X88</f>
        <v>0</v>
      </c>
      <c r="Y88" s="52">
        <f>+'1'!Y88+'3'!Y88+'2'!Y88+'6'!Y88+'5'!Y88+'4'!Y88+'8'!Y88+'7'!Y88+'10'!Y88+'9'!Y88+'11'!Y88+'12'!Y88+'13'!Y88+'15'!Y88+'14'!Y88+'16'!Y88+'17'!Y88+'19'!Y88+'20'!Y88+'22'!Y88+'18'!Y88+'21'!Y88+'25'!Y88+'23'!Y88+'26'!Y88+'24'!Y88+'28'!Y88+'27'!Y88+'29'!Y88+'31'!Y88+'30'!Y88</f>
        <v>0</v>
      </c>
      <c r="Z88" s="52">
        <f>+'1'!Z88+'3'!Z88+'2'!Z88+'6'!Z88+'5'!Z88+'4'!Z88+'8'!Z88+'7'!Z88+'10'!Z88+'9'!Z88+'11'!Z88+'12'!Z88+'13'!Z88+'15'!Z88+'14'!Z88+'16'!Z88+'17'!Z88+'19'!Z88+'20'!Z88+'22'!Z88+'18'!Z88+'21'!Z88+'25'!Z88+'23'!Z88+'26'!Z88+'24'!Z88+'28'!Z88+'27'!Z88+'29'!Z88+'31'!Z88+'30'!Z88</f>
        <v>0</v>
      </c>
      <c r="AA88" s="52">
        <f>+'1'!AA88+'3'!AA88+'2'!AA88+'6'!AA88+'5'!AA88+'4'!AA88+'8'!AA88+'7'!AA88+'10'!AA88+'9'!AA88+'11'!AA88+'12'!AA88+'13'!AA88+'15'!AA88+'14'!AA88+'16'!AA88+'17'!AA88+'19'!AA88+'20'!AA88+'22'!AA88+'18'!AA88+'21'!AA88+'25'!AA88+'23'!AA88+'26'!AA88+'24'!AA88+'28'!AA88+'27'!AA88+'29'!AA88+'31'!AA88+'30'!AA88</f>
        <v>0</v>
      </c>
      <c r="AB88" s="52">
        <f>+'1'!AB88+'3'!AB88+'2'!AB88+'6'!AB88+'5'!AB88+'4'!AB88+'8'!AB88+'7'!AB88+'10'!AB88+'9'!AB88+'11'!AB88+'12'!AB88+'13'!AB88+'15'!AB88+'14'!AB88+'16'!AB88+'17'!AB88+'19'!AB88+'20'!AB88+'22'!AB88+'18'!AB88+'21'!AB88+'25'!AB88+'23'!AB88+'26'!AB88+'24'!AB88+'28'!AB88+'27'!AB88+'29'!AB88+'31'!AB88+'30'!AB88</f>
        <v>0</v>
      </c>
      <c r="AC88" s="52">
        <f>+'1'!AC88+'3'!AC88+'2'!AC88+'6'!AC88+'5'!AC88+'4'!AC88+'8'!AC88+'7'!AC88+'10'!AC88+'9'!AC88+'11'!AC88+'12'!AC88+'13'!AC88+'15'!AC88+'14'!AC88+'16'!AC88+'17'!AC88+'19'!AC88+'20'!AC88+'22'!AC88+'18'!AC88+'21'!AC88+'25'!AC88+'23'!AC88+'26'!AC88+'24'!AC88+'28'!AC88+'27'!AC88+'29'!AC88+'31'!AC88+'30'!AC88</f>
        <v>0</v>
      </c>
      <c r="AD88" s="52">
        <f>+'1'!AD88+'3'!AD88+'2'!AD88+'6'!AD88+'5'!AD88+'4'!AD88+'8'!AD88+'7'!AD88+'10'!AD88+'9'!AD88+'11'!AD88+'12'!AD88+'13'!AD88+'15'!AD88+'14'!AD88+'16'!AD88+'17'!AD88+'19'!AD88+'20'!AD88+'22'!AD88+'18'!AD88+'21'!AD88+'25'!AD88+'23'!AD88+'26'!AD88+'24'!AD88+'28'!AD88+'27'!AD88+'29'!AD88+'31'!AD88+'30'!AD88</f>
        <v>0</v>
      </c>
      <c r="AE88" s="52">
        <f>+'1'!AE88+'3'!AE88+'2'!AE88+'6'!AE88+'5'!AE88+'4'!AE88+'8'!AE88+'7'!AE88+'10'!AE88+'9'!AE88+'11'!AE88+'12'!AE88+'13'!AE88+'15'!AE88+'14'!AE88+'16'!AE88+'17'!AE88+'19'!AE88+'20'!AE88+'22'!AE88+'18'!AE88+'21'!AE88+'25'!AE88+'23'!AE88+'26'!AE88+'24'!AE88+'28'!AE88+'27'!AE88+'29'!AE88+'31'!AE88+'30'!AE88</f>
        <v>0</v>
      </c>
      <c r="AF88" s="52">
        <f>+'1'!AF88+'3'!AF88+'2'!AF88+'6'!AF88+'5'!AF88+'4'!AF88+'8'!AF88+'7'!AF88+'10'!AF88+'9'!AF88+'11'!AF88+'12'!AF88+'13'!AF88+'15'!AF88+'14'!AF88+'16'!AF88+'17'!AF88+'19'!AF88+'20'!AF88+'22'!AF88+'18'!AF88+'21'!AF88+'25'!AF88+'23'!AF88+'26'!AF88+'24'!AF88+'28'!AF88+'27'!AF88+'29'!AF88+'31'!AF88+'30'!AF88</f>
        <v>0</v>
      </c>
      <c r="AG88" s="52">
        <f>+'1'!AG88+'3'!AG88+'2'!AG88+'6'!AG88+'5'!AG88+'4'!AG88+'8'!AG88+'7'!AG88+'10'!AG88+'9'!AG88+'11'!AG88+'12'!AG88+'13'!AG88+'15'!AG88+'14'!AG88+'16'!AG88+'17'!AG88+'19'!AG88+'20'!AG88+'22'!AG88+'18'!AG88+'21'!AG88+'25'!AG88+'23'!AG88+'26'!AG88+'24'!AG88+'28'!AG88+'27'!AG88+'29'!AG88+'31'!AG88+'30'!AG88</f>
        <v>0</v>
      </c>
      <c r="AH88" s="52">
        <f>+'1'!AH88+'3'!AH88+'2'!AH88+'6'!AH88+'5'!AH88+'4'!AH88+'8'!AH88+'7'!AH88+'10'!AH88+'9'!AH88+'11'!AH88+'12'!AH88+'13'!AH88+'15'!AH88+'14'!AH88+'16'!AH88+'17'!AH88+'19'!AH88+'20'!AH88+'22'!AH88+'18'!AH88+'21'!AH88+'25'!AH88+'23'!AH88+'26'!AH88+'24'!AH88+'28'!AH88+'27'!AH88+'29'!AH88+'31'!AH88+'30'!AH88</f>
        <v>0</v>
      </c>
      <c r="AI88" s="55">
        <f>+'1'!AI88+'3'!AI88+'2'!AI88+'6'!AI88+'5'!AI88+'4'!AI88+'8'!AI88+'7'!AI88+'10'!AI88+'9'!AI88+'11'!AI88+'12'!AI88+'13'!AI88+'15'!AI88+'14'!AI88+'16'!AI88+'17'!AI88+'19'!AI88+'20'!AI88+'22'!AI88+'18'!AI88+'21'!AI88+'25'!AI88+'23'!AI88+'26'!AI88+'24'!AI88+'28'!AI88+'27'!AI88+'29'!AI88+'31'!AI88+'30'!AI88</f>
        <v>0</v>
      </c>
      <c r="AJ88" s="58">
        <f>+'1'!AJ88+'3'!AJ88+'2'!AJ88+'6'!AJ88+'5'!AJ88+'4'!AJ88+'8'!AJ88+'7'!AJ88+'10'!AJ88+'9'!AJ88+'11'!AJ88+'12'!AJ88+'13'!AJ88+'15'!AJ88+'14'!AJ88+'16'!AJ88+'17'!AJ88+'19'!AJ88+'20'!AJ88+'22'!AJ88+'18'!AJ88+'21'!AJ88+'25'!AJ88+'23'!AJ88+'26'!AJ88+'24'!AJ88+'28'!AJ88+'27'!AJ88+'29'!AJ88+'31'!AJ88+'30'!AJ88</f>
        <v>0</v>
      </c>
      <c r="AK88" s="55">
        <f>+'1'!AK88+'3'!AK88+'2'!AK88+'6'!AK88+'5'!AK88+'4'!AK88+'8'!AK88+'7'!AK88+'10'!AK88+'9'!AK88+'11'!AK88+'12'!AK88+'13'!AK88+'15'!AK88+'14'!AK88+'16'!AK88+'17'!AK88+'19'!AK88+'20'!AK88+'22'!AK88+'18'!AK88+'21'!AK88+'25'!AK88+'23'!AK88+'26'!AK88+'24'!AK88+'28'!AK88+'27'!AK88+'29'!AK88+'31'!AK88+'30'!AK88</f>
        <v>0</v>
      </c>
      <c r="AL88" s="66">
        <f t="shared" si="8"/>
        <v>0</v>
      </c>
      <c r="AM88" s="28" t="str">
        <f t="shared" si="9"/>
        <v>OK</v>
      </c>
    </row>
    <row r="89" spans="1:39" ht="17.25" hidden="1" thickBot="1">
      <c r="A89" s="87"/>
      <c r="B89" s="93"/>
      <c r="C89" s="130"/>
      <c r="D89" s="88"/>
      <c r="E89" s="88"/>
      <c r="F89" s="88"/>
      <c r="G89" s="89"/>
      <c r="H89" s="124">
        <f>+'1'!H89+'3'!H89+'2'!H89+'6'!H89+'5'!H89+'4'!H89+'8'!H89+'7'!H89+'10'!H89+'9'!H89+'11'!H89+'12'!H89+'13'!H89+'15'!H89+'14'!H89+'16'!H89+'17'!H89+'19'!H89+'20'!H89+'22'!H89+'18'!H89+'21'!H89+'25'!H89+'23'!H89+'26'!H89+'24'!H89+'28'!H89+'27'!H89+'29'!H89+'31'!H89+'30'!H89</f>
        <v>0</v>
      </c>
      <c r="I89" s="125">
        <f>+'1'!I89+'3'!I89+'2'!I89+'6'!I89+'5'!I89+'4'!I89+'8'!I89+'7'!I89+'10'!I89+'9'!I89+'11'!I89+'12'!I89+'13'!I89+'15'!I89+'14'!I89+'16'!I89+'17'!I89+'19'!I89+'20'!I89+'22'!I89+'18'!I89+'21'!I89+'25'!I89+'23'!I89+'26'!I89+'24'!I89+'28'!I89+'27'!I89+'29'!I89+'31'!I89+'30'!I89</f>
        <v>0</v>
      </c>
      <c r="J89" s="125"/>
      <c r="K89" s="91"/>
      <c r="L89" s="125">
        <f>+'1'!L89+'3'!L89+'2'!L89+'6'!L89+'5'!L89+'4'!L89+'8'!L89+'7'!L89+'10'!L89+'9'!L89+'11'!L89+'12'!L89+'13'!L89+'15'!L89+'14'!L89+'16'!L89+'17'!L89+'19'!L89+'20'!L89+'22'!L89+'18'!L89+'21'!L89+'25'!L89+'23'!L89+'26'!L89+'24'!L89+'28'!L89+'27'!L89+'29'!L89+'31'!L89+'30'!L89</f>
        <v>0</v>
      </c>
      <c r="M89" s="125">
        <f>+'1'!M89+'3'!M89+'2'!M89+'6'!M89+'5'!M89+'4'!M89+'8'!M89+'7'!M89+'10'!M89+'9'!M89+'11'!M89+'12'!M89+'13'!M89+'15'!M89+'14'!M89+'16'!M89+'17'!M89+'19'!M89+'20'!M89+'22'!M89+'18'!M89+'21'!M89+'25'!M89+'23'!M89+'26'!M89+'24'!M89+'28'!M89+'27'!M89+'29'!M89+'31'!M89+'30'!M89</f>
        <v>0</v>
      </c>
      <c r="N89" s="125">
        <f>+'1'!N89+'3'!N89+'2'!N89+'6'!N89+'5'!N89+'4'!N89+'8'!N89+'7'!N89+'10'!N89+'9'!N89+'11'!N89+'12'!N89+'13'!N89+'15'!N89+'14'!N89+'16'!N89+'17'!N89+'19'!N89+'20'!N89+'22'!N89+'18'!N89+'21'!N89+'25'!N89+'23'!N89+'26'!N89+'24'!N89+'28'!N89+'27'!N89+'29'!N89+'31'!N89+'30'!N89</f>
        <v>0</v>
      </c>
      <c r="O89" s="125">
        <f>+'1'!O89+'3'!O89+'2'!O89+'6'!O89+'5'!O89+'4'!O89+'8'!O89+'7'!O89+'10'!O89+'9'!O89+'11'!O89+'12'!O89+'13'!O89+'15'!O89+'14'!O89+'16'!O89+'17'!O89+'19'!O89+'20'!O89+'22'!O89+'18'!O89+'21'!O89+'25'!O89+'23'!O89+'26'!O89+'24'!O89+'28'!O89+'27'!O89+'29'!O89+'31'!O89+'30'!O89</f>
        <v>0</v>
      </c>
      <c r="P89" s="125">
        <f>+'1'!P89+'3'!P89+'2'!P89+'6'!P89+'5'!P89+'4'!P89+'8'!P89+'7'!P89+'10'!P89+'9'!P89+'11'!P89+'12'!P89+'13'!P89+'15'!P89+'14'!P89+'16'!P89+'17'!P89+'19'!P89+'20'!P89+'22'!P89+'18'!P89+'21'!P89+'25'!P89+'23'!P89+'26'!P89+'24'!P89+'28'!P89+'27'!P89+'29'!P89+'31'!P89+'30'!P89</f>
        <v>0</v>
      </c>
      <c r="Q89" s="125">
        <f>+'1'!Q89+'3'!Q89+'2'!Q89+'6'!Q89+'5'!Q89+'4'!Q89+'8'!Q89+'7'!Q89+'10'!Q89+'9'!Q89+'11'!Q89+'12'!Q89+'13'!Q89+'15'!Q89+'14'!Q89+'16'!Q89+'17'!Q89+'19'!Q89+'20'!Q89+'22'!Q89+'18'!Q89+'21'!Q89+'25'!Q89+'23'!Q89+'26'!Q89+'24'!Q89+'28'!Q89+'27'!Q89+'29'!Q89+'31'!Q89+'30'!Q89</f>
        <v>0</v>
      </c>
      <c r="R89" s="125">
        <f>+'1'!R89+'3'!R89+'2'!R89+'6'!R89+'5'!R89+'4'!R89+'8'!R89+'7'!R89+'10'!R89+'9'!R89+'11'!R89+'12'!R89+'13'!R89+'15'!R89+'14'!R89+'16'!R89+'17'!R89+'19'!R89+'20'!R89+'22'!R89+'18'!R89+'21'!R89+'25'!R89+'23'!R89+'26'!R89+'24'!R89+'28'!R89+'27'!R89+'29'!R89+'31'!R89+'30'!R89</f>
        <v>0</v>
      </c>
      <c r="S89" s="125">
        <f>+'1'!S89+'3'!S89+'2'!S89+'6'!S89+'5'!S89+'4'!S89+'8'!S89+'7'!S89+'10'!S89+'9'!S89+'11'!S89+'12'!S89+'13'!S89+'15'!S89+'14'!S89+'16'!S89+'17'!S89+'19'!S89+'20'!S89+'22'!S89+'18'!S89+'21'!S89+'25'!S89+'23'!S89+'26'!S89+'24'!S89+'28'!S89+'27'!S89+'29'!S89+'31'!S89+'30'!S89</f>
        <v>0</v>
      </c>
      <c r="T89" s="126">
        <f>+'1'!T89+'3'!T89+'2'!T89+'6'!T89+'5'!T89+'4'!T89+'8'!T89+'7'!T89+'10'!T89+'9'!T89+'11'!T89+'12'!T89+'13'!T89+'15'!T89+'14'!T89+'16'!T89+'17'!T89+'19'!T89+'20'!T89+'22'!T89+'18'!T89+'21'!T89+'25'!T89+'23'!T89+'26'!T89+'24'!T89+'28'!T89+'27'!T89+'29'!T89+'31'!T89+'30'!T89</f>
        <v>0</v>
      </c>
      <c r="U89" s="127">
        <f>+'1'!U89+'3'!U89+'2'!U89+'6'!U89+'5'!U89+'4'!U89+'8'!U89+'7'!U89+'10'!U89+'9'!U89+'11'!U89+'12'!U89+'13'!U89+'15'!U89+'14'!U89+'16'!U89+'17'!U89+'19'!U89+'20'!U89+'22'!U89+'18'!U89+'21'!U89+'25'!U89+'23'!U89+'26'!U89+'24'!U89+'28'!U89+'27'!U89+'29'!U89+'31'!U89+'30'!U89</f>
        <v>0</v>
      </c>
      <c r="V89" s="127">
        <f>+'1'!V89+'3'!V89+'2'!V89+'6'!V89+'5'!V89+'4'!V89+'8'!V89+'7'!V89+'10'!V89+'9'!V89+'11'!V89+'12'!V89+'13'!V89+'15'!V89+'14'!V89+'16'!V89+'17'!V89+'19'!V89+'20'!V89+'22'!V89+'18'!V89+'21'!V89+'25'!V89+'23'!V89+'26'!V89+'24'!V89+'28'!V89+'27'!V89+'29'!V89+'31'!V89+'30'!V89</f>
        <v>0</v>
      </c>
      <c r="W89" s="127">
        <f>+'1'!W89+'3'!W89+'2'!W89+'6'!W89+'5'!W89+'4'!W89+'8'!W89+'7'!W89+'10'!W89+'9'!W89+'11'!W89+'12'!W89+'13'!W89+'15'!W89+'14'!W89+'16'!W89+'17'!W89+'19'!W89+'20'!W89+'22'!W89+'18'!W89+'21'!W89+'25'!W89+'23'!W89+'26'!W89+'24'!W89+'28'!W89+'27'!W89+'29'!W89+'31'!W89+'30'!W89</f>
        <v>0</v>
      </c>
      <c r="X89" s="127">
        <f>+'1'!X89+'3'!X89+'2'!X89+'6'!X89+'5'!X89+'4'!X89+'8'!X89+'7'!X89+'10'!X89+'9'!X89+'11'!X89+'12'!X89+'13'!X89+'15'!X89+'14'!X89+'16'!X89+'17'!X89+'19'!X89+'20'!X89+'22'!X89+'18'!X89+'21'!X89+'25'!X89+'23'!X89+'26'!X89+'24'!X89+'28'!X89+'27'!X89+'29'!X89+'31'!X89+'30'!X89</f>
        <v>0</v>
      </c>
      <c r="Y89" s="127">
        <f>+'1'!Y89+'3'!Y89+'2'!Y89+'6'!Y89+'5'!Y89+'4'!Y89+'8'!Y89+'7'!Y89+'10'!Y89+'9'!Y89+'11'!Y89+'12'!Y89+'13'!Y89+'15'!Y89+'14'!Y89+'16'!Y89+'17'!Y89+'19'!Y89+'20'!Y89+'22'!Y89+'18'!Y89+'21'!Y89+'25'!Y89+'23'!Y89+'26'!Y89+'24'!Y89+'28'!Y89+'27'!Y89+'29'!Y89+'31'!Y89+'30'!Y89</f>
        <v>0</v>
      </c>
      <c r="Z89" s="127">
        <f>+'1'!Z89+'3'!Z89+'2'!Z89+'6'!Z89+'5'!Z89+'4'!Z89+'8'!Z89+'7'!Z89+'10'!Z89+'9'!Z89+'11'!Z89+'12'!Z89+'13'!Z89+'15'!Z89+'14'!Z89+'16'!Z89+'17'!Z89+'19'!Z89+'20'!Z89+'22'!Z89+'18'!Z89+'21'!Z89+'25'!Z89+'23'!Z89+'26'!Z89+'24'!Z89+'28'!Z89+'27'!Z89+'29'!Z89+'31'!Z89+'30'!Z89</f>
        <v>0</v>
      </c>
      <c r="AA89" s="127">
        <f>+'1'!AA89+'3'!AA89+'2'!AA89+'6'!AA89+'5'!AA89+'4'!AA89+'8'!AA89+'7'!AA89+'10'!AA89+'9'!AA89+'11'!AA89+'12'!AA89+'13'!AA89+'15'!AA89+'14'!AA89+'16'!AA89+'17'!AA89+'19'!AA89+'20'!AA89+'22'!AA89+'18'!AA89+'21'!AA89+'25'!AA89+'23'!AA89+'26'!AA89+'24'!AA89+'28'!AA89+'27'!AA89+'29'!AA89+'31'!AA89+'30'!AA89</f>
        <v>0</v>
      </c>
      <c r="AB89" s="127">
        <f>+'1'!AB89+'3'!AB89+'2'!AB89+'6'!AB89+'5'!AB89+'4'!AB89+'8'!AB89+'7'!AB89+'10'!AB89+'9'!AB89+'11'!AB89+'12'!AB89+'13'!AB89+'15'!AB89+'14'!AB89+'16'!AB89+'17'!AB89+'19'!AB89+'20'!AB89+'22'!AB89+'18'!AB89+'21'!AB89+'25'!AB89+'23'!AB89+'26'!AB89+'24'!AB89+'28'!AB89+'27'!AB89+'29'!AB89+'31'!AB89+'30'!AB89</f>
        <v>0</v>
      </c>
      <c r="AC89" s="127">
        <f>+'1'!AC89+'3'!AC89+'2'!AC89+'6'!AC89+'5'!AC89+'4'!AC89+'8'!AC89+'7'!AC89+'10'!AC89+'9'!AC89+'11'!AC89+'12'!AC89+'13'!AC89+'15'!AC89+'14'!AC89+'16'!AC89+'17'!AC89+'19'!AC89+'20'!AC89+'22'!AC89+'18'!AC89+'21'!AC89+'25'!AC89+'23'!AC89+'26'!AC89+'24'!AC89+'28'!AC89+'27'!AC89+'29'!AC89+'31'!AC89+'30'!AC89</f>
        <v>0</v>
      </c>
      <c r="AD89" s="127">
        <f>+'1'!AD89+'3'!AD89+'2'!AD89+'6'!AD89+'5'!AD89+'4'!AD89+'8'!AD89+'7'!AD89+'10'!AD89+'9'!AD89+'11'!AD89+'12'!AD89+'13'!AD89+'15'!AD89+'14'!AD89+'16'!AD89+'17'!AD89+'19'!AD89+'20'!AD89+'22'!AD89+'18'!AD89+'21'!AD89+'25'!AD89+'23'!AD89+'26'!AD89+'24'!AD89+'28'!AD89+'27'!AD89+'29'!AD89+'31'!AD89+'30'!AD89</f>
        <v>0</v>
      </c>
      <c r="AE89" s="127">
        <f>+'1'!AE89+'3'!AE89+'2'!AE89+'6'!AE89+'5'!AE89+'4'!AE89+'8'!AE89+'7'!AE89+'10'!AE89+'9'!AE89+'11'!AE89+'12'!AE89+'13'!AE89+'15'!AE89+'14'!AE89+'16'!AE89+'17'!AE89+'19'!AE89+'20'!AE89+'22'!AE89+'18'!AE89+'21'!AE89+'25'!AE89+'23'!AE89+'26'!AE89+'24'!AE89+'28'!AE89+'27'!AE89+'29'!AE89+'31'!AE89+'30'!AE89</f>
        <v>0</v>
      </c>
      <c r="AF89" s="127">
        <f>+'1'!AF89+'3'!AF89+'2'!AF89+'6'!AF89+'5'!AF89+'4'!AF89+'8'!AF89+'7'!AF89+'10'!AF89+'9'!AF89+'11'!AF89+'12'!AF89+'13'!AF89+'15'!AF89+'14'!AF89+'16'!AF89+'17'!AF89+'19'!AF89+'20'!AF89+'22'!AF89+'18'!AF89+'21'!AF89+'25'!AF89+'23'!AF89+'26'!AF89+'24'!AF89+'28'!AF89+'27'!AF89+'29'!AF89+'31'!AF89+'30'!AF89</f>
        <v>0</v>
      </c>
      <c r="AG89" s="127">
        <f>+'1'!AG89+'3'!AG89+'2'!AG89+'6'!AG89+'5'!AG89+'4'!AG89+'8'!AG89+'7'!AG89+'10'!AG89+'9'!AG89+'11'!AG89+'12'!AG89+'13'!AG89+'15'!AG89+'14'!AG89+'16'!AG89+'17'!AG89+'19'!AG89+'20'!AG89+'22'!AG89+'18'!AG89+'21'!AG89+'25'!AG89+'23'!AG89+'26'!AG89+'24'!AG89+'28'!AG89+'27'!AG89+'29'!AG89+'31'!AG89+'30'!AG89</f>
        <v>0</v>
      </c>
      <c r="AH89" s="127">
        <f>+'1'!AH89+'3'!AH89+'2'!AH89+'6'!AH89+'5'!AH89+'4'!AH89+'8'!AH89+'7'!AH89+'10'!AH89+'9'!AH89+'11'!AH89+'12'!AH89+'13'!AH89+'15'!AH89+'14'!AH89+'16'!AH89+'17'!AH89+'19'!AH89+'20'!AH89+'22'!AH89+'18'!AH89+'21'!AH89+'25'!AH89+'23'!AH89+'26'!AH89+'24'!AH89+'28'!AH89+'27'!AH89+'29'!AH89+'31'!AH89+'30'!AH89</f>
        <v>0</v>
      </c>
      <c r="AI89" s="128">
        <f>+'1'!AI89+'3'!AI89+'2'!AI89+'6'!AI89+'5'!AI89+'4'!AI89+'8'!AI89+'7'!AI89+'10'!AI89+'9'!AI89+'11'!AI89+'12'!AI89+'13'!AI89+'15'!AI89+'14'!AI89+'16'!AI89+'17'!AI89+'19'!AI89+'20'!AI89+'22'!AI89+'18'!AI89+'21'!AI89+'25'!AI89+'23'!AI89+'26'!AI89+'24'!AI89+'28'!AI89+'27'!AI89+'29'!AI89+'31'!AI89+'30'!AI89</f>
        <v>0</v>
      </c>
      <c r="AJ89" s="129">
        <f>+'1'!AJ89+'3'!AJ89+'2'!AJ89+'6'!AJ89+'5'!AJ89+'4'!AJ89+'8'!AJ89+'7'!AJ89+'10'!AJ89+'9'!AJ89+'11'!AJ89+'12'!AJ89+'13'!AJ89+'15'!AJ89+'14'!AJ89+'16'!AJ89+'17'!AJ89+'19'!AJ89+'20'!AJ89+'22'!AJ89+'18'!AJ89+'21'!AJ89+'25'!AJ89+'23'!AJ89+'26'!AJ89+'24'!AJ89+'28'!AJ89+'27'!AJ89+'29'!AJ89+'31'!AJ89+'30'!AJ89</f>
        <v>0</v>
      </c>
      <c r="AK89" s="128">
        <f>+'1'!AK89+'3'!AK89+'2'!AK89+'6'!AK89+'5'!AK89+'4'!AK89+'8'!AK89+'7'!AK89+'10'!AK89+'9'!AK89+'11'!AK89+'12'!AK89+'13'!AK89+'15'!AK89+'14'!AK89+'16'!AK89+'17'!AK89+'19'!AK89+'20'!AK89+'22'!AK89+'18'!AK89+'21'!AK89+'25'!AK89+'23'!AK89+'26'!AK89+'24'!AK89+'28'!AK89+'27'!AK89+'29'!AK89+'31'!AK89+'30'!AK89</f>
        <v>0</v>
      </c>
      <c r="AL89" s="92">
        <f t="shared" si="8"/>
        <v>0</v>
      </c>
      <c r="AM89" s="122" t="str">
        <f t="shared" si="9"/>
        <v>OK</v>
      </c>
    </row>
    <row r="90" spans="1:39" ht="17.25" hidden="1" thickBot="1">
      <c r="A90" s="68"/>
      <c r="B90" s="78"/>
      <c r="C90" s="23"/>
      <c r="D90" s="83"/>
      <c r="E90" s="83"/>
      <c r="F90" s="83"/>
      <c r="G90" s="84"/>
      <c r="H90" s="26">
        <f>+'1'!H90+'3'!H90+'2'!H90+'6'!H90+'5'!H90+'4'!H90+'8'!H90+'7'!H90+'10'!H90+'9'!H90+'11'!H90+'12'!H90+'13'!H90+'15'!H90+'14'!H90+'16'!H90+'17'!H90+'19'!H90+'20'!H90+'22'!H90+'18'!H90+'21'!H90+'25'!H90+'23'!H90+'26'!H90+'24'!H90+'28'!H90+'27'!H90+'29'!H90+'31'!H90+'30'!H90</f>
        <v>0</v>
      </c>
      <c r="I90" s="27">
        <f>+'1'!I90+'3'!I90+'2'!I90+'6'!I90+'5'!I90+'4'!I90+'8'!I90+'7'!I90+'10'!I90+'9'!I90+'11'!I90+'12'!I90+'13'!I90+'15'!I90+'14'!I90+'16'!I90+'17'!I90+'19'!I90+'20'!I90+'22'!I90+'18'!I90+'21'!I90+'25'!I90+'23'!I90+'26'!I90+'24'!I90+'28'!I90+'27'!I90+'29'!I90+'31'!I90+'30'!I90</f>
        <v>0</v>
      </c>
      <c r="J90" s="27"/>
      <c r="K90" s="16"/>
      <c r="L90" s="27">
        <f>+'1'!L90+'3'!L90+'2'!L90+'6'!L90+'5'!L90+'4'!L90+'8'!L90+'7'!L90+'10'!L90+'9'!L90+'11'!L90+'12'!L90+'13'!L90+'15'!L90+'14'!L90+'16'!L90+'17'!L90+'19'!L90+'20'!L90+'22'!L90+'18'!L90+'21'!L90+'25'!L90+'23'!L90+'26'!L90+'24'!L90+'28'!L90+'27'!L90+'29'!L90+'31'!L90+'30'!L90</f>
        <v>0</v>
      </c>
      <c r="M90" s="27">
        <f>+'1'!M90+'3'!M90+'2'!M90+'6'!M90+'5'!M90+'4'!M90+'8'!M90+'7'!M90+'10'!M90+'9'!M90+'11'!M90+'12'!M90+'13'!M90+'15'!M90+'14'!M90+'16'!M90+'17'!M90+'19'!M90+'20'!M90+'22'!M90+'18'!M90+'21'!M90+'25'!M90+'23'!M90+'26'!M90+'24'!M90+'28'!M90+'27'!M90+'29'!M90+'31'!M90+'30'!M90</f>
        <v>0</v>
      </c>
      <c r="N90" s="27">
        <f>+'1'!N90+'3'!N90+'2'!N90+'6'!N90+'5'!N90+'4'!N90+'8'!N90+'7'!N90+'10'!N90+'9'!N90+'11'!N90+'12'!N90+'13'!N90+'15'!N90+'14'!N90+'16'!N90+'17'!N90+'19'!N90+'20'!N90+'22'!N90+'18'!N90+'21'!N90+'25'!N90+'23'!N90+'26'!N90+'24'!N90+'28'!N90+'27'!N90+'29'!N90+'31'!N90+'30'!N90</f>
        <v>0</v>
      </c>
      <c r="O90" s="27">
        <f>+'1'!O90+'3'!O90+'2'!O90+'6'!O90+'5'!O90+'4'!O90+'8'!O90+'7'!O90+'10'!O90+'9'!O90+'11'!O90+'12'!O90+'13'!O90+'15'!O90+'14'!O90+'16'!O90+'17'!O90+'19'!O90+'20'!O90+'22'!O90+'18'!O90+'21'!O90+'25'!O90+'23'!O90+'26'!O90+'24'!O90+'28'!O90+'27'!O90+'29'!O90+'31'!O90+'30'!O90</f>
        <v>0</v>
      </c>
      <c r="P90" s="27">
        <f>+'1'!P90+'3'!P90+'2'!P90+'6'!P90+'5'!P90+'4'!P90+'8'!P90+'7'!P90+'10'!P90+'9'!P90+'11'!P90+'12'!P90+'13'!P90+'15'!P90+'14'!P90+'16'!P90+'17'!P90+'19'!P90+'20'!P90+'22'!P90+'18'!P90+'21'!P90+'25'!P90+'23'!P90+'26'!P90+'24'!P90+'28'!P90+'27'!P90+'29'!P90+'31'!P90+'30'!P90</f>
        <v>0</v>
      </c>
      <c r="Q90" s="27">
        <f>+'1'!Q90+'3'!Q90+'2'!Q90+'6'!Q90+'5'!Q90+'4'!Q90+'8'!Q90+'7'!Q90+'10'!Q90+'9'!Q90+'11'!Q90+'12'!Q90+'13'!Q90+'15'!Q90+'14'!Q90+'16'!Q90+'17'!Q90+'19'!Q90+'20'!Q90+'22'!Q90+'18'!Q90+'21'!Q90+'25'!Q90+'23'!Q90+'26'!Q90+'24'!Q90+'28'!Q90+'27'!Q90+'29'!Q90+'31'!Q90+'30'!Q90</f>
        <v>0</v>
      </c>
      <c r="R90" s="27">
        <f>+'1'!R90+'3'!R90+'2'!R90+'6'!R90+'5'!R90+'4'!R90+'8'!R90+'7'!R90+'10'!R90+'9'!R90+'11'!R90+'12'!R90+'13'!R90+'15'!R90+'14'!R90+'16'!R90+'17'!R90+'19'!R90+'20'!R90+'22'!R90+'18'!R90+'21'!R90+'25'!R90+'23'!R90+'26'!R90+'24'!R90+'28'!R90+'27'!R90+'29'!R90+'31'!R90+'30'!R90</f>
        <v>0</v>
      </c>
      <c r="S90" s="27">
        <f>+'1'!S90+'3'!S90+'2'!S90+'6'!S90+'5'!S90+'4'!S90+'8'!S90+'7'!S90+'10'!S90+'9'!S90+'11'!S90+'12'!S90+'13'!S90+'15'!S90+'14'!S90+'16'!S90+'17'!S90+'19'!S90+'20'!S90+'22'!S90+'18'!S90+'21'!S90+'25'!S90+'23'!S90+'26'!S90+'24'!S90+'28'!S90+'27'!S90+'29'!S90+'31'!S90+'30'!S90</f>
        <v>0</v>
      </c>
      <c r="T90" s="43">
        <f>+'1'!T90+'3'!T90+'2'!T90+'6'!T90+'5'!T90+'4'!T90+'8'!T90+'7'!T90+'10'!T90+'9'!T90+'11'!T90+'12'!T90+'13'!T90+'15'!T90+'14'!T90+'16'!T90+'17'!T90+'19'!T90+'20'!T90+'22'!T90+'18'!T90+'21'!T90+'25'!T90+'23'!T90+'26'!T90+'24'!T90+'28'!T90+'27'!T90+'29'!T90+'31'!T90+'30'!T90</f>
        <v>0</v>
      </c>
      <c r="U90" s="52">
        <f>+'1'!U90+'3'!U90+'2'!U90+'6'!U90+'5'!U90+'4'!U90+'8'!U90+'7'!U90+'10'!U90+'9'!U90+'11'!U90+'12'!U90+'13'!U90+'15'!U90+'14'!U90+'16'!U90+'17'!U90+'19'!U90+'20'!U90+'22'!U90+'18'!U90+'21'!U90+'25'!U90+'23'!U90+'26'!U90+'24'!U90+'28'!U90+'27'!U90+'29'!U90+'31'!U90+'30'!U90</f>
        <v>0</v>
      </c>
      <c r="V90" s="52">
        <f>+'1'!V90+'3'!V90+'2'!V90+'6'!V90+'5'!V90+'4'!V90+'8'!V90+'7'!V90+'10'!V90+'9'!V90+'11'!V90+'12'!V90+'13'!V90+'15'!V90+'14'!V90+'16'!V90+'17'!V90+'19'!V90+'20'!V90+'22'!V90+'18'!V90+'21'!V90+'25'!V90+'23'!V90+'26'!V90+'24'!V90+'28'!V90+'27'!V90+'29'!V90+'31'!V90+'30'!V90</f>
        <v>0</v>
      </c>
      <c r="W90" s="52">
        <f>+'1'!W90+'3'!W90+'2'!W90+'6'!W90+'5'!W90+'4'!W90+'8'!W90+'7'!W90+'10'!W90+'9'!W90+'11'!W90+'12'!W90+'13'!W90+'15'!W90+'14'!W90+'16'!W90+'17'!W90+'19'!W90+'20'!W90+'22'!W90+'18'!W90+'21'!W90+'25'!W90+'23'!W90+'26'!W90+'24'!W90+'28'!W90+'27'!W90+'29'!W90+'31'!W90+'30'!W90</f>
        <v>0</v>
      </c>
      <c r="X90" s="52">
        <f>+'1'!X90+'3'!X90+'2'!X90+'6'!X90+'5'!X90+'4'!X90+'8'!X90+'7'!X90+'10'!X90+'9'!X90+'11'!X90+'12'!X90+'13'!X90+'15'!X90+'14'!X90+'16'!X90+'17'!X90+'19'!X90+'20'!X90+'22'!X90+'18'!X90+'21'!X90+'25'!X90+'23'!X90+'26'!X90+'24'!X90+'28'!X90+'27'!X90+'29'!X90+'31'!X90+'30'!X90</f>
        <v>0</v>
      </c>
      <c r="Y90" s="52">
        <f>+'1'!Y90+'3'!Y90+'2'!Y90+'6'!Y90+'5'!Y90+'4'!Y90+'8'!Y90+'7'!Y90+'10'!Y90+'9'!Y90+'11'!Y90+'12'!Y90+'13'!Y90+'15'!Y90+'14'!Y90+'16'!Y90+'17'!Y90+'19'!Y90+'20'!Y90+'22'!Y90+'18'!Y90+'21'!Y90+'25'!Y90+'23'!Y90+'26'!Y90+'24'!Y90+'28'!Y90+'27'!Y90+'29'!Y90+'31'!Y90+'30'!Y90</f>
        <v>0</v>
      </c>
      <c r="Z90" s="52">
        <f>+'1'!Z90+'3'!Z90+'2'!Z90+'6'!Z90+'5'!Z90+'4'!Z90+'8'!Z90+'7'!Z90+'10'!Z90+'9'!Z90+'11'!Z90+'12'!Z90+'13'!Z90+'15'!Z90+'14'!Z90+'16'!Z90+'17'!Z90+'19'!Z90+'20'!Z90+'22'!Z90+'18'!Z90+'21'!Z90+'25'!Z90+'23'!Z90+'26'!Z90+'24'!Z90+'28'!Z90+'27'!Z90+'29'!Z90+'31'!Z90+'30'!Z90</f>
        <v>0</v>
      </c>
      <c r="AA90" s="52">
        <f>+'1'!AA90+'3'!AA90+'2'!AA90+'6'!AA90+'5'!AA90+'4'!AA90+'8'!AA90+'7'!AA90+'10'!AA90+'9'!AA90+'11'!AA90+'12'!AA90+'13'!AA90+'15'!AA90+'14'!AA90+'16'!AA90+'17'!AA90+'19'!AA90+'20'!AA90+'22'!AA90+'18'!AA90+'21'!AA90+'25'!AA90+'23'!AA90+'26'!AA90+'24'!AA90+'28'!AA90+'27'!AA90+'29'!AA90+'31'!AA90+'30'!AA90</f>
        <v>0</v>
      </c>
      <c r="AB90" s="52">
        <f>+'1'!AB90+'3'!AB90+'2'!AB90+'6'!AB90+'5'!AB90+'4'!AB90+'8'!AB90+'7'!AB90+'10'!AB90+'9'!AB90+'11'!AB90+'12'!AB90+'13'!AB90+'15'!AB90+'14'!AB90+'16'!AB90+'17'!AB90+'19'!AB90+'20'!AB90+'22'!AB90+'18'!AB90+'21'!AB90+'25'!AB90+'23'!AB90+'26'!AB90+'24'!AB90+'28'!AB90+'27'!AB90+'29'!AB90+'31'!AB90+'30'!AB90</f>
        <v>0</v>
      </c>
      <c r="AC90" s="52">
        <f>+'1'!AC90+'3'!AC90+'2'!AC90+'6'!AC90+'5'!AC90+'4'!AC90+'8'!AC90+'7'!AC90+'10'!AC90+'9'!AC90+'11'!AC90+'12'!AC90+'13'!AC90+'15'!AC90+'14'!AC90+'16'!AC90+'17'!AC90+'19'!AC90+'20'!AC90+'22'!AC90+'18'!AC90+'21'!AC90+'25'!AC90+'23'!AC90+'26'!AC90+'24'!AC90+'28'!AC90+'27'!AC90+'29'!AC90+'31'!AC90+'30'!AC90</f>
        <v>0</v>
      </c>
      <c r="AD90" s="52">
        <f>+'1'!AD90+'3'!AD90+'2'!AD90+'6'!AD90+'5'!AD90+'4'!AD90+'8'!AD90+'7'!AD90+'10'!AD90+'9'!AD90+'11'!AD90+'12'!AD90+'13'!AD90+'15'!AD90+'14'!AD90+'16'!AD90+'17'!AD90+'19'!AD90+'20'!AD90+'22'!AD90+'18'!AD90+'21'!AD90+'25'!AD90+'23'!AD90+'26'!AD90+'24'!AD90+'28'!AD90+'27'!AD90+'29'!AD90+'31'!AD90+'30'!AD90</f>
        <v>0</v>
      </c>
      <c r="AE90" s="52">
        <f>+'1'!AE90+'3'!AE90+'2'!AE90+'6'!AE90+'5'!AE90+'4'!AE90+'8'!AE90+'7'!AE90+'10'!AE90+'9'!AE90+'11'!AE90+'12'!AE90+'13'!AE90+'15'!AE90+'14'!AE90+'16'!AE90+'17'!AE90+'19'!AE90+'20'!AE90+'22'!AE90+'18'!AE90+'21'!AE90+'25'!AE90+'23'!AE90+'26'!AE90+'24'!AE90+'28'!AE90+'27'!AE90+'29'!AE90+'31'!AE90+'30'!AE90</f>
        <v>0</v>
      </c>
      <c r="AF90" s="52">
        <f>+'1'!AF90+'3'!AF90+'2'!AF90+'6'!AF90+'5'!AF90+'4'!AF90+'8'!AF90+'7'!AF90+'10'!AF90+'9'!AF90+'11'!AF90+'12'!AF90+'13'!AF90+'15'!AF90+'14'!AF90+'16'!AF90+'17'!AF90+'19'!AF90+'20'!AF90+'22'!AF90+'18'!AF90+'21'!AF90+'25'!AF90+'23'!AF90+'26'!AF90+'24'!AF90+'28'!AF90+'27'!AF90+'29'!AF90+'31'!AF90+'30'!AF90</f>
        <v>0</v>
      </c>
      <c r="AG90" s="52">
        <f>+'1'!AG90+'3'!AG90+'2'!AG90+'6'!AG90+'5'!AG90+'4'!AG90+'8'!AG90+'7'!AG90+'10'!AG90+'9'!AG90+'11'!AG90+'12'!AG90+'13'!AG90+'15'!AG90+'14'!AG90+'16'!AG90+'17'!AG90+'19'!AG90+'20'!AG90+'22'!AG90+'18'!AG90+'21'!AG90+'25'!AG90+'23'!AG90+'26'!AG90+'24'!AG90+'28'!AG90+'27'!AG90+'29'!AG90+'31'!AG90+'30'!AG90</f>
        <v>0</v>
      </c>
      <c r="AH90" s="52">
        <f>+'1'!AH90+'3'!AH90+'2'!AH90+'6'!AH90+'5'!AH90+'4'!AH90+'8'!AH90+'7'!AH90+'10'!AH90+'9'!AH90+'11'!AH90+'12'!AH90+'13'!AH90+'15'!AH90+'14'!AH90+'16'!AH90+'17'!AH90+'19'!AH90+'20'!AH90+'22'!AH90+'18'!AH90+'21'!AH90+'25'!AH90+'23'!AH90+'26'!AH90+'24'!AH90+'28'!AH90+'27'!AH90+'29'!AH90+'31'!AH90+'30'!AH90</f>
        <v>0</v>
      </c>
      <c r="AI90" s="55">
        <f>+'1'!AI90+'3'!AI90+'2'!AI90+'6'!AI90+'5'!AI90+'4'!AI90+'8'!AI90+'7'!AI90+'10'!AI90+'9'!AI90+'11'!AI90+'12'!AI90+'13'!AI90+'15'!AI90+'14'!AI90+'16'!AI90+'17'!AI90+'19'!AI90+'20'!AI90+'22'!AI90+'18'!AI90+'21'!AI90+'25'!AI90+'23'!AI90+'26'!AI90+'24'!AI90+'28'!AI90+'27'!AI90+'29'!AI90+'31'!AI90+'30'!AI90</f>
        <v>0</v>
      </c>
      <c r="AJ90" s="58">
        <f>+'1'!AJ90+'3'!AJ90+'2'!AJ90+'6'!AJ90+'5'!AJ90+'4'!AJ90+'8'!AJ90+'7'!AJ90+'10'!AJ90+'9'!AJ90+'11'!AJ90+'12'!AJ90+'13'!AJ90+'15'!AJ90+'14'!AJ90+'16'!AJ90+'17'!AJ90+'19'!AJ90+'20'!AJ90+'22'!AJ90+'18'!AJ90+'21'!AJ90+'25'!AJ90+'23'!AJ90+'26'!AJ90+'24'!AJ90+'28'!AJ90+'27'!AJ90+'29'!AJ90+'31'!AJ90+'30'!AJ90</f>
        <v>0</v>
      </c>
      <c r="AK90" s="55">
        <f>+'1'!AK90+'3'!AK90+'2'!AK90+'6'!AK90+'5'!AK90+'4'!AK90+'8'!AK90+'7'!AK90+'10'!AK90+'9'!AK90+'11'!AK90+'12'!AK90+'13'!AK90+'15'!AK90+'14'!AK90+'16'!AK90+'17'!AK90+'19'!AK90+'20'!AK90+'22'!AK90+'18'!AK90+'21'!AK90+'25'!AK90+'23'!AK90+'26'!AK90+'24'!AK90+'28'!AK90+'27'!AK90+'29'!AK90+'31'!AK90+'30'!AK90</f>
        <v>0</v>
      </c>
      <c r="AL90" s="66">
        <f t="shared" si="8"/>
        <v>0</v>
      </c>
      <c r="AM90" s="28" t="str">
        <f t="shared" si="9"/>
        <v>OK</v>
      </c>
    </row>
    <row r="91" spans="1:39" ht="17.25" hidden="1" thickBot="1">
      <c r="A91" s="87"/>
      <c r="B91" s="93"/>
      <c r="C91" s="130"/>
      <c r="D91" s="88"/>
      <c r="E91" s="88"/>
      <c r="F91" s="88"/>
      <c r="G91" s="89"/>
      <c r="H91" s="124">
        <f>+'1'!H91+'3'!H91+'2'!H91+'6'!H91+'5'!H91+'4'!H91+'8'!H91+'7'!H91+'10'!H91+'9'!H91+'11'!H91+'12'!H91+'13'!H91+'15'!H91+'14'!H91+'16'!H91+'17'!H91+'19'!H91+'20'!H91+'22'!H91+'18'!H91+'21'!H91+'25'!H91+'23'!H91+'26'!H91+'24'!H91+'28'!H91+'27'!H91+'29'!H91+'31'!H91+'30'!H91</f>
        <v>0</v>
      </c>
      <c r="I91" s="125">
        <f>+'1'!I91+'3'!I91+'2'!I91+'6'!I91+'5'!I91+'4'!I91+'8'!I91+'7'!I91+'10'!I91+'9'!I91+'11'!I91+'12'!I91+'13'!I91+'15'!I91+'14'!I91+'16'!I91+'17'!I91+'19'!I91+'20'!I91+'22'!I91+'18'!I91+'21'!I91+'25'!I91+'23'!I91+'26'!I91+'24'!I91+'28'!I91+'27'!I91+'29'!I91+'31'!I91+'30'!I91</f>
        <v>0</v>
      </c>
      <c r="J91" s="125"/>
      <c r="K91" s="91"/>
      <c r="L91" s="125">
        <f>+'1'!L91+'3'!L91+'2'!L91+'6'!L91+'5'!L91+'4'!L91+'8'!L91+'7'!L91+'10'!L91+'9'!L91+'11'!L91+'12'!L91+'13'!L91+'15'!L91+'14'!L91+'16'!L91+'17'!L91+'19'!L91+'20'!L91+'22'!L91+'18'!L91+'21'!L91+'25'!L91+'23'!L91+'26'!L91+'24'!L91+'28'!L91+'27'!L91+'29'!L91+'31'!L91+'30'!L91</f>
        <v>0</v>
      </c>
      <c r="M91" s="125">
        <f>+'1'!M91+'3'!M91+'2'!M91+'6'!M91+'5'!M91+'4'!M91+'8'!M91+'7'!M91+'10'!M91+'9'!M91+'11'!M91+'12'!M91+'13'!M91+'15'!M91+'14'!M91+'16'!M91+'17'!M91+'19'!M91+'20'!M91+'22'!M91+'18'!M91+'21'!M91+'25'!M91+'23'!M91+'26'!M91+'24'!M91+'28'!M91+'27'!M91+'29'!M91+'31'!M91+'30'!M91</f>
        <v>0</v>
      </c>
      <c r="N91" s="125">
        <f>+'1'!N91+'3'!N91+'2'!N91+'6'!N91+'5'!N91+'4'!N91+'8'!N91+'7'!N91+'10'!N91+'9'!N91+'11'!N91+'12'!N91+'13'!N91+'15'!N91+'14'!N91+'16'!N91+'17'!N91+'19'!N91+'20'!N91+'22'!N91+'18'!N91+'21'!N91+'25'!N91+'23'!N91+'26'!N91+'24'!N91+'28'!N91+'27'!N91+'29'!N91+'31'!N91+'30'!N91</f>
        <v>0</v>
      </c>
      <c r="O91" s="125">
        <f>+'1'!O91+'3'!O91+'2'!O91+'6'!O91+'5'!O91+'4'!O91+'8'!O91+'7'!O91+'10'!O91+'9'!O91+'11'!O91+'12'!O91+'13'!O91+'15'!O91+'14'!O91+'16'!O91+'17'!O91+'19'!O91+'20'!O91+'22'!O91+'18'!O91+'21'!O91+'25'!O91+'23'!O91+'26'!O91+'24'!O91+'28'!O91+'27'!O91+'29'!O91+'31'!O91+'30'!O91</f>
        <v>0</v>
      </c>
      <c r="P91" s="125">
        <f>+'1'!P91+'3'!P91+'2'!P91+'6'!P91+'5'!P91+'4'!P91+'8'!P91+'7'!P91+'10'!P91+'9'!P91+'11'!P91+'12'!P91+'13'!P91+'15'!P91+'14'!P91+'16'!P91+'17'!P91+'19'!P91+'20'!P91+'22'!P91+'18'!P91+'21'!P91+'25'!P91+'23'!P91+'26'!P91+'24'!P91+'28'!P91+'27'!P91+'29'!P91+'31'!P91+'30'!P91</f>
        <v>0</v>
      </c>
      <c r="Q91" s="125">
        <f>+'1'!Q91+'3'!Q91+'2'!Q91+'6'!Q91+'5'!Q91+'4'!Q91+'8'!Q91+'7'!Q91+'10'!Q91+'9'!Q91+'11'!Q91+'12'!Q91+'13'!Q91+'15'!Q91+'14'!Q91+'16'!Q91+'17'!Q91+'19'!Q91+'20'!Q91+'22'!Q91+'18'!Q91+'21'!Q91+'25'!Q91+'23'!Q91+'26'!Q91+'24'!Q91+'28'!Q91+'27'!Q91+'29'!Q91+'31'!Q91+'30'!Q91</f>
        <v>0</v>
      </c>
      <c r="R91" s="125">
        <f>+'1'!R91+'3'!R91+'2'!R91+'6'!R91+'5'!R91+'4'!R91+'8'!R91+'7'!R91+'10'!R91+'9'!R91+'11'!R91+'12'!R91+'13'!R91+'15'!R91+'14'!R91+'16'!R91+'17'!R91+'19'!R91+'20'!R91+'22'!R91+'18'!R91+'21'!R91+'25'!R91+'23'!R91+'26'!R91+'24'!R91+'28'!R91+'27'!R91+'29'!R91+'31'!R91+'30'!R91</f>
        <v>0</v>
      </c>
      <c r="S91" s="125">
        <f>+'1'!S91+'3'!S91+'2'!S91+'6'!S91+'5'!S91+'4'!S91+'8'!S91+'7'!S91+'10'!S91+'9'!S91+'11'!S91+'12'!S91+'13'!S91+'15'!S91+'14'!S91+'16'!S91+'17'!S91+'19'!S91+'20'!S91+'22'!S91+'18'!S91+'21'!S91+'25'!S91+'23'!S91+'26'!S91+'24'!S91+'28'!S91+'27'!S91+'29'!S91+'31'!S91+'30'!S91</f>
        <v>0</v>
      </c>
      <c r="T91" s="126">
        <f>+'1'!T91+'3'!T91+'2'!T91+'6'!T91+'5'!T91+'4'!T91+'8'!T91+'7'!T91+'10'!T91+'9'!T91+'11'!T91+'12'!T91+'13'!T91+'15'!T91+'14'!T91+'16'!T91+'17'!T91+'19'!T91+'20'!T91+'22'!T91+'18'!T91+'21'!T91+'25'!T91+'23'!T91+'26'!T91+'24'!T91+'28'!T91+'27'!T91+'29'!T91+'31'!T91+'30'!T91</f>
        <v>0</v>
      </c>
      <c r="U91" s="127">
        <f>+'1'!U91+'3'!U91+'2'!U91+'6'!U91+'5'!U91+'4'!U91+'8'!U91+'7'!U91+'10'!U91+'9'!U91+'11'!U91+'12'!U91+'13'!U91+'15'!U91+'14'!U91+'16'!U91+'17'!U91+'19'!U91+'20'!U91+'22'!U91+'18'!U91+'21'!U91+'25'!U91+'23'!U91+'26'!U91+'24'!U91+'28'!U91+'27'!U91+'29'!U91+'31'!U91+'30'!U91</f>
        <v>0</v>
      </c>
      <c r="V91" s="127">
        <f>+'1'!V91+'3'!V91+'2'!V91+'6'!V91+'5'!V91+'4'!V91+'8'!V91+'7'!V91+'10'!V91+'9'!V91+'11'!V91+'12'!V91+'13'!V91+'15'!V91+'14'!V91+'16'!V91+'17'!V91+'19'!V91+'20'!V91+'22'!V91+'18'!V91+'21'!V91+'25'!V91+'23'!V91+'26'!V91+'24'!V91+'28'!V91+'27'!V91+'29'!V91+'31'!V91+'30'!V91</f>
        <v>0</v>
      </c>
      <c r="W91" s="127">
        <f>+'1'!W91+'3'!W91+'2'!W91+'6'!W91+'5'!W91+'4'!W91+'8'!W91+'7'!W91+'10'!W91+'9'!W91+'11'!W91+'12'!W91+'13'!W91+'15'!W91+'14'!W91+'16'!W91+'17'!W91+'19'!W91+'20'!W91+'22'!W91+'18'!W91+'21'!W91+'25'!W91+'23'!W91+'26'!W91+'24'!W91+'28'!W91+'27'!W91+'29'!W91+'31'!W91+'30'!W91</f>
        <v>0</v>
      </c>
      <c r="X91" s="127">
        <f>+'1'!X91+'3'!X91+'2'!X91+'6'!X91+'5'!X91+'4'!X91+'8'!X91+'7'!X91+'10'!X91+'9'!X91+'11'!X91+'12'!X91+'13'!X91+'15'!X91+'14'!X91+'16'!X91+'17'!X91+'19'!X91+'20'!X91+'22'!X91+'18'!X91+'21'!X91+'25'!X91+'23'!X91+'26'!X91+'24'!X91+'28'!X91+'27'!X91+'29'!X91+'31'!X91+'30'!X91</f>
        <v>0</v>
      </c>
      <c r="Y91" s="127">
        <f>+'1'!Y91+'3'!Y91+'2'!Y91+'6'!Y91+'5'!Y91+'4'!Y91+'8'!Y91+'7'!Y91+'10'!Y91+'9'!Y91+'11'!Y91+'12'!Y91+'13'!Y91+'15'!Y91+'14'!Y91+'16'!Y91+'17'!Y91+'19'!Y91+'20'!Y91+'22'!Y91+'18'!Y91+'21'!Y91+'25'!Y91+'23'!Y91+'26'!Y91+'24'!Y91+'28'!Y91+'27'!Y91+'29'!Y91+'31'!Y91+'30'!Y91</f>
        <v>0</v>
      </c>
      <c r="Z91" s="127">
        <f>+'1'!Z91+'3'!Z91+'2'!Z91+'6'!Z91+'5'!Z91+'4'!Z91+'8'!Z91+'7'!Z91+'10'!Z91+'9'!Z91+'11'!Z91+'12'!Z91+'13'!Z91+'15'!Z91+'14'!Z91+'16'!Z91+'17'!Z91+'19'!Z91+'20'!Z91+'22'!Z91+'18'!Z91+'21'!Z91+'25'!Z91+'23'!Z91+'26'!Z91+'24'!Z91+'28'!Z91+'27'!Z91+'29'!Z91+'31'!Z91+'30'!Z91</f>
        <v>0</v>
      </c>
      <c r="AA91" s="127">
        <f>+'1'!AA91+'3'!AA91+'2'!AA91+'6'!AA91+'5'!AA91+'4'!AA91+'8'!AA91+'7'!AA91+'10'!AA91+'9'!AA91+'11'!AA91+'12'!AA91+'13'!AA91+'15'!AA91+'14'!AA91+'16'!AA91+'17'!AA91+'19'!AA91+'20'!AA91+'22'!AA91+'18'!AA91+'21'!AA91+'25'!AA91+'23'!AA91+'26'!AA91+'24'!AA91+'28'!AA91+'27'!AA91+'29'!AA91+'31'!AA91+'30'!AA91</f>
        <v>0</v>
      </c>
      <c r="AB91" s="127">
        <f>+'1'!AB91+'3'!AB91+'2'!AB91+'6'!AB91+'5'!AB91+'4'!AB91+'8'!AB91+'7'!AB91+'10'!AB91+'9'!AB91+'11'!AB91+'12'!AB91+'13'!AB91+'15'!AB91+'14'!AB91+'16'!AB91+'17'!AB91+'19'!AB91+'20'!AB91+'22'!AB91+'18'!AB91+'21'!AB91+'25'!AB91+'23'!AB91+'26'!AB91+'24'!AB91+'28'!AB91+'27'!AB91+'29'!AB91+'31'!AB91+'30'!AB91</f>
        <v>0</v>
      </c>
      <c r="AC91" s="127">
        <f>+'1'!AC91+'3'!AC91+'2'!AC91+'6'!AC91+'5'!AC91+'4'!AC91+'8'!AC91+'7'!AC91+'10'!AC91+'9'!AC91+'11'!AC91+'12'!AC91+'13'!AC91+'15'!AC91+'14'!AC91+'16'!AC91+'17'!AC91+'19'!AC91+'20'!AC91+'22'!AC91+'18'!AC91+'21'!AC91+'25'!AC91+'23'!AC91+'26'!AC91+'24'!AC91+'28'!AC91+'27'!AC91+'29'!AC91+'31'!AC91+'30'!AC91</f>
        <v>0</v>
      </c>
      <c r="AD91" s="127">
        <f>+'1'!AD91+'3'!AD91+'2'!AD91+'6'!AD91+'5'!AD91+'4'!AD91+'8'!AD91+'7'!AD91+'10'!AD91+'9'!AD91+'11'!AD91+'12'!AD91+'13'!AD91+'15'!AD91+'14'!AD91+'16'!AD91+'17'!AD91+'19'!AD91+'20'!AD91+'22'!AD91+'18'!AD91+'21'!AD91+'25'!AD91+'23'!AD91+'26'!AD91+'24'!AD91+'28'!AD91+'27'!AD91+'29'!AD91+'31'!AD91+'30'!AD91</f>
        <v>0</v>
      </c>
      <c r="AE91" s="127">
        <f>+'1'!AE91+'3'!AE91+'2'!AE91+'6'!AE91+'5'!AE91+'4'!AE91+'8'!AE91+'7'!AE91+'10'!AE91+'9'!AE91+'11'!AE91+'12'!AE91+'13'!AE91+'15'!AE91+'14'!AE91+'16'!AE91+'17'!AE91+'19'!AE91+'20'!AE91+'22'!AE91+'18'!AE91+'21'!AE91+'25'!AE91+'23'!AE91+'26'!AE91+'24'!AE91+'28'!AE91+'27'!AE91+'29'!AE91+'31'!AE91+'30'!AE91</f>
        <v>0</v>
      </c>
      <c r="AF91" s="127">
        <f>+'1'!AF91+'3'!AF91+'2'!AF91+'6'!AF91+'5'!AF91+'4'!AF91+'8'!AF91+'7'!AF91+'10'!AF91+'9'!AF91+'11'!AF91+'12'!AF91+'13'!AF91+'15'!AF91+'14'!AF91+'16'!AF91+'17'!AF91+'19'!AF91+'20'!AF91+'22'!AF91+'18'!AF91+'21'!AF91+'25'!AF91+'23'!AF91+'26'!AF91+'24'!AF91+'28'!AF91+'27'!AF91+'29'!AF91+'31'!AF91+'30'!AF91</f>
        <v>0</v>
      </c>
      <c r="AG91" s="127">
        <f>+'1'!AG91+'3'!AG91+'2'!AG91+'6'!AG91+'5'!AG91+'4'!AG91+'8'!AG91+'7'!AG91+'10'!AG91+'9'!AG91+'11'!AG91+'12'!AG91+'13'!AG91+'15'!AG91+'14'!AG91+'16'!AG91+'17'!AG91+'19'!AG91+'20'!AG91+'22'!AG91+'18'!AG91+'21'!AG91+'25'!AG91+'23'!AG91+'26'!AG91+'24'!AG91+'28'!AG91+'27'!AG91+'29'!AG91+'31'!AG91+'30'!AG91</f>
        <v>0</v>
      </c>
      <c r="AH91" s="127">
        <f>+'1'!AH91+'3'!AH91+'2'!AH91+'6'!AH91+'5'!AH91+'4'!AH91+'8'!AH91+'7'!AH91+'10'!AH91+'9'!AH91+'11'!AH91+'12'!AH91+'13'!AH91+'15'!AH91+'14'!AH91+'16'!AH91+'17'!AH91+'19'!AH91+'20'!AH91+'22'!AH91+'18'!AH91+'21'!AH91+'25'!AH91+'23'!AH91+'26'!AH91+'24'!AH91+'28'!AH91+'27'!AH91+'29'!AH91+'31'!AH91+'30'!AH91</f>
        <v>0</v>
      </c>
      <c r="AI91" s="128">
        <f>+'1'!AI91+'3'!AI91+'2'!AI91+'6'!AI91+'5'!AI91+'4'!AI91+'8'!AI91+'7'!AI91+'10'!AI91+'9'!AI91+'11'!AI91+'12'!AI91+'13'!AI91+'15'!AI91+'14'!AI91+'16'!AI91+'17'!AI91+'19'!AI91+'20'!AI91+'22'!AI91+'18'!AI91+'21'!AI91+'25'!AI91+'23'!AI91+'26'!AI91+'24'!AI91+'28'!AI91+'27'!AI91+'29'!AI91+'31'!AI91+'30'!AI91</f>
        <v>0</v>
      </c>
      <c r="AJ91" s="129">
        <f>+'1'!AJ91+'3'!AJ91+'2'!AJ91+'6'!AJ91+'5'!AJ91+'4'!AJ91+'8'!AJ91+'7'!AJ91+'10'!AJ91+'9'!AJ91+'11'!AJ91+'12'!AJ91+'13'!AJ91+'15'!AJ91+'14'!AJ91+'16'!AJ91+'17'!AJ91+'19'!AJ91+'20'!AJ91+'22'!AJ91+'18'!AJ91+'21'!AJ91+'25'!AJ91+'23'!AJ91+'26'!AJ91+'24'!AJ91+'28'!AJ91+'27'!AJ91+'29'!AJ91+'31'!AJ91+'30'!AJ91</f>
        <v>0</v>
      </c>
      <c r="AK91" s="128">
        <f>+'1'!AK91+'3'!AK91+'2'!AK91+'6'!AK91+'5'!AK91+'4'!AK91+'8'!AK91+'7'!AK91+'10'!AK91+'9'!AK91+'11'!AK91+'12'!AK91+'13'!AK91+'15'!AK91+'14'!AK91+'16'!AK91+'17'!AK91+'19'!AK91+'20'!AK91+'22'!AK91+'18'!AK91+'21'!AK91+'25'!AK91+'23'!AK91+'26'!AK91+'24'!AK91+'28'!AK91+'27'!AK91+'29'!AK91+'31'!AK91+'30'!AK91</f>
        <v>0</v>
      </c>
      <c r="AL91" s="92">
        <f t="shared" si="8"/>
        <v>0</v>
      </c>
      <c r="AM91" s="122" t="str">
        <f t="shared" si="9"/>
        <v>OK</v>
      </c>
    </row>
    <row r="92" spans="1:39" ht="17.25" hidden="1" thickBot="1">
      <c r="A92" s="68"/>
      <c r="B92" s="78"/>
      <c r="C92" s="23"/>
      <c r="D92" s="83"/>
      <c r="E92" s="83"/>
      <c r="F92" s="83"/>
      <c r="G92" s="84"/>
      <c r="H92" s="26">
        <f>+'1'!H92+'3'!H92+'2'!H92+'6'!H92+'5'!H92+'4'!H92+'8'!H92+'7'!H92+'10'!H92+'9'!H92+'11'!H92+'12'!H92+'13'!H92+'15'!H92+'14'!H92+'16'!H92+'17'!H92+'19'!H92+'20'!H92+'22'!H92+'18'!H92+'21'!H92+'25'!H92+'23'!H92+'26'!H92+'24'!H92+'28'!H92+'27'!H92+'29'!H92+'31'!H92+'30'!H92</f>
        <v>0</v>
      </c>
      <c r="I92" s="27">
        <f>+'1'!I92+'3'!I92+'2'!I92+'6'!I92+'5'!I92+'4'!I92+'8'!I92+'7'!I92+'10'!I92+'9'!I92+'11'!I92+'12'!I92+'13'!I92+'15'!I92+'14'!I92+'16'!I92+'17'!I92+'19'!I92+'20'!I92+'22'!I92+'18'!I92+'21'!I92+'25'!I92+'23'!I92+'26'!I92+'24'!I92+'28'!I92+'27'!I92+'29'!I92+'31'!I92+'30'!I92</f>
        <v>0</v>
      </c>
      <c r="J92" s="27"/>
      <c r="K92" s="16"/>
      <c r="L92" s="27">
        <f>+'1'!L92+'3'!L92+'2'!L92+'6'!L92+'5'!L92+'4'!L92+'8'!L92+'7'!L92+'10'!L92+'9'!L92+'11'!L92+'12'!L92+'13'!L92+'15'!L92+'14'!L92+'16'!L92+'17'!L92+'19'!L92+'20'!L92+'22'!L92+'18'!L92+'21'!L92+'25'!L92+'23'!L92+'26'!L92+'24'!L92+'28'!L92+'27'!L92+'29'!L92+'31'!L92+'30'!L92</f>
        <v>0</v>
      </c>
      <c r="M92" s="27">
        <f>+'1'!M92+'3'!M92+'2'!M92+'6'!M92+'5'!M92+'4'!M92+'8'!M92+'7'!M92+'10'!M92+'9'!M92+'11'!M92+'12'!M92+'13'!M92+'15'!M92+'14'!M92+'16'!M92+'17'!M92+'19'!M92+'20'!M92+'22'!M92+'18'!M92+'21'!M92+'25'!M92+'23'!M92+'26'!M92+'24'!M92+'28'!M92+'27'!M92+'29'!M92+'31'!M92+'30'!M92</f>
        <v>0</v>
      </c>
      <c r="N92" s="27">
        <f>+'1'!N92+'3'!N92+'2'!N92+'6'!N92+'5'!N92+'4'!N92+'8'!N92+'7'!N92+'10'!N92+'9'!N92+'11'!N92+'12'!N92+'13'!N92+'15'!N92+'14'!N92+'16'!N92+'17'!N92+'19'!N92+'20'!N92+'22'!N92+'18'!N92+'21'!N92+'25'!N92+'23'!N92+'26'!N92+'24'!N92+'28'!N92+'27'!N92+'29'!N92+'31'!N92+'30'!N92</f>
        <v>0</v>
      </c>
      <c r="O92" s="27">
        <f>+'1'!O92+'3'!O92+'2'!O92+'6'!O92+'5'!O92+'4'!O92+'8'!O92+'7'!O92+'10'!O92+'9'!O92+'11'!O92+'12'!O92+'13'!O92+'15'!O92+'14'!O92+'16'!O92+'17'!O92+'19'!O92+'20'!O92+'22'!O92+'18'!O92+'21'!O92+'25'!O92+'23'!O92+'26'!O92+'24'!O92+'28'!O92+'27'!O92+'29'!O92+'31'!O92+'30'!O92</f>
        <v>0</v>
      </c>
      <c r="P92" s="27">
        <f>+'1'!P92+'3'!P92+'2'!P92+'6'!P92+'5'!P92+'4'!P92+'8'!P92+'7'!P92+'10'!P92+'9'!P92+'11'!P92+'12'!P92+'13'!P92+'15'!P92+'14'!P92+'16'!P92+'17'!P92+'19'!P92+'20'!P92+'22'!P92+'18'!P92+'21'!P92+'25'!P92+'23'!P92+'26'!P92+'24'!P92+'28'!P92+'27'!P92+'29'!P92+'31'!P92+'30'!P92</f>
        <v>0</v>
      </c>
      <c r="Q92" s="27">
        <f>+'1'!Q92+'3'!Q92+'2'!Q92+'6'!Q92+'5'!Q92+'4'!Q92+'8'!Q92+'7'!Q92+'10'!Q92+'9'!Q92+'11'!Q92+'12'!Q92+'13'!Q92+'15'!Q92+'14'!Q92+'16'!Q92+'17'!Q92+'19'!Q92+'20'!Q92+'22'!Q92+'18'!Q92+'21'!Q92+'25'!Q92+'23'!Q92+'26'!Q92+'24'!Q92+'28'!Q92+'27'!Q92+'29'!Q92+'31'!Q92+'30'!Q92</f>
        <v>0</v>
      </c>
      <c r="R92" s="27">
        <f>+'1'!R92+'3'!R92+'2'!R92+'6'!R92+'5'!R92+'4'!R92+'8'!R92+'7'!R92+'10'!R92+'9'!R92+'11'!R92+'12'!R92+'13'!R92+'15'!R92+'14'!R92+'16'!R92+'17'!R92+'19'!R92+'20'!R92+'22'!R92+'18'!R92+'21'!R92+'25'!R92+'23'!R92+'26'!R92+'24'!R92+'28'!R92+'27'!R92+'29'!R92+'31'!R92+'30'!R92</f>
        <v>0</v>
      </c>
      <c r="S92" s="27">
        <f>+'1'!S92+'3'!S92+'2'!S92+'6'!S92+'5'!S92+'4'!S92+'8'!S92+'7'!S92+'10'!S92+'9'!S92+'11'!S92+'12'!S92+'13'!S92+'15'!S92+'14'!S92+'16'!S92+'17'!S92+'19'!S92+'20'!S92+'22'!S92+'18'!S92+'21'!S92+'25'!S92+'23'!S92+'26'!S92+'24'!S92+'28'!S92+'27'!S92+'29'!S92+'31'!S92+'30'!S92</f>
        <v>0</v>
      </c>
      <c r="T92" s="43">
        <f>+'1'!T92+'3'!T92+'2'!T92+'6'!T92+'5'!T92+'4'!T92+'8'!T92+'7'!T92+'10'!T92+'9'!T92+'11'!T92+'12'!T92+'13'!T92+'15'!T92+'14'!T92+'16'!T92+'17'!T92+'19'!T92+'20'!T92+'22'!T92+'18'!T92+'21'!T92+'25'!T92+'23'!T92+'26'!T92+'24'!T92+'28'!T92+'27'!T92+'29'!T92+'31'!T92+'30'!T92</f>
        <v>0</v>
      </c>
      <c r="U92" s="52">
        <f>+'1'!U92+'3'!U92+'2'!U92+'6'!U92+'5'!U92+'4'!U92+'8'!U92+'7'!U92+'10'!U92+'9'!U92+'11'!U92+'12'!U92+'13'!U92+'15'!U92+'14'!U92+'16'!U92+'17'!U92+'19'!U92+'20'!U92+'22'!U92+'18'!U92+'21'!U92+'25'!U92+'23'!U92+'26'!U92+'24'!U92+'28'!U92+'27'!U92+'29'!U92+'31'!U92+'30'!U92</f>
        <v>0</v>
      </c>
      <c r="V92" s="52">
        <f>+'1'!V92+'3'!V92+'2'!V92+'6'!V92+'5'!V92+'4'!V92+'8'!V92+'7'!V92+'10'!V92+'9'!V92+'11'!V92+'12'!V92+'13'!V92+'15'!V92+'14'!V92+'16'!V92+'17'!V92+'19'!V92+'20'!V92+'22'!V92+'18'!V92+'21'!V92+'25'!V92+'23'!V92+'26'!V92+'24'!V92+'28'!V92+'27'!V92+'29'!V92+'31'!V92+'30'!V92</f>
        <v>0</v>
      </c>
      <c r="W92" s="52">
        <f>+'1'!W92+'3'!W92+'2'!W92+'6'!W92+'5'!W92+'4'!W92+'8'!W92+'7'!W92+'10'!W92+'9'!W92+'11'!W92+'12'!W92+'13'!W92+'15'!W92+'14'!W92+'16'!W92+'17'!W92+'19'!W92+'20'!W92+'22'!W92+'18'!W92+'21'!W92+'25'!W92+'23'!W92+'26'!W92+'24'!W92+'28'!W92+'27'!W92+'29'!W92+'31'!W92+'30'!W92</f>
        <v>0</v>
      </c>
      <c r="X92" s="52">
        <f>+'1'!X92+'3'!X92+'2'!X92+'6'!X92+'5'!X92+'4'!X92+'8'!X92+'7'!X92+'10'!X92+'9'!X92+'11'!X92+'12'!X92+'13'!X92+'15'!X92+'14'!X92+'16'!X92+'17'!X92+'19'!X92+'20'!X92+'22'!X92+'18'!X92+'21'!X92+'25'!X92+'23'!X92+'26'!X92+'24'!X92+'28'!X92+'27'!X92+'29'!X92+'31'!X92+'30'!X92</f>
        <v>0</v>
      </c>
      <c r="Y92" s="52">
        <f>+'1'!Y92+'3'!Y92+'2'!Y92+'6'!Y92+'5'!Y92+'4'!Y92+'8'!Y92+'7'!Y92+'10'!Y92+'9'!Y92+'11'!Y92+'12'!Y92+'13'!Y92+'15'!Y92+'14'!Y92+'16'!Y92+'17'!Y92+'19'!Y92+'20'!Y92+'22'!Y92+'18'!Y92+'21'!Y92+'25'!Y92+'23'!Y92+'26'!Y92+'24'!Y92+'28'!Y92+'27'!Y92+'29'!Y92+'31'!Y92+'30'!Y92</f>
        <v>0</v>
      </c>
      <c r="Z92" s="52">
        <f>+'1'!Z92+'3'!Z92+'2'!Z92+'6'!Z92+'5'!Z92+'4'!Z92+'8'!Z92+'7'!Z92+'10'!Z92+'9'!Z92+'11'!Z92+'12'!Z92+'13'!Z92+'15'!Z92+'14'!Z92+'16'!Z92+'17'!Z92+'19'!Z92+'20'!Z92+'22'!Z92+'18'!Z92+'21'!Z92+'25'!Z92+'23'!Z92+'26'!Z92+'24'!Z92+'28'!Z92+'27'!Z92+'29'!Z92+'31'!Z92+'30'!Z92</f>
        <v>0</v>
      </c>
      <c r="AA92" s="52">
        <f>+'1'!AA92+'3'!AA92+'2'!AA92+'6'!AA92+'5'!AA92+'4'!AA92+'8'!AA92+'7'!AA92+'10'!AA92+'9'!AA92+'11'!AA92+'12'!AA92+'13'!AA92+'15'!AA92+'14'!AA92+'16'!AA92+'17'!AA92+'19'!AA92+'20'!AA92+'22'!AA92+'18'!AA92+'21'!AA92+'25'!AA92+'23'!AA92+'26'!AA92+'24'!AA92+'28'!AA92+'27'!AA92+'29'!AA92+'31'!AA92+'30'!AA92</f>
        <v>0</v>
      </c>
      <c r="AB92" s="52">
        <f>+'1'!AB92+'3'!AB92+'2'!AB92+'6'!AB92+'5'!AB92+'4'!AB92+'8'!AB92+'7'!AB92+'10'!AB92+'9'!AB92+'11'!AB92+'12'!AB92+'13'!AB92+'15'!AB92+'14'!AB92+'16'!AB92+'17'!AB92+'19'!AB92+'20'!AB92+'22'!AB92+'18'!AB92+'21'!AB92+'25'!AB92+'23'!AB92+'26'!AB92+'24'!AB92+'28'!AB92+'27'!AB92+'29'!AB92+'31'!AB92+'30'!AB92</f>
        <v>0</v>
      </c>
      <c r="AC92" s="52">
        <f>+'1'!AC92+'3'!AC92+'2'!AC92+'6'!AC92+'5'!AC92+'4'!AC92+'8'!AC92+'7'!AC92+'10'!AC92+'9'!AC92+'11'!AC92+'12'!AC92+'13'!AC92+'15'!AC92+'14'!AC92+'16'!AC92+'17'!AC92+'19'!AC92+'20'!AC92+'22'!AC92+'18'!AC92+'21'!AC92+'25'!AC92+'23'!AC92+'26'!AC92+'24'!AC92+'28'!AC92+'27'!AC92+'29'!AC92+'31'!AC92+'30'!AC92</f>
        <v>0</v>
      </c>
      <c r="AD92" s="52">
        <f>+'1'!AD92+'3'!AD92+'2'!AD92+'6'!AD92+'5'!AD92+'4'!AD92+'8'!AD92+'7'!AD92+'10'!AD92+'9'!AD92+'11'!AD92+'12'!AD92+'13'!AD92+'15'!AD92+'14'!AD92+'16'!AD92+'17'!AD92+'19'!AD92+'20'!AD92+'22'!AD92+'18'!AD92+'21'!AD92+'25'!AD92+'23'!AD92+'26'!AD92+'24'!AD92+'28'!AD92+'27'!AD92+'29'!AD92+'31'!AD92+'30'!AD92</f>
        <v>0</v>
      </c>
      <c r="AE92" s="52">
        <f>+'1'!AE92+'3'!AE92+'2'!AE92+'6'!AE92+'5'!AE92+'4'!AE92+'8'!AE92+'7'!AE92+'10'!AE92+'9'!AE92+'11'!AE92+'12'!AE92+'13'!AE92+'15'!AE92+'14'!AE92+'16'!AE92+'17'!AE92+'19'!AE92+'20'!AE92+'22'!AE92+'18'!AE92+'21'!AE92+'25'!AE92+'23'!AE92+'26'!AE92+'24'!AE92+'28'!AE92+'27'!AE92+'29'!AE92+'31'!AE92+'30'!AE92</f>
        <v>0</v>
      </c>
      <c r="AF92" s="52">
        <f>+'1'!AF92+'3'!AF92+'2'!AF92+'6'!AF92+'5'!AF92+'4'!AF92+'8'!AF92+'7'!AF92+'10'!AF92+'9'!AF92+'11'!AF92+'12'!AF92+'13'!AF92+'15'!AF92+'14'!AF92+'16'!AF92+'17'!AF92+'19'!AF92+'20'!AF92+'22'!AF92+'18'!AF92+'21'!AF92+'25'!AF92+'23'!AF92+'26'!AF92+'24'!AF92+'28'!AF92+'27'!AF92+'29'!AF92+'31'!AF92+'30'!AF92</f>
        <v>0</v>
      </c>
      <c r="AG92" s="52">
        <f>+'1'!AG92+'3'!AG92+'2'!AG92+'6'!AG92+'5'!AG92+'4'!AG92+'8'!AG92+'7'!AG92+'10'!AG92+'9'!AG92+'11'!AG92+'12'!AG92+'13'!AG92+'15'!AG92+'14'!AG92+'16'!AG92+'17'!AG92+'19'!AG92+'20'!AG92+'22'!AG92+'18'!AG92+'21'!AG92+'25'!AG92+'23'!AG92+'26'!AG92+'24'!AG92+'28'!AG92+'27'!AG92+'29'!AG92+'31'!AG92+'30'!AG92</f>
        <v>0</v>
      </c>
      <c r="AH92" s="52">
        <f>+'1'!AH92+'3'!AH92+'2'!AH92+'6'!AH92+'5'!AH92+'4'!AH92+'8'!AH92+'7'!AH92+'10'!AH92+'9'!AH92+'11'!AH92+'12'!AH92+'13'!AH92+'15'!AH92+'14'!AH92+'16'!AH92+'17'!AH92+'19'!AH92+'20'!AH92+'22'!AH92+'18'!AH92+'21'!AH92+'25'!AH92+'23'!AH92+'26'!AH92+'24'!AH92+'28'!AH92+'27'!AH92+'29'!AH92+'31'!AH92+'30'!AH92</f>
        <v>0</v>
      </c>
      <c r="AI92" s="55">
        <f>+'1'!AI92+'3'!AI92+'2'!AI92+'6'!AI92+'5'!AI92+'4'!AI92+'8'!AI92+'7'!AI92+'10'!AI92+'9'!AI92+'11'!AI92+'12'!AI92+'13'!AI92+'15'!AI92+'14'!AI92+'16'!AI92+'17'!AI92+'19'!AI92+'20'!AI92+'22'!AI92+'18'!AI92+'21'!AI92+'25'!AI92+'23'!AI92+'26'!AI92+'24'!AI92+'28'!AI92+'27'!AI92+'29'!AI92+'31'!AI92+'30'!AI92</f>
        <v>0</v>
      </c>
      <c r="AJ92" s="58">
        <f>+'1'!AJ92+'3'!AJ92+'2'!AJ92+'6'!AJ92+'5'!AJ92+'4'!AJ92+'8'!AJ92+'7'!AJ92+'10'!AJ92+'9'!AJ92+'11'!AJ92+'12'!AJ92+'13'!AJ92+'15'!AJ92+'14'!AJ92+'16'!AJ92+'17'!AJ92+'19'!AJ92+'20'!AJ92+'22'!AJ92+'18'!AJ92+'21'!AJ92+'25'!AJ92+'23'!AJ92+'26'!AJ92+'24'!AJ92+'28'!AJ92+'27'!AJ92+'29'!AJ92+'31'!AJ92+'30'!AJ92</f>
        <v>0</v>
      </c>
      <c r="AK92" s="55">
        <f>+'1'!AK92+'3'!AK92+'2'!AK92+'6'!AK92+'5'!AK92+'4'!AK92+'8'!AK92+'7'!AK92+'10'!AK92+'9'!AK92+'11'!AK92+'12'!AK92+'13'!AK92+'15'!AK92+'14'!AK92+'16'!AK92+'17'!AK92+'19'!AK92+'20'!AK92+'22'!AK92+'18'!AK92+'21'!AK92+'25'!AK92+'23'!AK92+'26'!AK92+'24'!AK92+'28'!AK92+'27'!AK92+'29'!AK92+'31'!AK92+'30'!AK92</f>
        <v>0</v>
      </c>
      <c r="AL92" s="66">
        <f t="shared" si="8"/>
        <v>0</v>
      </c>
      <c r="AM92" s="28" t="str">
        <f t="shared" si="9"/>
        <v>OK</v>
      </c>
    </row>
    <row r="93" spans="1:39" ht="17.25" hidden="1" thickBot="1">
      <c r="A93" s="87"/>
      <c r="B93" s="93"/>
      <c r="C93" s="130"/>
      <c r="D93" s="88"/>
      <c r="E93" s="88"/>
      <c r="F93" s="88"/>
      <c r="G93" s="89"/>
      <c r="H93" s="124">
        <f>+'1'!H93+'3'!H93+'2'!H93+'6'!H93+'5'!H93+'4'!H93+'8'!H93+'7'!H93+'10'!H93+'9'!H93+'11'!H93+'12'!H93+'13'!H93+'15'!H93+'14'!H93+'16'!H93+'17'!H93+'19'!H93+'20'!H93+'22'!H93+'18'!H93+'21'!H93+'25'!H93+'23'!H93+'26'!H93+'24'!H93+'28'!H93+'27'!H93+'29'!H93+'31'!H93+'30'!H93</f>
        <v>0</v>
      </c>
      <c r="I93" s="125">
        <f>+'1'!I93+'3'!I93+'2'!I93+'6'!I93+'5'!I93+'4'!I93+'8'!I93+'7'!I93+'10'!I93+'9'!I93+'11'!I93+'12'!I93+'13'!I93+'15'!I93+'14'!I93+'16'!I93+'17'!I93+'19'!I93+'20'!I93+'22'!I93+'18'!I93+'21'!I93+'25'!I93+'23'!I93+'26'!I93+'24'!I93+'28'!I93+'27'!I93+'29'!I93+'31'!I93+'30'!I93</f>
        <v>0</v>
      </c>
      <c r="J93" s="125"/>
      <c r="K93" s="91"/>
      <c r="L93" s="125">
        <f>+'1'!L93+'3'!L93+'2'!L93+'6'!L93+'5'!L93+'4'!L93+'8'!L93+'7'!L93+'10'!L93+'9'!L93+'11'!L93+'12'!L93+'13'!L93+'15'!L93+'14'!L93+'16'!L93+'17'!L93+'19'!L93+'20'!L93+'22'!L93+'18'!L93+'21'!L93+'25'!L93+'23'!L93+'26'!L93+'24'!L93+'28'!L93+'27'!L93+'29'!L93+'31'!L93+'30'!L93</f>
        <v>0</v>
      </c>
      <c r="M93" s="125">
        <f>+'1'!M93+'3'!M93+'2'!M93+'6'!M93+'5'!M93+'4'!M93+'8'!M93+'7'!M93+'10'!M93+'9'!M93+'11'!M93+'12'!M93+'13'!M93+'15'!M93+'14'!M93+'16'!M93+'17'!M93+'19'!M93+'20'!M93+'22'!M93+'18'!M93+'21'!M93+'25'!M93+'23'!M93+'26'!M93+'24'!M93+'28'!M93+'27'!M93+'29'!M93+'31'!M93+'30'!M93</f>
        <v>0</v>
      </c>
      <c r="N93" s="125">
        <f>+'1'!N93+'3'!N93+'2'!N93+'6'!N93+'5'!N93+'4'!N93+'8'!N93+'7'!N93+'10'!N93+'9'!N93+'11'!N93+'12'!N93+'13'!N93+'15'!N93+'14'!N93+'16'!N93+'17'!N93+'19'!N93+'20'!N93+'22'!N93+'18'!N93+'21'!N93+'25'!N93+'23'!N93+'26'!N93+'24'!N93+'28'!N93+'27'!N93+'29'!N93+'31'!N93+'30'!N93</f>
        <v>0</v>
      </c>
      <c r="O93" s="125">
        <f>+'1'!O93+'3'!O93+'2'!O93+'6'!O93+'5'!O93+'4'!O93+'8'!O93+'7'!O93+'10'!O93+'9'!O93+'11'!O93+'12'!O93+'13'!O93+'15'!O93+'14'!O93+'16'!O93+'17'!O93+'19'!O93+'20'!O93+'22'!O93+'18'!O93+'21'!O93+'25'!O93+'23'!O93+'26'!O93+'24'!O93+'28'!O93+'27'!O93+'29'!O93+'31'!O93+'30'!O93</f>
        <v>0</v>
      </c>
      <c r="P93" s="125">
        <f>+'1'!P93+'3'!P93+'2'!P93+'6'!P93+'5'!P93+'4'!P93+'8'!P93+'7'!P93+'10'!P93+'9'!P93+'11'!P93+'12'!P93+'13'!P93+'15'!P93+'14'!P93+'16'!P93+'17'!P93+'19'!P93+'20'!P93+'22'!P93+'18'!P93+'21'!P93+'25'!P93+'23'!P93+'26'!P93+'24'!P93+'28'!P93+'27'!P93+'29'!P93+'31'!P93+'30'!P93</f>
        <v>0</v>
      </c>
      <c r="Q93" s="125">
        <f>+'1'!Q93+'3'!Q93+'2'!Q93+'6'!Q93+'5'!Q93+'4'!Q93+'8'!Q93+'7'!Q93+'10'!Q93+'9'!Q93+'11'!Q93+'12'!Q93+'13'!Q93+'15'!Q93+'14'!Q93+'16'!Q93+'17'!Q93+'19'!Q93+'20'!Q93+'22'!Q93+'18'!Q93+'21'!Q93+'25'!Q93+'23'!Q93+'26'!Q93+'24'!Q93+'28'!Q93+'27'!Q93+'29'!Q93+'31'!Q93+'30'!Q93</f>
        <v>0</v>
      </c>
      <c r="R93" s="125">
        <f>+'1'!R93+'3'!R93+'2'!R93+'6'!R93+'5'!R93+'4'!R93+'8'!R93+'7'!R93+'10'!R93+'9'!R93+'11'!R93+'12'!R93+'13'!R93+'15'!R93+'14'!R93+'16'!R93+'17'!R93+'19'!R93+'20'!R93+'22'!R93+'18'!R93+'21'!R93+'25'!R93+'23'!R93+'26'!R93+'24'!R93+'28'!R93+'27'!R93+'29'!R93+'31'!R93+'30'!R93</f>
        <v>0</v>
      </c>
      <c r="S93" s="125">
        <f>+'1'!S93+'3'!S93+'2'!S93+'6'!S93+'5'!S93+'4'!S93+'8'!S93+'7'!S93+'10'!S93+'9'!S93+'11'!S93+'12'!S93+'13'!S93+'15'!S93+'14'!S93+'16'!S93+'17'!S93+'19'!S93+'20'!S93+'22'!S93+'18'!S93+'21'!S93+'25'!S93+'23'!S93+'26'!S93+'24'!S93+'28'!S93+'27'!S93+'29'!S93+'31'!S93+'30'!S93</f>
        <v>0</v>
      </c>
      <c r="T93" s="126">
        <f>+'1'!T93+'3'!T93+'2'!T93+'6'!T93+'5'!T93+'4'!T93+'8'!T93+'7'!T93+'10'!T93+'9'!T93+'11'!T93+'12'!T93+'13'!T93+'15'!T93+'14'!T93+'16'!T93+'17'!T93+'19'!T93+'20'!T93+'22'!T93+'18'!T93+'21'!T93+'25'!T93+'23'!T93+'26'!T93+'24'!T93+'28'!T93+'27'!T93+'29'!T93+'31'!T93+'30'!T93</f>
        <v>0</v>
      </c>
      <c r="U93" s="127">
        <f>+'1'!U93+'3'!U93+'2'!U93+'6'!U93+'5'!U93+'4'!U93+'8'!U93+'7'!U93+'10'!U93+'9'!U93+'11'!U93+'12'!U93+'13'!U93+'15'!U93+'14'!U93+'16'!U93+'17'!U93+'19'!U93+'20'!U93+'22'!U93+'18'!U93+'21'!U93+'25'!U93+'23'!U93+'26'!U93+'24'!U93+'28'!U93+'27'!U93+'29'!U93+'31'!U93+'30'!U93</f>
        <v>0</v>
      </c>
      <c r="V93" s="127">
        <f>+'1'!V93+'3'!V93+'2'!V93+'6'!V93+'5'!V93+'4'!V93+'8'!V93+'7'!V93+'10'!V93+'9'!V93+'11'!V93+'12'!V93+'13'!V93+'15'!V93+'14'!V93+'16'!V93+'17'!V93+'19'!V93+'20'!V93+'22'!V93+'18'!V93+'21'!V93+'25'!V93+'23'!V93+'26'!V93+'24'!V93+'28'!V93+'27'!V93+'29'!V93+'31'!V93+'30'!V93</f>
        <v>0</v>
      </c>
      <c r="W93" s="127">
        <f>+'1'!W93+'3'!W93+'2'!W93+'6'!W93+'5'!W93+'4'!W93+'8'!W93+'7'!W93+'10'!W93+'9'!W93+'11'!W93+'12'!W93+'13'!W93+'15'!W93+'14'!W93+'16'!W93+'17'!W93+'19'!W93+'20'!W93+'22'!W93+'18'!W93+'21'!W93+'25'!W93+'23'!W93+'26'!W93+'24'!W93+'28'!W93+'27'!W93+'29'!W93+'31'!W93+'30'!W93</f>
        <v>0</v>
      </c>
      <c r="X93" s="127">
        <f>+'1'!X93+'3'!X93+'2'!X93+'6'!X93+'5'!X93+'4'!X93+'8'!X93+'7'!X93+'10'!X93+'9'!X93+'11'!X93+'12'!X93+'13'!X93+'15'!X93+'14'!X93+'16'!X93+'17'!X93+'19'!X93+'20'!X93+'22'!X93+'18'!X93+'21'!X93+'25'!X93+'23'!X93+'26'!X93+'24'!X93+'28'!X93+'27'!X93+'29'!X93+'31'!X93+'30'!X93</f>
        <v>0</v>
      </c>
      <c r="Y93" s="127">
        <f>+'1'!Y93+'3'!Y93+'2'!Y93+'6'!Y93+'5'!Y93+'4'!Y93+'8'!Y93+'7'!Y93+'10'!Y93+'9'!Y93+'11'!Y93+'12'!Y93+'13'!Y93+'15'!Y93+'14'!Y93+'16'!Y93+'17'!Y93+'19'!Y93+'20'!Y93+'22'!Y93+'18'!Y93+'21'!Y93+'25'!Y93+'23'!Y93+'26'!Y93+'24'!Y93+'28'!Y93+'27'!Y93+'29'!Y93+'31'!Y93+'30'!Y93</f>
        <v>0</v>
      </c>
      <c r="Z93" s="127">
        <f>+'1'!Z93+'3'!Z93+'2'!Z93+'6'!Z93+'5'!Z93+'4'!Z93+'8'!Z93+'7'!Z93+'10'!Z93+'9'!Z93+'11'!Z93+'12'!Z93+'13'!Z93+'15'!Z93+'14'!Z93+'16'!Z93+'17'!Z93+'19'!Z93+'20'!Z93+'22'!Z93+'18'!Z93+'21'!Z93+'25'!Z93+'23'!Z93+'26'!Z93+'24'!Z93+'28'!Z93+'27'!Z93+'29'!Z93+'31'!Z93+'30'!Z93</f>
        <v>0</v>
      </c>
      <c r="AA93" s="127">
        <f>+'1'!AA93+'3'!AA93+'2'!AA93+'6'!AA93+'5'!AA93+'4'!AA93+'8'!AA93+'7'!AA93+'10'!AA93+'9'!AA93+'11'!AA93+'12'!AA93+'13'!AA93+'15'!AA93+'14'!AA93+'16'!AA93+'17'!AA93+'19'!AA93+'20'!AA93+'22'!AA93+'18'!AA93+'21'!AA93+'25'!AA93+'23'!AA93+'26'!AA93+'24'!AA93+'28'!AA93+'27'!AA93+'29'!AA93+'31'!AA93+'30'!AA93</f>
        <v>0</v>
      </c>
      <c r="AB93" s="127">
        <f>+'1'!AB93+'3'!AB93+'2'!AB93+'6'!AB93+'5'!AB93+'4'!AB93+'8'!AB93+'7'!AB93+'10'!AB93+'9'!AB93+'11'!AB93+'12'!AB93+'13'!AB93+'15'!AB93+'14'!AB93+'16'!AB93+'17'!AB93+'19'!AB93+'20'!AB93+'22'!AB93+'18'!AB93+'21'!AB93+'25'!AB93+'23'!AB93+'26'!AB93+'24'!AB93+'28'!AB93+'27'!AB93+'29'!AB93+'31'!AB93+'30'!AB93</f>
        <v>0</v>
      </c>
      <c r="AC93" s="127">
        <f>+'1'!AC93+'3'!AC93+'2'!AC93+'6'!AC93+'5'!AC93+'4'!AC93+'8'!AC93+'7'!AC93+'10'!AC93+'9'!AC93+'11'!AC93+'12'!AC93+'13'!AC93+'15'!AC93+'14'!AC93+'16'!AC93+'17'!AC93+'19'!AC93+'20'!AC93+'22'!AC93+'18'!AC93+'21'!AC93+'25'!AC93+'23'!AC93+'26'!AC93+'24'!AC93+'28'!AC93+'27'!AC93+'29'!AC93+'31'!AC93+'30'!AC93</f>
        <v>0</v>
      </c>
      <c r="AD93" s="127">
        <f>+'1'!AD93+'3'!AD93+'2'!AD93+'6'!AD93+'5'!AD93+'4'!AD93+'8'!AD93+'7'!AD93+'10'!AD93+'9'!AD93+'11'!AD93+'12'!AD93+'13'!AD93+'15'!AD93+'14'!AD93+'16'!AD93+'17'!AD93+'19'!AD93+'20'!AD93+'22'!AD93+'18'!AD93+'21'!AD93+'25'!AD93+'23'!AD93+'26'!AD93+'24'!AD93+'28'!AD93+'27'!AD93+'29'!AD93+'31'!AD93+'30'!AD93</f>
        <v>0</v>
      </c>
      <c r="AE93" s="127">
        <f>+'1'!AE93+'3'!AE93+'2'!AE93+'6'!AE93+'5'!AE93+'4'!AE93+'8'!AE93+'7'!AE93+'10'!AE93+'9'!AE93+'11'!AE93+'12'!AE93+'13'!AE93+'15'!AE93+'14'!AE93+'16'!AE93+'17'!AE93+'19'!AE93+'20'!AE93+'22'!AE93+'18'!AE93+'21'!AE93+'25'!AE93+'23'!AE93+'26'!AE93+'24'!AE93+'28'!AE93+'27'!AE93+'29'!AE93+'31'!AE93+'30'!AE93</f>
        <v>0</v>
      </c>
      <c r="AF93" s="127">
        <f>+'1'!AF93+'3'!AF93+'2'!AF93+'6'!AF93+'5'!AF93+'4'!AF93+'8'!AF93+'7'!AF93+'10'!AF93+'9'!AF93+'11'!AF93+'12'!AF93+'13'!AF93+'15'!AF93+'14'!AF93+'16'!AF93+'17'!AF93+'19'!AF93+'20'!AF93+'22'!AF93+'18'!AF93+'21'!AF93+'25'!AF93+'23'!AF93+'26'!AF93+'24'!AF93+'28'!AF93+'27'!AF93+'29'!AF93+'31'!AF93+'30'!AF93</f>
        <v>0</v>
      </c>
      <c r="AG93" s="127">
        <f>+'1'!AG93+'3'!AG93+'2'!AG93+'6'!AG93+'5'!AG93+'4'!AG93+'8'!AG93+'7'!AG93+'10'!AG93+'9'!AG93+'11'!AG93+'12'!AG93+'13'!AG93+'15'!AG93+'14'!AG93+'16'!AG93+'17'!AG93+'19'!AG93+'20'!AG93+'22'!AG93+'18'!AG93+'21'!AG93+'25'!AG93+'23'!AG93+'26'!AG93+'24'!AG93+'28'!AG93+'27'!AG93+'29'!AG93+'31'!AG93+'30'!AG93</f>
        <v>0</v>
      </c>
      <c r="AH93" s="127">
        <f>+'1'!AH93+'3'!AH93+'2'!AH93+'6'!AH93+'5'!AH93+'4'!AH93+'8'!AH93+'7'!AH93+'10'!AH93+'9'!AH93+'11'!AH93+'12'!AH93+'13'!AH93+'15'!AH93+'14'!AH93+'16'!AH93+'17'!AH93+'19'!AH93+'20'!AH93+'22'!AH93+'18'!AH93+'21'!AH93+'25'!AH93+'23'!AH93+'26'!AH93+'24'!AH93+'28'!AH93+'27'!AH93+'29'!AH93+'31'!AH93+'30'!AH93</f>
        <v>0</v>
      </c>
      <c r="AI93" s="128">
        <f>+'1'!AI93+'3'!AI93+'2'!AI93+'6'!AI93+'5'!AI93+'4'!AI93+'8'!AI93+'7'!AI93+'10'!AI93+'9'!AI93+'11'!AI93+'12'!AI93+'13'!AI93+'15'!AI93+'14'!AI93+'16'!AI93+'17'!AI93+'19'!AI93+'20'!AI93+'22'!AI93+'18'!AI93+'21'!AI93+'25'!AI93+'23'!AI93+'26'!AI93+'24'!AI93+'28'!AI93+'27'!AI93+'29'!AI93+'31'!AI93+'30'!AI93</f>
        <v>0</v>
      </c>
      <c r="AJ93" s="129">
        <f>+'1'!AJ93+'3'!AJ93+'2'!AJ93+'6'!AJ93+'5'!AJ93+'4'!AJ93+'8'!AJ93+'7'!AJ93+'10'!AJ93+'9'!AJ93+'11'!AJ93+'12'!AJ93+'13'!AJ93+'15'!AJ93+'14'!AJ93+'16'!AJ93+'17'!AJ93+'19'!AJ93+'20'!AJ93+'22'!AJ93+'18'!AJ93+'21'!AJ93+'25'!AJ93+'23'!AJ93+'26'!AJ93+'24'!AJ93+'28'!AJ93+'27'!AJ93+'29'!AJ93+'31'!AJ93+'30'!AJ93</f>
        <v>0</v>
      </c>
      <c r="AK93" s="128">
        <f>+'1'!AK93+'3'!AK93+'2'!AK93+'6'!AK93+'5'!AK93+'4'!AK93+'8'!AK93+'7'!AK93+'10'!AK93+'9'!AK93+'11'!AK93+'12'!AK93+'13'!AK93+'15'!AK93+'14'!AK93+'16'!AK93+'17'!AK93+'19'!AK93+'20'!AK93+'22'!AK93+'18'!AK93+'21'!AK93+'25'!AK93+'23'!AK93+'26'!AK93+'24'!AK93+'28'!AK93+'27'!AK93+'29'!AK93+'31'!AK93+'30'!AK93</f>
        <v>0</v>
      </c>
      <c r="AL93" s="92">
        <f t="shared" si="8"/>
        <v>0</v>
      </c>
      <c r="AM93" s="122" t="str">
        <f t="shared" si="9"/>
        <v>OK</v>
      </c>
    </row>
    <row r="94" spans="1:39" ht="17.25" hidden="1" thickBot="1">
      <c r="A94" s="68"/>
      <c r="B94" s="78"/>
      <c r="C94" s="23"/>
      <c r="D94" s="83"/>
      <c r="E94" s="83"/>
      <c r="F94" s="83"/>
      <c r="G94" s="84"/>
      <c r="H94" s="26">
        <f>+'1'!H94+'3'!H94+'2'!H94+'6'!H94+'5'!H94+'4'!H94+'8'!H94+'7'!H94+'10'!H94+'9'!H94+'11'!H94+'12'!H94+'13'!H94+'15'!H94+'14'!H94+'16'!H94+'17'!H94+'19'!H94+'20'!H94+'22'!H94+'18'!H94+'21'!H94+'25'!H94+'23'!H94+'26'!H94+'24'!H94+'28'!H94+'27'!H94+'29'!H94+'31'!H94+'30'!H94</f>
        <v>0</v>
      </c>
      <c r="I94" s="27">
        <f>+'1'!I94+'3'!I94+'2'!I94+'6'!I94+'5'!I94+'4'!I94+'8'!I94+'7'!I94+'10'!I94+'9'!I94+'11'!I94+'12'!I94+'13'!I94+'15'!I94+'14'!I94+'16'!I94+'17'!I94+'19'!I94+'20'!I94+'22'!I94+'18'!I94+'21'!I94+'25'!I94+'23'!I94+'26'!I94+'24'!I94+'28'!I94+'27'!I94+'29'!I94+'31'!I94+'30'!I94</f>
        <v>0</v>
      </c>
      <c r="J94" s="27"/>
      <c r="K94" s="16"/>
      <c r="L94" s="27">
        <f>+'1'!L94+'3'!L94+'2'!L94+'6'!L94+'5'!L94+'4'!L94+'8'!L94+'7'!L94+'10'!L94+'9'!L94+'11'!L94+'12'!L94+'13'!L94+'15'!L94+'14'!L94+'16'!L94+'17'!L94+'19'!L94+'20'!L94+'22'!L94+'18'!L94+'21'!L94+'25'!L94+'23'!L94+'26'!L94+'24'!L94+'28'!L94+'27'!L94+'29'!L94+'31'!L94+'30'!L94</f>
        <v>0</v>
      </c>
      <c r="M94" s="27">
        <f>+'1'!M94+'3'!M94+'2'!M94+'6'!M94+'5'!M94+'4'!M94+'8'!M94+'7'!M94+'10'!M94+'9'!M94+'11'!M94+'12'!M94+'13'!M94+'15'!M94+'14'!M94+'16'!M94+'17'!M94+'19'!M94+'20'!M94+'22'!M94+'18'!M94+'21'!M94+'25'!M94+'23'!M94+'26'!M94+'24'!M94+'28'!M94+'27'!M94+'29'!M94+'31'!M94+'30'!M94</f>
        <v>0</v>
      </c>
      <c r="N94" s="27">
        <f>+'1'!N94+'3'!N94+'2'!N94+'6'!N94+'5'!N94+'4'!N94+'8'!N94+'7'!N94+'10'!N94+'9'!N94+'11'!N94+'12'!N94+'13'!N94+'15'!N94+'14'!N94+'16'!N94+'17'!N94+'19'!N94+'20'!N94+'22'!N94+'18'!N94+'21'!N94+'25'!N94+'23'!N94+'26'!N94+'24'!N94+'28'!N94+'27'!N94+'29'!N94+'31'!N94+'30'!N94</f>
        <v>0</v>
      </c>
      <c r="O94" s="27">
        <f>+'1'!O94+'3'!O94+'2'!O94+'6'!O94+'5'!O94+'4'!O94+'8'!O94+'7'!O94+'10'!O94+'9'!O94+'11'!O94+'12'!O94+'13'!O94+'15'!O94+'14'!O94+'16'!O94+'17'!O94+'19'!O94+'20'!O94+'22'!O94+'18'!O94+'21'!O94+'25'!O94+'23'!O94+'26'!O94+'24'!O94+'28'!O94+'27'!O94+'29'!O94+'31'!O94+'30'!O94</f>
        <v>0</v>
      </c>
      <c r="P94" s="27">
        <f>+'1'!P94+'3'!P94+'2'!P94+'6'!P94+'5'!P94+'4'!P94+'8'!P94+'7'!P94+'10'!P94+'9'!P94+'11'!P94+'12'!P94+'13'!P94+'15'!P94+'14'!P94+'16'!P94+'17'!P94+'19'!P94+'20'!P94+'22'!P94+'18'!P94+'21'!P94+'25'!P94+'23'!P94+'26'!P94+'24'!P94+'28'!P94+'27'!P94+'29'!P94+'31'!P94+'30'!P94</f>
        <v>0</v>
      </c>
      <c r="Q94" s="27">
        <f>+'1'!Q94+'3'!Q94+'2'!Q94+'6'!Q94+'5'!Q94+'4'!Q94+'8'!Q94+'7'!Q94+'10'!Q94+'9'!Q94+'11'!Q94+'12'!Q94+'13'!Q94+'15'!Q94+'14'!Q94+'16'!Q94+'17'!Q94+'19'!Q94+'20'!Q94+'22'!Q94+'18'!Q94+'21'!Q94+'25'!Q94+'23'!Q94+'26'!Q94+'24'!Q94+'28'!Q94+'27'!Q94+'29'!Q94+'31'!Q94+'30'!Q94</f>
        <v>0</v>
      </c>
      <c r="R94" s="27">
        <f>+'1'!R94+'3'!R94+'2'!R94+'6'!R94+'5'!R94+'4'!R94+'8'!R94+'7'!R94+'10'!R94+'9'!R94+'11'!R94+'12'!R94+'13'!R94+'15'!R94+'14'!R94+'16'!R94+'17'!R94+'19'!R94+'20'!R94+'22'!R94+'18'!R94+'21'!R94+'25'!R94+'23'!R94+'26'!R94+'24'!R94+'28'!R94+'27'!R94+'29'!R94+'31'!R94+'30'!R94</f>
        <v>0</v>
      </c>
      <c r="S94" s="27">
        <f>+'1'!S94+'3'!S94+'2'!S94+'6'!S94+'5'!S94+'4'!S94+'8'!S94+'7'!S94+'10'!S94+'9'!S94+'11'!S94+'12'!S94+'13'!S94+'15'!S94+'14'!S94+'16'!S94+'17'!S94+'19'!S94+'20'!S94+'22'!S94+'18'!S94+'21'!S94+'25'!S94+'23'!S94+'26'!S94+'24'!S94+'28'!S94+'27'!S94+'29'!S94+'31'!S94+'30'!S94</f>
        <v>0</v>
      </c>
      <c r="T94" s="43">
        <f>+'1'!T94+'3'!T94+'2'!T94+'6'!T94+'5'!T94+'4'!T94+'8'!T94+'7'!T94+'10'!T94+'9'!T94+'11'!T94+'12'!T94+'13'!T94+'15'!T94+'14'!T94+'16'!T94+'17'!T94+'19'!T94+'20'!T94+'22'!T94+'18'!T94+'21'!T94+'25'!T94+'23'!T94+'26'!T94+'24'!T94+'28'!T94+'27'!T94+'29'!T94+'31'!T94+'30'!T94</f>
        <v>0</v>
      </c>
      <c r="U94" s="52">
        <f>+'1'!U94+'3'!U94+'2'!U94+'6'!U94+'5'!U94+'4'!U94+'8'!U94+'7'!U94+'10'!U94+'9'!U94+'11'!U94+'12'!U94+'13'!U94+'15'!U94+'14'!U94+'16'!U94+'17'!U94+'19'!U94+'20'!U94+'22'!U94+'18'!U94+'21'!U94+'25'!U94+'23'!U94+'26'!U94+'24'!U94+'28'!U94+'27'!U94+'29'!U94+'31'!U94+'30'!U94</f>
        <v>0</v>
      </c>
      <c r="V94" s="52">
        <f>+'1'!V94+'3'!V94+'2'!V94+'6'!V94+'5'!V94+'4'!V94+'8'!V94+'7'!V94+'10'!V94+'9'!V94+'11'!V94+'12'!V94+'13'!V94+'15'!V94+'14'!V94+'16'!V94+'17'!V94+'19'!V94+'20'!V94+'22'!V94+'18'!V94+'21'!V94+'25'!V94+'23'!V94+'26'!V94+'24'!V94+'28'!V94+'27'!V94+'29'!V94+'31'!V94+'30'!V94</f>
        <v>0</v>
      </c>
      <c r="W94" s="52">
        <f>+'1'!W94+'3'!W94+'2'!W94+'6'!W94+'5'!W94+'4'!W94+'8'!W94+'7'!W94+'10'!W94+'9'!W94+'11'!W94+'12'!W94+'13'!W94+'15'!W94+'14'!W94+'16'!W94+'17'!W94+'19'!W94+'20'!W94+'22'!W94+'18'!W94+'21'!W94+'25'!W94+'23'!W94+'26'!W94+'24'!W94+'28'!W94+'27'!W94+'29'!W94+'31'!W94+'30'!W94</f>
        <v>0</v>
      </c>
      <c r="X94" s="52">
        <f>+'1'!X94+'3'!X94+'2'!X94+'6'!X94+'5'!X94+'4'!X94+'8'!X94+'7'!X94+'10'!X94+'9'!X94+'11'!X94+'12'!X94+'13'!X94+'15'!X94+'14'!X94+'16'!X94+'17'!X94+'19'!X94+'20'!X94+'22'!X94+'18'!X94+'21'!X94+'25'!X94+'23'!X94+'26'!X94+'24'!X94+'28'!X94+'27'!X94+'29'!X94+'31'!X94+'30'!X94</f>
        <v>0</v>
      </c>
      <c r="Y94" s="52">
        <f>+'1'!Y94+'3'!Y94+'2'!Y94+'6'!Y94+'5'!Y94+'4'!Y94+'8'!Y94+'7'!Y94+'10'!Y94+'9'!Y94+'11'!Y94+'12'!Y94+'13'!Y94+'15'!Y94+'14'!Y94+'16'!Y94+'17'!Y94+'19'!Y94+'20'!Y94+'22'!Y94+'18'!Y94+'21'!Y94+'25'!Y94+'23'!Y94+'26'!Y94+'24'!Y94+'28'!Y94+'27'!Y94+'29'!Y94+'31'!Y94+'30'!Y94</f>
        <v>0</v>
      </c>
      <c r="Z94" s="52">
        <f>+'1'!Z94+'3'!Z94+'2'!Z94+'6'!Z94+'5'!Z94+'4'!Z94+'8'!Z94+'7'!Z94+'10'!Z94+'9'!Z94+'11'!Z94+'12'!Z94+'13'!Z94+'15'!Z94+'14'!Z94+'16'!Z94+'17'!Z94+'19'!Z94+'20'!Z94+'22'!Z94+'18'!Z94+'21'!Z94+'25'!Z94+'23'!Z94+'26'!Z94+'24'!Z94+'28'!Z94+'27'!Z94+'29'!Z94+'31'!Z94+'30'!Z94</f>
        <v>0</v>
      </c>
      <c r="AA94" s="52">
        <f>+'1'!AA94+'3'!AA94+'2'!AA94+'6'!AA94+'5'!AA94+'4'!AA94+'8'!AA94+'7'!AA94+'10'!AA94+'9'!AA94+'11'!AA94+'12'!AA94+'13'!AA94+'15'!AA94+'14'!AA94+'16'!AA94+'17'!AA94+'19'!AA94+'20'!AA94+'22'!AA94+'18'!AA94+'21'!AA94+'25'!AA94+'23'!AA94+'26'!AA94+'24'!AA94+'28'!AA94+'27'!AA94+'29'!AA94+'31'!AA94+'30'!AA94</f>
        <v>0</v>
      </c>
      <c r="AB94" s="52">
        <f>+'1'!AB94+'3'!AB94+'2'!AB94+'6'!AB94+'5'!AB94+'4'!AB94+'8'!AB94+'7'!AB94+'10'!AB94+'9'!AB94+'11'!AB94+'12'!AB94+'13'!AB94+'15'!AB94+'14'!AB94+'16'!AB94+'17'!AB94+'19'!AB94+'20'!AB94+'22'!AB94+'18'!AB94+'21'!AB94+'25'!AB94+'23'!AB94+'26'!AB94+'24'!AB94+'28'!AB94+'27'!AB94+'29'!AB94+'31'!AB94+'30'!AB94</f>
        <v>0</v>
      </c>
      <c r="AC94" s="52">
        <f>+'1'!AC94+'3'!AC94+'2'!AC94+'6'!AC94+'5'!AC94+'4'!AC94+'8'!AC94+'7'!AC94+'10'!AC94+'9'!AC94+'11'!AC94+'12'!AC94+'13'!AC94+'15'!AC94+'14'!AC94+'16'!AC94+'17'!AC94+'19'!AC94+'20'!AC94+'22'!AC94+'18'!AC94+'21'!AC94+'25'!AC94+'23'!AC94+'26'!AC94+'24'!AC94+'28'!AC94+'27'!AC94+'29'!AC94+'31'!AC94+'30'!AC94</f>
        <v>0</v>
      </c>
      <c r="AD94" s="52">
        <f>+'1'!AD94+'3'!AD94+'2'!AD94+'6'!AD94+'5'!AD94+'4'!AD94+'8'!AD94+'7'!AD94+'10'!AD94+'9'!AD94+'11'!AD94+'12'!AD94+'13'!AD94+'15'!AD94+'14'!AD94+'16'!AD94+'17'!AD94+'19'!AD94+'20'!AD94+'22'!AD94+'18'!AD94+'21'!AD94+'25'!AD94+'23'!AD94+'26'!AD94+'24'!AD94+'28'!AD94+'27'!AD94+'29'!AD94+'31'!AD94+'30'!AD94</f>
        <v>0</v>
      </c>
      <c r="AE94" s="52">
        <f>+'1'!AE94+'3'!AE94+'2'!AE94+'6'!AE94+'5'!AE94+'4'!AE94+'8'!AE94+'7'!AE94+'10'!AE94+'9'!AE94+'11'!AE94+'12'!AE94+'13'!AE94+'15'!AE94+'14'!AE94+'16'!AE94+'17'!AE94+'19'!AE94+'20'!AE94+'22'!AE94+'18'!AE94+'21'!AE94+'25'!AE94+'23'!AE94+'26'!AE94+'24'!AE94+'28'!AE94+'27'!AE94+'29'!AE94+'31'!AE94+'30'!AE94</f>
        <v>0</v>
      </c>
      <c r="AF94" s="52">
        <f>+'1'!AF94+'3'!AF94+'2'!AF94+'6'!AF94+'5'!AF94+'4'!AF94+'8'!AF94+'7'!AF94+'10'!AF94+'9'!AF94+'11'!AF94+'12'!AF94+'13'!AF94+'15'!AF94+'14'!AF94+'16'!AF94+'17'!AF94+'19'!AF94+'20'!AF94+'22'!AF94+'18'!AF94+'21'!AF94+'25'!AF94+'23'!AF94+'26'!AF94+'24'!AF94+'28'!AF94+'27'!AF94+'29'!AF94+'31'!AF94+'30'!AF94</f>
        <v>0</v>
      </c>
      <c r="AG94" s="52">
        <f>+'1'!AG94+'3'!AG94+'2'!AG94+'6'!AG94+'5'!AG94+'4'!AG94+'8'!AG94+'7'!AG94+'10'!AG94+'9'!AG94+'11'!AG94+'12'!AG94+'13'!AG94+'15'!AG94+'14'!AG94+'16'!AG94+'17'!AG94+'19'!AG94+'20'!AG94+'22'!AG94+'18'!AG94+'21'!AG94+'25'!AG94+'23'!AG94+'26'!AG94+'24'!AG94+'28'!AG94+'27'!AG94+'29'!AG94+'31'!AG94+'30'!AG94</f>
        <v>0</v>
      </c>
      <c r="AH94" s="52">
        <f>+'1'!AH94+'3'!AH94+'2'!AH94+'6'!AH94+'5'!AH94+'4'!AH94+'8'!AH94+'7'!AH94+'10'!AH94+'9'!AH94+'11'!AH94+'12'!AH94+'13'!AH94+'15'!AH94+'14'!AH94+'16'!AH94+'17'!AH94+'19'!AH94+'20'!AH94+'22'!AH94+'18'!AH94+'21'!AH94+'25'!AH94+'23'!AH94+'26'!AH94+'24'!AH94+'28'!AH94+'27'!AH94+'29'!AH94+'31'!AH94+'30'!AH94</f>
        <v>0</v>
      </c>
      <c r="AI94" s="55">
        <f>+'1'!AI94+'3'!AI94+'2'!AI94+'6'!AI94+'5'!AI94+'4'!AI94+'8'!AI94+'7'!AI94+'10'!AI94+'9'!AI94+'11'!AI94+'12'!AI94+'13'!AI94+'15'!AI94+'14'!AI94+'16'!AI94+'17'!AI94+'19'!AI94+'20'!AI94+'22'!AI94+'18'!AI94+'21'!AI94+'25'!AI94+'23'!AI94+'26'!AI94+'24'!AI94+'28'!AI94+'27'!AI94+'29'!AI94+'31'!AI94+'30'!AI94</f>
        <v>0</v>
      </c>
      <c r="AJ94" s="58">
        <f>+'1'!AJ94+'3'!AJ94+'2'!AJ94+'6'!AJ94+'5'!AJ94+'4'!AJ94+'8'!AJ94+'7'!AJ94+'10'!AJ94+'9'!AJ94+'11'!AJ94+'12'!AJ94+'13'!AJ94+'15'!AJ94+'14'!AJ94+'16'!AJ94+'17'!AJ94+'19'!AJ94+'20'!AJ94+'22'!AJ94+'18'!AJ94+'21'!AJ94+'25'!AJ94+'23'!AJ94+'26'!AJ94+'24'!AJ94+'28'!AJ94+'27'!AJ94+'29'!AJ94+'31'!AJ94+'30'!AJ94</f>
        <v>0</v>
      </c>
      <c r="AK94" s="55">
        <f>+'1'!AK94+'3'!AK94+'2'!AK94+'6'!AK94+'5'!AK94+'4'!AK94+'8'!AK94+'7'!AK94+'10'!AK94+'9'!AK94+'11'!AK94+'12'!AK94+'13'!AK94+'15'!AK94+'14'!AK94+'16'!AK94+'17'!AK94+'19'!AK94+'20'!AK94+'22'!AK94+'18'!AK94+'21'!AK94+'25'!AK94+'23'!AK94+'26'!AK94+'24'!AK94+'28'!AK94+'27'!AK94+'29'!AK94+'31'!AK94+'30'!AK94</f>
        <v>0</v>
      </c>
      <c r="AL94" s="66">
        <f t="shared" si="8"/>
        <v>0</v>
      </c>
      <c r="AM94" s="28" t="str">
        <f t="shared" si="9"/>
        <v>OK</v>
      </c>
    </row>
    <row r="95" spans="1:39" ht="17.25" hidden="1" thickBot="1">
      <c r="A95" s="87"/>
      <c r="B95" s="93"/>
      <c r="C95" s="130"/>
      <c r="D95" s="88"/>
      <c r="E95" s="88"/>
      <c r="F95" s="88"/>
      <c r="G95" s="89"/>
      <c r="H95" s="124">
        <f>+'1'!H95+'3'!H95+'2'!H95+'6'!H95+'5'!H95+'4'!H95+'8'!H95+'7'!H95+'10'!H95+'9'!H95+'11'!H95+'12'!H95+'13'!H95+'15'!H95+'14'!H95+'16'!H95+'17'!H95+'19'!H95+'20'!H95+'22'!H95+'18'!H95+'21'!H95+'25'!H95+'23'!H95+'26'!H95+'24'!H95+'28'!H95+'27'!H95+'29'!H95+'31'!H95+'30'!H95</f>
        <v>0</v>
      </c>
      <c r="I95" s="125">
        <f>+'1'!I95+'3'!I95+'2'!I95+'6'!I95+'5'!I95+'4'!I95+'8'!I95+'7'!I95+'10'!I95+'9'!I95+'11'!I95+'12'!I95+'13'!I95+'15'!I95+'14'!I95+'16'!I95+'17'!I95+'19'!I95+'20'!I95+'22'!I95+'18'!I95+'21'!I95+'25'!I95+'23'!I95+'26'!I95+'24'!I95+'28'!I95+'27'!I95+'29'!I95+'31'!I95+'30'!I95</f>
        <v>0</v>
      </c>
      <c r="J95" s="125"/>
      <c r="K95" s="91"/>
      <c r="L95" s="125">
        <f>+'1'!L95+'3'!L95+'2'!L95+'6'!L95+'5'!L95+'4'!L95+'8'!L95+'7'!L95+'10'!L95+'9'!L95+'11'!L95+'12'!L95+'13'!L95+'15'!L95+'14'!L95+'16'!L95+'17'!L95+'19'!L95+'20'!L95+'22'!L95+'18'!L95+'21'!L95+'25'!L95+'23'!L95+'26'!L95+'24'!L95+'28'!L95+'27'!L95+'29'!L95+'31'!L95+'30'!L95</f>
        <v>0</v>
      </c>
      <c r="M95" s="125">
        <f>+'1'!M95+'3'!M95+'2'!M95+'6'!M95+'5'!M95+'4'!M95+'8'!M95+'7'!M95+'10'!M95+'9'!M95+'11'!M95+'12'!M95+'13'!M95+'15'!M95+'14'!M95+'16'!M95+'17'!M95+'19'!M95+'20'!M95+'22'!M95+'18'!M95+'21'!M95+'25'!M95+'23'!M95+'26'!M95+'24'!M95+'28'!M95+'27'!M95+'29'!M95+'31'!M95+'30'!M95</f>
        <v>0</v>
      </c>
      <c r="N95" s="125">
        <f>+'1'!N95+'3'!N95+'2'!N95+'6'!N95+'5'!N95+'4'!N95+'8'!N95+'7'!N95+'10'!N95+'9'!N95+'11'!N95+'12'!N95+'13'!N95+'15'!N95+'14'!N95+'16'!N95+'17'!N95+'19'!N95+'20'!N95+'22'!N95+'18'!N95+'21'!N95+'25'!N95+'23'!N95+'26'!N95+'24'!N95+'28'!N95+'27'!N95+'29'!N95+'31'!N95+'30'!N95</f>
        <v>0</v>
      </c>
      <c r="O95" s="125">
        <f>+'1'!O95+'3'!O95+'2'!O95+'6'!O95+'5'!O95+'4'!O95+'8'!O95+'7'!O95+'10'!O95+'9'!O95+'11'!O95+'12'!O95+'13'!O95+'15'!O95+'14'!O95+'16'!O95+'17'!O95+'19'!O95+'20'!O95+'22'!O95+'18'!O95+'21'!O95+'25'!O95+'23'!O95+'26'!O95+'24'!O95+'28'!O95+'27'!O95+'29'!O95+'31'!O95+'30'!O95</f>
        <v>0</v>
      </c>
      <c r="P95" s="125">
        <f>+'1'!P95+'3'!P95+'2'!P95+'6'!P95+'5'!P95+'4'!P95+'8'!P95+'7'!P95+'10'!P95+'9'!P95+'11'!P95+'12'!P95+'13'!P95+'15'!P95+'14'!P95+'16'!P95+'17'!P95+'19'!P95+'20'!P95+'22'!P95+'18'!P95+'21'!P95+'25'!P95+'23'!P95+'26'!P95+'24'!P95+'28'!P95+'27'!P95+'29'!P95+'31'!P95+'30'!P95</f>
        <v>0</v>
      </c>
      <c r="Q95" s="125">
        <f>+'1'!Q95+'3'!Q95+'2'!Q95+'6'!Q95+'5'!Q95+'4'!Q95+'8'!Q95+'7'!Q95+'10'!Q95+'9'!Q95+'11'!Q95+'12'!Q95+'13'!Q95+'15'!Q95+'14'!Q95+'16'!Q95+'17'!Q95+'19'!Q95+'20'!Q95+'22'!Q95+'18'!Q95+'21'!Q95+'25'!Q95+'23'!Q95+'26'!Q95+'24'!Q95+'28'!Q95+'27'!Q95+'29'!Q95+'31'!Q95+'30'!Q95</f>
        <v>0</v>
      </c>
      <c r="R95" s="125">
        <f>+'1'!R95+'3'!R95+'2'!R95+'6'!R95+'5'!R95+'4'!R95+'8'!R95+'7'!R95+'10'!R95+'9'!R95+'11'!R95+'12'!R95+'13'!R95+'15'!R95+'14'!R95+'16'!R95+'17'!R95+'19'!R95+'20'!R95+'22'!R95+'18'!R95+'21'!R95+'25'!R95+'23'!R95+'26'!R95+'24'!R95+'28'!R95+'27'!R95+'29'!R95+'31'!R95+'30'!R95</f>
        <v>0</v>
      </c>
      <c r="S95" s="125">
        <f>+'1'!S95+'3'!S95+'2'!S95+'6'!S95+'5'!S95+'4'!S95+'8'!S95+'7'!S95+'10'!S95+'9'!S95+'11'!S95+'12'!S95+'13'!S95+'15'!S95+'14'!S95+'16'!S95+'17'!S95+'19'!S95+'20'!S95+'22'!S95+'18'!S95+'21'!S95+'25'!S95+'23'!S95+'26'!S95+'24'!S95+'28'!S95+'27'!S95+'29'!S95+'31'!S95+'30'!S95</f>
        <v>0</v>
      </c>
      <c r="T95" s="126">
        <f>+'1'!T95+'3'!T95+'2'!T95+'6'!T95+'5'!T95+'4'!T95+'8'!T95+'7'!T95+'10'!T95+'9'!T95+'11'!T95+'12'!T95+'13'!T95+'15'!T95+'14'!T95+'16'!T95+'17'!T95+'19'!T95+'20'!T95+'22'!T95+'18'!T95+'21'!T95+'25'!T95+'23'!T95+'26'!T95+'24'!T95+'28'!T95+'27'!T95+'29'!T95+'31'!T95+'30'!T95</f>
        <v>0</v>
      </c>
      <c r="U95" s="127">
        <f>+'1'!U95+'3'!U95+'2'!U95+'6'!U95+'5'!U95+'4'!U95+'8'!U95+'7'!U95+'10'!U95+'9'!U95+'11'!U95+'12'!U95+'13'!U95+'15'!U95+'14'!U95+'16'!U95+'17'!U95+'19'!U95+'20'!U95+'22'!U95+'18'!U95+'21'!U95+'25'!U95+'23'!U95+'26'!U95+'24'!U95+'28'!U95+'27'!U95+'29'!U95+'31'!U95+'30'!U95</f>
        <v>0</v>
      </c>
      <c r="V95" s="127">
        <f>+'1'!V95+'3'!V95+'2'!V95+'6'!V95+'5'!V95+'4'!V95+'8'!V95+'7'!V95+'10'!V95+'9'!V95+'11'!V95+'12'!V95+'13'!V95+'15'!V95+'14'!V95+'16'!V95+'17'!V95+'19'!V95+'20'!V95+'22'!V95+'18'!V95+'21'!V95+'25'!V95+'23'!V95+'26'!V95+'24'!V95+'28'!V95+'27'!V95+'29'!V95+'31'!V95+'30'!V95</f>
        <v>0</v>
      </c>
      <c r="W95" s="127">
        <f>+'1'!W95+'3'!W95+'2'!W95+'6'!W95+'5'!W95+'4'!W95+'8'!W95+'7'!W95+'10'!W95+'9'!W95+'11'!W95+'12'!W95+'13'!W95+'15'!W95+'14'!W95+'16'!W95+'17'!W95+'19'!W95+'20'!W95+'22'!W95+'18'!W95+'21'!W95+'25'!W95+'23'!W95+'26'!W95+'24'!W95+'28'!W95+'27'!W95+'29'!W95+'31'!W95+'30'!W95</f>
        <v>0</v>
      </c>
      <c r="X95" s="127">
        <f>+'1'!X95+'3'!X95+'2'!X95+'6'!X95+'5'!X95+'4'!X95+'8'!X95+'7'!X95+'10'!X95+'9'!X95+'11'!X95+'12'!X95+'13'!X95+'15'!X95+'14'!X95+'16'!X95+'17'!X95+'19'!X95+'20'!X95+'22'!X95+'18'!X95+'21'!X95+'25'!X95+'23'!X95+'26'!X95+'24'!X95+'28'!X95+'27'!X95+'29'!X95+'31'!X95+'30'!X95</f>
        <v>0</v>
      </c>
      <c r="Y95" s="127">
        <f>+'1'!Y95+'3'!Y95+'2'!Y95+'6'!Y95+'5'!Y95+'4'!Y95+'8'!Y95+'7'!Y95+'10'!Y95+'9'!Y95+'11'!Y95+'12'!Y95+'13'!Y95+'15'!Y95+'14'!Y95+'16'!Y95+'17'!Y95+'19'!Y95+'20'!Y95+'22'!Y95+'18'!Y95+'21'!Y95+'25'!Y95+'23'!Y95+'26'!Y95+'24'!Y95+'28'!Y95+'27'!Y95+'29'!Y95+'31'!Y95+'30'!Y95</f>
        <v>0</v>
      </c>
      <c r="Z95" s="127">
        <f>+'1'!Z95+'3'!Z95+'2'!Z95+'6'!Z95+'5'!Z95+'4'!Z95+'8'!Z95+'7'!Z95+'10'!Z95+'9'!Z95+'11'!Z95+'12'!Z95+'13'!Z95+'15'!Z95+'14'!Z95+'16'!Z95+'17'!Z95+'19'!Z95+'20'!Z95+'22'!Z95+'18'!Z95+'21'!Z95+'25'!Z95+'23'!Z95+'26'!Z95+'24'!Z95+'28'!Z95+'27'!Z95+'29'!Z95+'31'!Z95+'30'!Z95</f>
        <v>0</v>
      </c>
      <c r="AA95" s="127">
        <f>+'1'!AA95+'3'!AA95+'2'!AA95+'6'!AA95+'5'!AA95+'4'!AA95+'8'!AA95+'7'!AA95+'10'!AA95+'9'!AA95+'11'!AA95+'12'!AA95+'13'!AA95+'15'!AA95+'14'!AA95+'16'!AA95+'17'!AA95+'19'!AA95+'20'!AA95+'22'!AA95+'18'!AA95+'21'!AA95+'25'!AA95+'23'!AA95+'26'!AA95+'24'!AA95+'28'!AA95+'27'!AA95+'29'!AA95+'31'!AA95+'30'!AA95</f>
        <v>0</v>
      </c>
      <c r="AB95" s="127">
        <f>+'1'!AB95+'3'!AB95+'2'!AB95+'6'!AB95+'5'!AB95+'4'!AB95+'8'!AB95+'7'!AB95+'10'!AB95+'9'!AB95+'11'!AB95+'12'!AB95+'13'!AB95+'15'!AB95+'14'!AB95+'16'!AB95+'17'!AB95+'19'!AB95+'20'!AB95+'22'!AB95+'18'!AB95+'21'!AB95+'25'!AB95+'23'!AB95+'26'!AB95+'24'!AB95+'28'!AB95+'27'!AB95+'29'!AB95+'31'!AB95+'30'!AB95</f>
        <v>0</v>
      </c>
      <c r="AC95" s="127">
        <f>+'1'!AC95+'3'!AC95+'2'!AC95+'6'!AC95+'5'!AC95+'4'!AC95+'8'!AC95+'7'!AC95+'10'!AC95+'9'!AC95+'11'!AC95+'12'!AC95+'13'!AC95+'15'!AC95+'14'!AC95+'16'!AC95+'17'!AC95+'19'!AC95+'20'!AC95+'22'!AC95+'18'!AC95+'21'!AC95+'25'!AC95+'23'!AC95+'26'!AC95+'24'!AC95+'28'!AC95+'27'!AC95+'29'!AC95+'31'!AC95+'30'!AC95</f>
        <v>0</v>
      </c>
      <c r="AD95" s="127">
        <f>+'1'!AD95+'3'!AD95+'2'!AD95+'6'!AD95+'5'!AD95+'4'!AD95+'8'!AD95+'7'!AD95+'10'!AD95+'9'!AD95+'11'!AD95+'12'!AD95+'13'!AD95+'15'!AD95+'14'!AD95+'16'!AD95+'17'!AD95+'19'!AD95+'20'!AD95+'22'!AD95+'18'!AD95+'21'!AD95+'25'!AD95+'23'!AD95+'26'!AD95+'24'!AD95+'28'!AD95+'27'!AD95+'29'!AD95+'31'!AD95+'30'!AD95</f>
        <v>0</v>
      </c>
      <c r="AE95" s="127">
        <f>+'1'!AE95+'3'!AE95+'2'!AE95+'6'!AE95+'5'!AE95+'4'!AE95+'8'!AE95+'7'!AE95+'10'!AE95+'9'!AE95+'11'!AE95+'12'!AE95+'13'!AE95+'15'!AE95+'14'!AE95+'16'!AE95+'17'!AE95+'19'!AE95+'20'!AE95+'22'!AE95+'18'!AE95+'21'!AE95+'25'!AE95+'23'!AE95+'26'!AE95+'24'!AE95+'28'!AE95+'27'!AE95+'29'!AE95+'31'!AE95+'30'!AE95</f>
        <v>0</v>
      </c>
      <c r="AF95" s="127">
        <f>+'1'!AF95+'3'!AF95+'2'!AF95+'6'!AF95+'5'!AF95+'4'!AF95+'8'!AF95+'7'!AF95+'10'!AF95+'9'!AF95+'11'!AF95+'12'!AF95+'13'!AF95+'15'!AF95+'14'!AF95+'16'!AF95+'17'!AF95+'19'!AF95+'20'!AF95+'22'!AF95+'18'!AF95+'21'!AF95+'25'!AF95+'23'!AF95+'26'!AF95+'24'!AF95+'28'!AF95+'27'!AF95+'29'!AF95+'31'!AF95+'30'!AF95</f>
        <v>0</v>
      </c>
      <c r="AG95" s="127">
        <f>+'1'!AG95+'3'!AG95+'2'!AG95+'6'!AG95+'5'!AG95+'4'!AG95+'8'!AG95+'7'!AG95+'10'!AG95+'9'!AG95+'11'!AG95+'12'!AG95+'13'!AG95+'15'!AG95+'14'!AG95+'16'!AG95+'17'!AG95+'19'!AG95+'20'!AG95+'22'!AG95+'18'!AG95+'21'!AG95+'25'!AG95+'23'!AG95+'26'!AG95+'24'!AG95+'28'!AG95+'27'!AG95+'29'!AG95+'31'!AG95+'30'!AG95</f>
        <v>0</v>
      </c>
      <c r="AH95" s="127">
        <f>+'1'!AH95+'3'!AH95+'2'!AH95+'6'!AH95+'5'!AH95+'4'!AH95+'8'!AH95+'7'!AH95+'10'!AH95+'9'!AH95+'11'!AH95+'12'!AH95+'13'!AH95+'15'!AH95+'14'!AH95+'16'!AH95+'17'!AH95+'19'!AH95+'20'!AH95+'22'!AH95+'18'!AH95+'21'!AH95+'25'!AH95+'23'!AH95+'26'!AH95+'24'!AH95+'28'!AH95+'27'!AH95+'29'!AH95+'31'!AH95+'30'!AH95</f>
        <v>0</v>
      </c>
      <c r="AI95" s="128">
        <f>+'1'!AI95+'3'!AI95+'2'!AI95+'6'!AI95+'5'!AI95+'4'!AI95+'8'!AI95+'7'!AI95+'10'!AI95+'9'!AI95+'11'!AI95+'12'!AI95+'13'!AI95+'15'!AI95+'14'!AI95+'16'!AI95+'17'!AI95+'19'!AI95+'20'!AI95+'22'!AI95+'18'!AI95+'21'!AI95+'25'!AI95+'23'!AI95+'26'!AI95+'24'!AI95+'28'!AI95+'27'!AI95+'29'!AI95+'31'!AI95+'30'!AI95</f>
        <v>0</v>
      </c>
      <c r="AJ95" s="129">
        <f>+'1'!AJ95+'3'!AJ95+'2'!AJ95+'6'!AJ95+'5'!AJ95+'4'!AJ95+'8'!AJ95+'7'!AJ95+'10'!AJ95+'9'!AJ95+'11'!AJ95+'12'!AJ95+'13'!AJ95+'15'!AJ95+'14'!AJ95+'16'!AJ95+'17'!AJ95+'19'!AJ95+'20'!AJ95+'22'!AJ95+'18'!AJ95+'21'!AJ95+'25'!AJ95+'23'!AJ95+'26'!AJ95+'24'!AJ95+'28'!AJ95+'27'!AJ95+'29'!AJ95+'31'!AJ95+'30'!AJ95</f>
        <v>0</v>
      </c>
      <c r="AK95" s="128">
        <f>+'1'!AK95+'3'!AK95+'2'!AK95+'6'!AK95+'5'!AK95+'4'!AK95+'8'!AK95+'7'!AK95+'10'!AK95+'9'!AK95+'11'!AK95+'12'!AK95+'13'!AK95+'15'!AK95+'14'!AK95+'16'!AK95+'17'!AK95+'19'!AK95+'20'!AK95+'22'!AK95+'18'!AK95+'21'!AK95+'25'!AK95+'23'!AK95+'26'!AK95+'24'!AK95+'28'!AK95+'27'!AK95+'29'!AK95+'31'!AK95+'30'!AK95</f>
        <v>0</v>
      </c>
      <c r="AL95" s="92">
        <f t="shared" si="8"/>
        <v>0</v>
      </c>
      <c r="AM95" s="122" t="str">
        <f t="shared" si="9"/>
        <v>OK</v>
      </c>
    </row>
    <row r="96" spans="1:39" ht="17.25" hidden="1" thickBot="1">
      <c r="A96" s="97"/>
      <c r="B96" s="98"/>
      <c r="C96" s="131"/>
      <c r="D96" s="83"/>
      <c r="E96" s="83"/>
      <c r="F96" s="83"/>
      <c r="G96" s="84"/>
      <c r="H96" s="26">
        <f>+'1'!H96+'3'!H96+'2'!H96+'6'!H96+'5'!H96+'4'!H96+'8'!H96+'7'!H96+'10'!H96+'9'!H96+'11'!H96+'12'!H96+'13'!H96+'15'!H96+'14'!H96+'16'!H96+'17'!H96+'19'!H96+'20'!H96+'22'!H96+'18'!H96+'21'!H96+'25'!H96+'23'!H96+'26'!H96+'24'!H96+'28'!H96+'27'!H96+'29'!H96+'31'!H96+'30'!H96</f>
        <v>0</v>
      </c>
      <c r="I96" s="27">
        <f>+'1'!I96+'3'!I96+'2'!I96+'6'!I96+'5'!I96+'4'!I96+'8'!I96+'7'!I96+'10'!I96+'9'!I96+'11'!I96+'12'!I96+'13'!I96+'15'!I96+'14'!I96+'16'!I96+'17'!I96+'19'!I96+'20'!I96+'22'!I96+'18'!I96+'21'!I96+'25'!I96+'23'!I96+'26'!I96+'24'!I96+'28'!I96+'27'!I96+'29'!I96+'31'!I96+'30'!I96</f>
        <v>0</v>
      </c>
      <c r="J96" s="27"/>
      <c r="K96" s="16"/>
      <c r="L96" s="27">
        <f>+'1'!L96+'3'!L96+'2'!L96+'6'!L96+'5'!L96+'4'!L96+'8'!L96+'7'!L96+'10'!L96+'9'!L96+'11'!L96+'12'!L96+'13'!L96+'15'!L96+'14'!L96+'16'!L96+'17'!L96+'19'!L96+'20'!L96+'22'!L96+'18'!L96+'21'!L96+'25'!L96+'23'!L96+'26'!L96+'24'!L96+'28'!L96+'27'!L96+'29'!L96+'31'!L96+'30'!L96</f>
        <v>0</v>
      </c>
      <c r="M96" s="27">
        <f>+'1'!M96+'3'!M96+'2'!M96+'6'!M96+'5'!M96+'4'!M96+'8'!M96+'7'!M96+'10'!M96+'9'!M96+'11'!M96+'12'!M96+'13'!M96+'15'!M96+'14'!M96+'16'!M96+'17'!M96+'19'!M96+'20'!M96+'22'!M96+'18'!M96+'21'!M96+'25'!M96+'23'!M96+'26'!M96+'24'!M96+'28'!M96+'27'!M96+'29'!M96+'31'!M96+'30'!M96</f>
        <v>0</v>
      </c>
      <c r="N96" s="27">
        <f>+'1'!N96+'3'!N96+'2'!N96+'6'!N96+'5'!N96+'4'!N96+'8'!N96+'7'!N96+'10'!N96+'9'!N96+'11'!N96+'12'!N96+'13'!N96+'15'!N96+'14'!N96+'16'!N96+'17'!N96+'19'!N96+'20'!N96+'22'!N96+'18'!N96+'21'!N96+'25'!N96+'23'!N96+'26'!N96+'24'!N96+'28'!N96+'27'!N96+'29'!N96+'31'!N96+'30'!N96</f>
        <v>0</v>
      </c>
      <c r="O96" s="27">
        <f>+'1'!O96+'3'!O96+'2'!O96+'6'!O96+'5'!O96+'4'!O96+'8'!O96+'7'!O96+'10'!O96+'9'!O96+'11'!O96+'12'!O96+'13'!O96+'15'!O96+'14'!O96+'16'!O96+'17'!O96+'19'!O96+'20'!O96+'22'!O96+'18'!O96+'21'!O96+'25'!O96+'23'!O96+'26'!O96+'24'!O96+'28'!O96+'27'!O96+'29'!O96+'31'!O96+'30'!O96</f>
        <v>0</v>
      </c>
      <c r="P96" s="27">
        <f>+'1'!P96+'3'!P96+'2'!P96+'6'!P96+'5'!P96+'4'!P96+'8'!P96+'7'!P96+'10'!P96+'9'!P96+'11'!P96+'12'!P96+'13'!P96+'15'!P96+'14'!P96+'16'!P96+'17'!P96+'19'!P96+'20'!P96+'22'!P96+'18'!P96+'21'!P96+'25'!P96+'23'!P96+'26'!P96+'24'!P96+'28'!P96+'27'!P96+'29'!P96+'31'!P96+'30'!P96</f>
        <v>0</v>
      </c>
      <c r="Q96" s="27">
        <f>+'1'!Q96+'3'!Q96+'2'!Q96+'6'!Q96+'5'!Q96+'4'!Q96+'8'!Q96+'7'!Q96+'10'!Q96+'9'!Q96+'11'!Q96+'12'!Q96+'13'!Q96+'15'!Q96+'14'!Q96+'16'!Q96+'17'!Q96+'19'!Q96+'20'!Q96+'22'!Q96+'18'!Q96+'21'!Q96+'25'!Q96+'23'!Q96+'26'!Q96+'24'!Q96+'28'!Q96+'27'!Q96+'29'!Q96+'31'!Q96+'30'!Q96</f>
        <v>0</v>
      </c>
      <c r="R96" s="27">
        <f>+'1'!R96+'3'!R96+'2'!R96+'6'!R96+'5'!R96+'4'!R96+'8'!R96+'7'!R96+'10'!R96+'9'!R96+'11'!R96+'12'!R96+'13'!R96+'15'!R96+'14'!R96+'16'!R96+'17'!R96+'19'!R96+'20'!R96+'22'!R96+'18'!R96+'21'!R96+'25'!R96+'23'!R96+'26'!R96+'24'!R96+'28'!R96+'27'!R96+'29'!R96+'31'!R96+'30'!R96</f>
        <v>0</v>
      </c>
      <c r="S96" s="27">
        <f>+'1'!S96+'3'!S96+'2'!S96+'6'!S96+'5'!S96+'4'!S96+'8'!S96+'7'!S96+'10'!S96+'9'!S96+'11'!S96+'12'!S96+'13'!S96+'15'!S96+'14'!S96+'16'!S96+'17'!S96+'19'!S96+'20'!S96+'22'!S96+'18'!S96+'21'!S96+'25'!S96+'23'!S96+'26'!S96+'24'!S96+'28'!S96+'27'!S96+'29'!S96+'31'!S96+'30'!S96</f>
        <v>0</v>
      </c>
      <c r="T96" s="43">
        <f>+'1'!T96+'3'!T96+'2'!T96+'6'!T96+'5'!T96+'4'!T96+'8'!T96+'7'!T96+'10'!T96+'9'!T96+'11'!T96+'12'!T96+'13'!T96+'15'!T96+'14'!T96+'16'!T96+'17'!T96+'19'!T96+'20'!T96+'22'!T96+'18'!T96+'21'!T96+'25'!T96+'23'!T96+'26'!T96+'24'!T96+'28'!T96+'27'!T96+'29'!T96+'31'!T96+'30'!T96</f>
        <v>0</v>
      </c>
      <c r="U96" s="52">
        <f>+'1'!U96+'3'!U96+'2'!U96+'6'!U96+'5'!U96+'4'!U96+'8'!U96+'7'!U96+'10'!U96+'9'!U96+'11'!U96+'12'!U96+'13'!U96+'15'!U96+'14'!U96+'16'!U96+'17'!U96+'19'!U96+'20'!U96+'22'!U96+'18'!U96+'21'!U96+'25'!U96+'23'!U96+'26'!U96+'24'!U96+'28'!U96+'27'!U96+'29'!U96+'31'!U96+'30'!U96</f>
        <v>0</v>
      </c>
      <c r="V96" s="52">
        <f>+'1'!V96+'3'!V96+'2'!V96+'6'!V96+'5'!V96+'4'!V96+'8'!V96+'7'!V96+'10'!V96+'9'!V96+'11'!V96+'12'!V96+'13'!V96+'15'!V96+'14'!V96+'16'!V96+'17'!V96+'19'!V96+'20'!V96+'22'!V96+'18'!V96+'21'!V96+'25'!V96+'23'!V96+'26'!V96+'24'!V96+'28'!V96+'27'!V96+'29'!V96+'31'!V96+'30'!V96</f>
        <v>0</v>
      </c>
      <c r="W96" s="52">
        <f>+'1'!W96+'3'!W96+'2'!W96+'6'!W96+'5'!W96+'4'!W96+'8'!W96+'7'!W96+'10'!W96+'9'!W96+'11'!W96+'12'!W96+'13'!W96+'15'!W96+'14'!W96+'16'!W96+'17'!W96+'19'!W96+'20'!W96+'22'!W96+'18'!W96+'21'!W96+'25'!W96+'23'!W96+'26'!W96+'24'!W96+'28'!W96+'27'!W96+'29'!W96+'31'!W96+'30'!W96</f>
        <v>0</v>
      </c>
      <c r="X96" s="52">
        <f>+'1'!X96+'3'!X96+'2'!X96+'6'!X96+'5'!X96+'4'!X96+'8'!X96+'7'!X96+'10'!X96+'9'!X96+'11'!X96+'12'!X96+'13'!X96+'15'!X96+'14'!X96+'16'!X96+'17'!X96+'19'!X96+'20'!X96+'22'!X96+'18'!X96+'21'!X96+'25'!X96+'23'!X96+'26'!X96+'24'!X96+'28'!X96+'27'!X96+'29'!X96+'31'!X96+'30'!X96</f>
        <v>0</v>
      </c>
      <c r="Y96" s="52">
        <f>+'1'!Y96+'3'!Y96+'2'!Y96+'6'!Y96+'5'!Y96+'4'!Y96+'8'!Y96+'7'!Y96+'10'!Y96+'9'!Y96+'11'!Y96+'12'!Y96+'13'!Y96+'15'!Y96+'14'!Y96+'16'!Y96+'17'!Y96+'19'!Y96+'20'!Y96+'22'!Y96+'18'!Y96+'21'!Y96+'25'!Y96+'23'!Y96+'26'!Y96+'24'!Y96+'28'!Y96+'27'!Y96+'29'!Y96+'31'!Y96+'30'!Y96</f>
        <v>0</v>
      </c>
      <c r="Z96" s="52">
        <f>+'1'!Z96+'3'!Z96+'2'!Z96+'6'!Z96+'5'!Z96+'4'!Z96+'8'!Z96+'7'!Z96+'10'!Z96+'9'!Z96+'11'!Z96+'12'!Z96+'13'!Z96+'15'!Z96+'14'!Z96+'16'!Z96+'17'!Z96+'19'!Z96+'20'!Z96+'22'!Z96+'18'!Z96+'21'!Z96+'25'!Z96+'23'!Z96+'26'!Z96+'24'!Z96+'28'!Z96+'27'!Z96+'29'!Z96+'31'!Z96+'30'!Z96</f>
        <v>0</v>
      </c>
      <c r="AA96" s="52">
        <f>+'1'!AA96+'3'!AA96+'2'!AA96+'6'!AA96+'5'!AA96+'4'!AA96+'8'!AA96+'7'!AA96+'10'!AA96+'9'!AA96+'11'!AA96+'12'!AA96+'13'!AA96+'15'!AA96+'14'!AA96+'16'!AA96+'17'!AA96+'19'!AA96+'20'!AA96+'22'!AA96+'18'!AA96+'21'!AA96+'25'!AA96+'23'!AA96+'26'!AA96+'24'!AA96+'28'!AA96+'27'!AA96+'29'!AA96+'31'!AA96+'30'!AA96</f>
        <v>0</v>
      </c>
      <c r="AB96" s="52">
        <f>+'1'!AB96+'3'!AB96+'2'!AB96+'6'!AB96+'5'!AB96+'4'!AB96+'8'!AB96+'7'!AB96+'10'!AB96+'9'!AB96+'11'!AB96+'12'!AB96+'13'!AB96+'15'!AB96+'14'!AB96+'16'!AB96+'17'!AB96+'19'!AB96+'20'!AB96+'22'!AB96+'18'!AB96+'21'!AB96+'25'!AB96+'23'!AB96+'26'!AB96+'24'!AB96+'28'!AB96+'27'!AB96+'29'!AB96+'31'!AB96+'30'!AB96</f>
        <v>0</v>
      </c>
      <c r="AC96" s="52">
        <f>+'1'!AC96+'3'!AC96+'2'!AC96+'6'!AC96+'5'!AC96+'4'!AC96+'8'!AC96+'7'!AC96+'10'!AC96+'9'!AC96+'11'!AC96+'12'!AC96+'13'!AC96+'15'!AC96+'14'!AC96+'16'!AC96+'17'!AC96+'19'!AC96+'20'!AC96+'22'!AC96+'18'!AC96+'21'!AC96+'25'!AC96+'23'!AC96+'26'!AC96+'24'!AC96+'28'!AC96+'27'!AC96+'29'!AC96+'31'!AC96+'30'!AC96</f>
        <v>0</v>
      </c>
      <c r="AD96" s="52">
        <f>+'1'!AD96+'3'!AD96+'2'!AD96+'6'!AD96+'5'!AD96+'4'!AD96+'8'!AD96+'7'!AD96+'10'!AD96+'9'!AD96+'11'!AD96+'12'!AD96+'13'!AD96+'15'!AD96+'14'!AD96+'16'!AD96+'17'!AD96+'19'!AD96+'20'!AD96+'22'!AD96+'18'!AD96+'21'!AD96+'25'!AD96+'23'!AD96+'26'!AD96+'24'!AD96+'28'!AD96+'27'!AD96+'29'!AD96+'31'!AD96+'30'!AD96</f>
        <v>0</v>
      </c>
      <c r="AE96" s="52">
        <f>+'1'!AE96+'3'!AE96+'2'!AE96+'6'!AE96+'5'!AE96+'4'!AE96+'8'!AE96+'7'!AE96+'10'!AE96+'9'!AE96+'11'!AE96+'12'!AE96+'13'!AE96+'15'!AE96+'14'!AE96+'16'!AE96+'17'!AE96+'19'!AE96+'20'!AE96+'22'!AE96+'18'!AE96+'21'!AE96+'25'!AE96+'23'!AE96+'26'!AE96+'24'!AE96+'28'!AE96+'27'!AE96+'29'!AE96+'31'!AE96+'30'!AE96</f>
        <v>0</v>
      </c>
      <c r="AF96" s="52">
        <f>+'1'!AF96+'3'!AF96+'2'!AF96+'6'!AF96+'5'!AF96+'4'!AF96+'8'!AF96+'7'!AF96+'10'!AF96+'9'!AF96+'11'!AF96+'12'!AF96+'13'!AF96+'15'!AF96+'14'!AF96+'16'!AF96+'17'!AF96+'19'!AF96+'20'!AF96+'22'!AF96+'18'!AF96+'21'!AF96+'25'!AF96+'23'!AF96+'26'!AF96+'24'!AF96+'28'!AF96+'27'!AF96+'29'!AF96+'31'!AF96+'30'!AF96</f>
        <v>0</v>
      </c>
      <c r="AG96" s="52">
        <f>+'1'!AG96+'3'!AG96+'2'!AG96+'6'!AG96+'5'!AG96+'4'!AG96+'8'!AG96+'7'!AG96+'10'!AG96+'9'!AG96+'11'!AG96+'12'!AG96+'13'!AG96+'15'!AG96+'14'!AG96+'16'!AG96+'17'!AG96+'19'!AG96+'20'!AG96+'22'!AG96+'18'!AG96+'21'!AG96+'25'!AG96+'23'!AG96+'26'!AG96+'24'!AG96+'28'!AG96+'27'!AG96+'29'!AG96+'31'!AG96+'30'!AG96</f>
        <v>0</v>
      </c>
      <c r="AH96" s="52">
        <f>+'1'!AH96+'3'!AH96+'2'!AH96+'6'!AH96+'5'!AH96+'4'!AH96+'8'!AH96+'7'!AH96+'10'!AH96+'9'!AH96+'11'!AH96+'12'!AH96+'13'!AH96+'15'!AH96+'14'!AH96+'16'!AH96+'17'!AH96+'19'!AH96+'20'!AH96+'22'!AH96+'18'!AH96+'21'!AH96+'25'!AH96+'23'!AH96+'26'!AH96+'24'!AH96+'28'!AH96+'27'!AH96+'29'!AH96+'31'!AH96+'30'!AH96</f>
        <v>0</v>
      </c>
      <c r="AI96" s="55">
        <f>+'1'!AI96+'3'!AI96+'2'!AI96+'6'!AI96+'5'!AI96+'4'!AI96+'8'!AI96+'7'!AI96+'10'!AI96+'9'!AI96+'11'!AI96+'12'!AI96+'13'!AI96+'15'!AI96+'14'!AI96+'16'!AI96+'17'!AI96+'19'!AI96+'20'!AI96+'22'!AI96+'18'!AI96+'21'!AI96+'25'!AI96+'23'!AI96+'26'!AI96+'24'!AI96+'28'!AI96+'27'!AI96+'29'!AI96+'31'!AI96+'30'!AI96</f>
        <v>0</v>
      </c>
      <c r="AJ96" s="58">
        <f>+'1'!AJ96+'3'!AJ96+'2'!AJ96+'6'!AJ96+'5'!AJ96+'4'!AJ96+'8'!AJ96+'7'!AJ96+'10'!AJ96+'9'!AJ96+'11'!AJ96+'12'!AJ96+'13'!AJ96+'15'!AJ96+'14'!AJ96+'16'!AJ96+'17'!AJ96+'19'!AJ96+'20'!AJ96+'22'!AJ96+'18'!AJ96+'21'!AJ96+'25'!AJ96+'23'!AJ96+'26'!AJ96+'24'!AJ96+'28'!AJ96+'27'!AJ96+'29'!AJ96+'31'!AJ96+'30'!AJ96</f>
        <v>0</v>
      </c>
      <c r="AK96" s="55">
        <f>+'1'!AK96+'3'!AK96+'2'!AK96+'6'!AK96+'5'!AK96+'4'!AK96+'8'!AK96+'7'!AK96+'10'!AK96+'9'!AK96+'11'!AK96+'12'!AK96+'13'!AK96+'15'!AK96+'14'!AK96+'16'!AK96+'17'!AK96+'19'!AK96+'20'!AK96+'22'!AK96+'18'!AK96+'21'!AK96+'25'!AK96+'23'!AK96+'26'!AK96+'24'!AK96+'28'!AK96+'27'!AK96+'29'!AK96+'31'!AK96+'30'!AK96</f>
        <v>0</v>
      </c>
      <c r="AL96" s="66">
        <f t="shared" si="8"/>
        <v>0</v>
      </c>
      <c r="AM96" s="28" t="str">
        <f t="shared" si="9"/>
        <v>OK</v>
      </c>
    </row>
    <row r="97" spans="1:39">
      <c r="A97" s="29"/>
      <c r="B97" s="30"/>
      <c r="C97" s="44" t="s">
        <v>10</v>
      </c>
      <c r="D97" s="44"/>
      <c r="E97" s="44"/>
      <c r="F97" s="44"/>
      <c r="G97" s="45">
        <f>SUM(G6:G74)</f>
        <v>0</v>
      </c>
      <c r="H97" s="46">
        <f>SUM(H6:H96)</f>
        <v>655360</v>
      </c>
      <c r="I97" s="46">
        <f>SUM(I6:I96)</f>
        <v>359</v>
      </c>
      <c r="J97" s="46">
        <f>SUM(J6:J96)</f>
        <v>0</v>
      </c>
      <c r="K97" s="9"/>
      <c r="L97" s="45">
        <f>SUM(L6:L96)</f>
        <v>117</v>
      </c>
      <c r="M97" s="45">
        <f t="shared" ref="M97:AK97" si="10">SUM(M6:M96)</f>
        <v>27</v>
      </c>
      <c r="N97" s="45">
        <f t="shared" si="10"/>
        <v>8</v>
      </c>
      <c r="O97" s="45">
        <f t="shared" si="10"/>
        <v>0</v>
      </c>
      <c r="P97" s="45">
        <f t="shared" si="10"/>
        <v>7</v>
      </c>
      <c r="Q97" s="45">
        <f t="shared" si="10"/>
        <v>0</v>
      </c>
      <c r="R97" s="45">
        <f t="shared" si="10"/>
        <v>0</v>
      </c>
      <c r="S97" s="45">
        <f t="shared" si="10"/>
        <v>0</v>
      </c>
      <c r="T97" s="45">
        <f t="shared" si="10"/>
        <v>0</v>
      </c>
      <c r="U97" s="45">
        <f t="shared" si="10"/>
        <v>4</v>
      </c>
      <c r="V97" s="45">
        <f t="shared" si="10"/>
        <v>4</v>
      </c>
      <c r="W97" s="45">
        <f t="shared" si="10"/>
        <v>0</v>
      </c>
      <c r="X97" s="45">
        <f t="shared" si="10"/>
        <v>0</v>
      </c>
      <c r="Y97" s="45">
        <f t="shared" si="10"/>
        <v>32</v>
      </c>
      <c r="Z97" s="45">
        <f t="shared" si="10"/>
        <v>5</v>
      </c>
      <c r="AA97" s="45">
        <f t="shared" si="10"/>
        <v>0</v>
      </c>
      <c r="AB97" s="45">
        <f t="shared" si="10"/>
        <v>3</v>
      </c>
      <c r="AC97" s="45">
        <f t="shared" si="10"/>
        <v>84</v>
      </c>
      <c r="AD97" s="45">
        <f t="shared" si="10"/>
        <v>0</v>
      </c>
      <c r="AE97" s="45">
        <f t="shared" si="10"/>
        <v>0</v>
      </c>
      <c r="AF97" s="45">
        <f t="shared" si="10"/>
        <v>1</v>
      </c>
      <c r="AG97" s="45">
        <f t="shared" si="10"/>
        <v>11</v>
      </c>
      <c r="AH97" s="45">
        <f t="shared" si="10"/>
        <v>0</v>
      </c>
      <c r="AI97" s="45">
        <f t="shared" si="10"/>
        <v>56</v>
      </c>
      <c r="AJ97" s="45">
        <f t="shared" si="10"/>
        <v>0</v>
      </c>
      <c r="AK97" s="45">
        <f t="shared" si="10"/>
        <v>0</v>
      </c>
      <c r="AL97" s="67">
        <f>SUM(AL6:AL96)</f>
        <v>359</v>
      </c>
      <c r="AM97" s="48" t="str">
        <f>IF(AL97=SUM(I97),"OK","NG")</f>
        <v>OK</v>
      </c>
    </row>
  </sheetData>
  <autoFilter ref="A5:AM97" xr:uid="{00000000-0001-0000-1F00-000000000000}">
    <filterColumn colId="7">
      <filters>
        <filter val="1,202"/>
        <filter val="10,044"/>
        <filter val="10,093"/>
        <filter val="11,760"/>
        <filter val="12,606"/>
        <filter val="13,000"/>
        <filter val="14,352"/>
        <filter val="17,664"/>
        <filter val="2,000"/>
        <filter val="20,451"/>
        <filter val="20,596"/>
        <filter val="267,241"/>
        <filter val="3,080"/>
        <filter val="3,240"/>
        <filter val="3,750"/>
        <filter val="3,983"/>
        <filter val="33,480"/>
        <filter val="4,621"/>
        <filter val="4,981"/>
        <filter val="6,030"/>
        <filter val="633"/>
        <filter val="7,033"/>
        <filter val="7,258"/>
        <filter val="7,627"/>
        <filter val="700"/>
        <filter val="8,200"/>
        <filter val="8,374"/>
        <filter val="9,781"/>
        <filter val="9,782"/>
        <filter val="9,960"/>
        <filter val="960"/>
      </filters>
    </filterColumn>
  </autoFilter>
  <mergeCells count="37">
    <mergeCell ref="B1:C1"/>
    <mergeCell ref="F1:G1"/>
    <mergeCell ref="H1:J3"/>
    <mergeCell ref="B2:C2"/>
    <mergeCell ref="AM2:AM3"/>
    <mergeCell ref="B3:C3"/>
    <mergeCell ref="T4:T5"/>
    <mergeCell ref="A4:D4"/>
    <mergeCell ref="E4:G4"/>
    <mergeCell ref="H4:J4"/>
    <mergeCell ref="L4:L5"/>
    <mergeCell ref="M4:M5"/>
    <mergeCell ref="N4:N5"/>
    <mergeCell ref="O4:O5"/>
    <mergeCell ref="P4:P5"/>
    <mergeCell ref="Q4:Q5"/>
    <mergeCell ref="R4:R5"/>
    <mergeCell ref="S4:S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M4:AM5"/>
    <mergeCell ref="AG4:AG5"/>
    <mergeCell ref="AH4:AH5"/>
    <mergeCell ref="AI4:AI5"/>
    <mergeCell ref="AJ4:AJ5"/>
    <mergeCell ref="AK4:AK5"/>
    <mergeCell ref="AL4:AL5"/>
  </mergeCells>
  <phoneticPr fontId="3" type="noConversion"/>
  <conditionalFormatting sqref="A4 AM6:AM97">
    <cfRule type="containsText" dxfId="1" priority="3" operator="containsText" text="NG">
      <formula>NOT(ISERROR(SEARCH("NG",A4)))</formula>
    </cfRule>
    <cfRule type="containsText" dxfId="0" priority="4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32</vt:i4>
      </vt:variant>
    </vt:vector>
  </HeadingPairs>
  <TitlesOfParts>
    <vt:vector size="3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종합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정기호</dc:creator>
  <cp:lastModifiedBy>HeeJi Choi</cp:lastModifiedBy>
  <cp:lastPrinted>2024-08-06T04:59:30Z</cp:lastPrinted>
  <dcterms:created xsi:type="dcterms:W3CDTF">2014-12-22T04:38:41Z</dcterms:created>
  <dcterms:modified xsi:type="dcterms:W3CDTF">2026-07-30T01:19:51Z</dcterms:modified>
</cp:coreProperties>
</file>