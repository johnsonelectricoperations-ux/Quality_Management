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comments21.xml" ContentType="application/vnd.openxmlformats-officedocument.spreadsheetml.comments+xml"/>
  <Override PartName="/xl/threadedComments/threadedComment21.xml" ContentType="application/vnd.ms-excel.threadedcomments+xml"/>
  <Override PartName="/xl/comments22.xml" ContentType="application/vnd.openxmlformats-officedocument.spreadsheetml.comments+xml"/>
  <Override PartName="/xl/threadedComments/threadedComment22.xml" ContentType="application/vnd.ms-excel.threadedcomments+xml"/>
  <Override PartName="/xl/comments23.xml" ContentType="application/vnd.openxmlformats-officedocument.spreadsheetml.comments+xml"/>
  <Override PartName="/xl/threadedComments/threadedComment2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arp130001\품질관리공유\품질관리 문서\01 사무실\00 품질실적\02.공정별 불량실적(Setting &amp; 공정불량)\02.생산 2Part\05.가공(Setting &amp; 공정불량)\01.A8LF 가공 Line\2026\7월\"/>
    </mc:Choice>
  </mc:AlternateContent>
  <xr:revisionPtr revIDLastSave="0" documentId="13_ncr:1_{5406D00C-872A-4B72-ACD8-28A6AAF75178}" xr6:coauthVersionLast="47" xr6:coauthVersionMax="47" xr10:uidLastSave="{00000000-0000-0000-0000-000000000000}"/>
  <bookViews>
    <workbookView xWindow="-23148" yWindow="-108" windowWidth="23256" windowHeight="12456" tabRatio="1000" activeTab="31" xr2:uid="{00000000-000D-0000-FFFF-FFFF00000000}"/>
  </bookViews>
  <sheets>
    <sheet name="1" sheetId="147" r:id="rId1"/>
    <sheet name="2" sheetId="163" r:id="rId2"/>
    <sheet name="3" sheetId="164" r:id="rId3"/>
    <sheet name="4" sheetId="165" r:id="rId4"/>
    <sheet name="5" sheetId="166" r:id="rId5"/>
    <sheet name="6" sheetId="167" r:id="rId6"/>
    <sheet name="7" sheetId="168" r:id="rId7"/>
    <sheet name="8" sheetId="169" r:id="rId8"/>
    <sheet name="9" sheetId="170" r:id="rId9"/>
    <sheet name="10" sheetId="171" r:id="rId10"/>
    <sheet name="11" sheetId="172" r:id="rId11"/>
    <sheet name="12" sheetId="173" r:id="rId12"/>
    <sheet name="13" sheetId="174" r:id="rId13"/>
    <sheet name="14" sheetId="175" r:id="rId14"/>
    <sheet name="15" sheetId="176" r:id="rId15"/>
    <sheet name="16" sheetId="177" r:id="rId16"/>
    <sheet name="17" sheetId="178" r:id="rId17"/>
    <sheet name="18" sheetId="179" r:id="rId18"/>
    <sheet name="19" sheetId="180" r:id="rId19"/>
    <sheet name="20" sheetId="181" r:id="rId20"/>
    <sheet name="21" sheetId="182" r:id="rId21"/>
    <sheet name="22" sheetId="183" r:id="rId22"/>
    <sheet name="23" sheetId="184" r:id="rId23"/>
    <sheet name="24" sheetId="185" r:id="rId24"/>
    <sheet name="25" sheetId="186" r:id="rId25"/>
    <sheet name="26" sheetId="187" r:id="rId26"/>
    <sheet name="27" sheetId="188" r:id="rId27"/>
    <sheet name="28" sheetId="189" r:id="rId28"/>
    <sheet name="29" sheetId="190" r:id="rId29"/>
    <sheet name="30" sheetId="191" r:id="rId30"/>
    <sheet name="31" sheetId="192" r:id="rId31"/>
    <sheet name="종합" sheetId="194" r:id="rId32"/>
  </sheets>
  <definedNames>
    <definedName name="_xlnm._FilterDatabase" localSheetId="0" hidden="1">'1'!$A$5:$U$49</definedName>
    <definedName name="_xlnm._FilterDatabase" localSheetId="9" hidden="1">'10'!$A$5:$U$49</definedName>
    <definedName name="_xlnm._FilterDatabase" localSheetId="10" hidden="1">'11'!$A$5:$U$49</definedName>
    <definedName name="_xlnm._FilterDatabase" localSheetId="11" hidden="1">'12'!$A$5:$U$49</definedName>
    <definedName name="_xlnm._FilterDatabase" localSheetId="12" hidden="1">'13'!$A$5:$U$49</definedName>
    <definedName name="_xlnm._FilterDatabase" localSheetId="13" hidden="1">'14'!$A$5:$U$49</definedName>
    <definedName name="_xlnm._FilterDatabase" localSheetId="14" hidden="1">'15'!$A$5:$U$49</definedName>
    <definedName name="_xlnm._FilterDatabase" localSheetId="15" hidden="1">'16'!$A$5:$U$49</definedName>
    <definedName name="_xlnm._FilterDatabase" localSheetId="16" hidden="1">'17'!$A$5:$U$49</definedName>
    <definedName name="_xlnm._FilterDatabase" localSheetId="17" hidden="1">'18'!$A$5:$U$49</definedName>
    <definedName name="_xlnm._FilterDatabase" localSheetId="18" hidden="1">'19'!$A$5:$U$49</definedName>
    <definedName name="_xlnm._FilterDatabase" localSheetId="1" hidden="1">'2'!$A$5:$U$49</definedName>
    <definedName name="_xlnm._FilterDatabase" localSheetId="19" hidden="1">'20'!$A$5:$U$49</definedName>
    <definedName name="_xlnm._FilterDatabase" localSheetId="20" hidden="1">'21'!$A$5:$U$49</definedName>
    <definedName name="_xlnm._FilterDatabase" localSheetId="21" hidden="1">'22'!$A$5:$U$49</definedName>
    <definedName name="_xlnm._FilterDatabase" localSheetId="22" hidden="1">'23'!$A$5:$U$49</definedName>
    <definedName name="_xlnm._FilterDatabase" localSheetId="23" hidden="1">'24'!$A$5:$U$49</definedName>
    <definedName name="_xlnm._FilterDatabase" localSheetId="24" hidden="1">'25'!$A$5:$U$49</definedName>
    <definedName name="_xlnm._FilterDatabase" localSheetId="25" hidden="1">'26'!$A$5:$U$49</definedName>
    <definedName name="_xlnm._FilterDatabase" localSheetId="26" hidden="1">'27'!$A$5:$U$49</definedName>
    <definedName name="_xlnm._FilterDatabase" localSheetId="27" hidden="1">'28'!$A$5:$U$49</definedName>
    <definedName name="_xlnm._FilterDatabase" localSheetId="28" hidden="1">'29'!$A$5:$U$49</definedName>
    <definedName name="_xlnm._FilterDatabase" localSheetId="2" hidden="1">'3'!$A$5:$U$49</definedName>
    <definedName name="_xlnm._FilterDatabase" localSheetId="29" hidden="1">'30'!$A$5:$U$49</definedName>
    <definedName name="_xlnm._FilterDatabase" localSheetId="30" hidden="1">'31'!$A$5:$U$49</definedName>
    <definedName name="_xlnm._FilterDatabase" localSheetId="3" hidden="1">'4'!$A$5:$U$49</definedName>
    <definedName name="_xlnm._FilterDatabase" localSheetId="4" hidden="1">'5'!$A$5:$U$49</definedName>
    <definedName name="_xlnm._FilterDatabase" localSheetId="5" hidden="1">'6'!$A$5:$U$49</definedName>
    <definedName name="_xlnm._FilterDatabase" localSheetId="6" hidden="1">'7'!$A$5:$U$49</definedName>
    <definedName name="_xlnm._FilterDatabase" localSheetId="7" hidden="1">'8'!$A$5:$U$49</definedName>
    <definedName name="_xlnm._FilterDatabase" localSheetId="8" hidden="1">'9'!$A$5:$U$49</definedName>
    <definedName name="_xlnm._FilterDatabase" localSheetId="31" hidden="1">종합!$A$5:$U$49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90" l="1"/>
  <c r="H6" i="185"/>
  <c r="H6" i="184"/>
  <c r="H6" i="176"/>
  <c r="H6" i="174"/>
  <c r="H6" i="171"/>
  <c r="H6" i="170"/>
  <c r="H49" i="170" s="1"/>
  <c r="B1" i="170" s="1"/>
  <c r="H6" i="169"/>
  <c r="H6" i="168"/>
  <c r="H6" i="147"/>
  <c r="H49" i="180"/>
  <c r="B1" i="180" s="1"/>
  <c r="H49" i="165"/>
  <c r="B1" i="165" s="1"/>
  <c r="H49" i="187"/>
  <c r="B1" i="187" s="1"/>
  <c r="H49" i="185"/>
  <c r="B1" i="185" s="1"/>
  <c r="H49" i="184"/>
  <c r="B1" i="184" s="1"/>
  <c r="S9" i="194"/>
  <c r="R9" i="194"/>
  <c r="Q9" i="194"/>
  <c r="P9" i="194"/>
  <c r="O9" i="194"/>
  <c r="N9" i="194"/>
  <c r="M9" i="194"/>
  <c r="L9" i="194"/>
  <c r="I9" i="194"/>
  <c r="H9" i="194"/>
  <c r="H49" i="167"/>
  <c r="B1" i="167" s="1"/>
  <c r="H49" i="166"/>
  <c r="B1" i="166" s="1"/>
  <c r="H49" i="183"/>
  <c r="B1" i="183" s="1"/>
  <c r="H49" i="174"/>
  <c r="B1" i="174" s="1"/>
  <c r="H49" i="173"/>
  <c r="B1" i="173" s="1"/>
  <c r="H49" i="181"/>
  <c r="B1" i="181" s="1"/>
  <c r="H49" i="178"/>
  <c r="B1" i="178" s="1"/>
  <c r="H49" i="163"/>
  <c r="B1" i="163" s="1"/>
  <c r="S7" i="194"/>
  <c r="R7" i="194"/>
  <c r="Q7" i="194"/>
  <c r="P7" i="194"/>
  <c r="O7" i="194"/>
  <c r="N7" i="194"/>
  <c r="M7" i="194"/>
  <c r="L7" i="194"/>
  <c r="K7" i="194"/>
  <c r="J7" i="194"/>
  <c r="I7" i="194"/>
  <c r="S6" i="194"/>
  <c r="R6" i="194"/>
  <c r="Q6" i="194"/>
  <c r="P6" i="194"/>
  <c r="O6" i="194"/>
  <c r="N6" i="194"/>
  <c r="M6" i="194"/>
  <c r="L6" i="194"/>
  <c r="K6" i="194"/>
  <c r="J6" i="194"/>
  <c r="I6" i="194"/>
  <c r="G49" i="194"/>
  <c r="F1" i="194"/>
  <c r="S49" i="192"/>
  <c r="R49" i="192"/>
  <c r="Q49" i="192"/>
  <c r="P49" i="192"/>
  <c r="O49" i="192"/>
  <c r="N49" i="192"/>
  <c r="M49" i="192"/>
  <c r="L49" i="192"/>
  <c r="J49" i="192"/>
  <c r="I49" i="192"/>
  <c r="B2" i="192" s="1"/>
  <c r="H49" i="192"/>
  <c r="B1" i="192" s="1"/>
  <c r="G49" i="192"/>
  <c r="F1" i="192" s="1"/>
  <c r="T7" i="192"/>
  <c r="U7" i="192" s="1"/>
  <c r="T6" i="192"/>
  <c r="S3" i="192"/>
  <c r="R3" i="192"/>
  <c r="Q3" i="192"/>
  <c r="N3" i="192"/>
  <c r="M3" i="192"/>
  <c r="L3" i="192"/>
  <c r="S2" i="192"/>
  <c r="R2" i="192"/>
  <c r="Q2" i="192"/>
  <c r="N2" i="192"/>
  <c r="M2" i="192"/>
  <c r="L2" i="192"/>
  <c r="S49" i="191"/>
  <c r="R49" i="191"/>
  <c r="Q49" i="191"/>
  <c r="P49" i="191"/>
  <c r="O49" i="191"/>
  <c r="N49" i="191"/>
  <c r="M49" i="191"/>
  <c r="L49" i="191"/>
  <c r="J49" i="191"/>
  <c r="I49" i="191"/>
  <c r="B2" i="191" s="1"/>
  <c r="H49" i="191"/>
  <c r="G49" i="191"/>
  <c r="F1" i="191" s="1"/>
  <c r="T7" i="191"/>
  <c r="U7" i="191" s="1"/>
  <c r="T6" i="191"/>
  <c r="S3" i="191"/>
  <c r="R3" i="191"/>
  <c r="Q3" i="191"/>
  <c r="N3" i="191"/>
  <c r="M3" i="191"/>
  <c r="L3" i="191"/>
  <c r="S2" i="191"/>
  <c r="R2" i="191"/>
  <c r="Q2" i="191"/>
  <c r="N2" i="191"/>
  <c r="M2" i="191"/>
  <c r="L2" i="191"/>
  <c r="B1" i="191"/>
  <c r="S49" i="190"/>
  <c r="R49" i="190"/>
  <c r="Q49" i="190"/>
  <c r="P49" i="190"/>
  <c r="O49" i="190"/>
  <c r="N49" i="190"/>
  <c r="M49" i="190"/>
  <c r="L49" i="190"/>
  <c r="J49" i="190"/>
  <c r="I49" i="190"/>
  <c r="B2" i="190" s="1"/>
  <c r="H49" i="190"/>
  <c r="B1" i="190" s="1"/>
  <c r="G49" i="190"/>
  <c r="T7" i="190"/>
  <c r="U7" i="190" s="1"/>
  <c r="T6" i="190"/>
  <c r="U6" i="190" s="1"/>
  <c r="S3" i="190"/>
  <c r="R3" i="190"/>
  <c r="Q3" i="190"/>
  <c r="N3" i="190"/>
  <c r="M3" i="190"/>
  <c r="L3" i="190"/>
  <c r="S2" i="190"/>
  <c r="R2" i="190"/>
  <c r="Q2" i="190"/>
  <c r="N2" i="190"/>
  <c r="M2" i="190"/>
  <c r="L2" i="190"/>
  <c r="F1" i="190"/>
  <c r="S49" i="189"/>
  <c r="R49" i="189"/>
  <c r="Q49" i="189"/>
  <c r="P49" i="189"/>
  <c r="O49" i="189"/>
  <c r="N49" i="189"/>
  <c r="M49" i="189"/>
  <c r="L49" i="189"/>
  <c r="J49" i="189"/>
  <c r="I49" i="189"/>
  <c r="B2" i="189" s="1"/>
  <c r="H49" i="189"/>
  <c r="B1" i="189" s="1"/>
  <c r="G49" i="189"/>
  <c r="F1" i="189" s="1"/>
  <c r="T7" i="189"/>
  <c r="U7" i="189" s="1"/>
  <c r="T6" i="189"/>
  <c r="S3" i="189"/>
  <c r="R3" i="189"/>
  <c r="Q3" i="189"/>
  <c r="N3" i="189"/>
  <c r="M3" i="189"/>
  <c r="L3" i="189"/>
  <c r="S2" i="189"/>
  <c r="R2" i="189"/>
  <c r="Q2" i="189"/>
  <c r="N2" i="189"/>
  <c r="M2" i="189"/>
  <c r="L2" i="189"/>
  <c r="S49" i="188"/>
  <c r="R49" i="188"/>
  <c r="Q49" i="188"/>
  <c r="P49" i="188"/>
  <c r="O49" i="188"/>
  <c r="N49" i="188"/>
  <c r="M49" i="188"/>
  <c r="L49" i="188"/>
  <c r="J49" i="188"/>
  <c r="I49" i="188"/>
  <c r="B2" i="188" s="1"/>
  <c r="H49" i="188"/>
  <c r="B1" i="188" s="1"/>
  <c r="G49" i="188"/>
  <c r="T7" i="188"/>
  <c r="U7" i="188" s="1"/>
  <c r="T6" i="188"/>
  <c r="S3" i="188"/>
  <c r="R3" i="188"/>
  <c r="Q3" i="188"/>
  <c r="N3" i="188"/>
  <c r="M3" i="188"/>
  <c r="L3" i="188"/>
  <c r="S2" i="188"/>
  <c r="R2" i="188"/>
  <c r="Q2" i="188"/>
  <c r="N2" i="188"/>
  <c r="M2" i="188"/>
  <c r="L2" i="188"/>
  <c r="F1" i="188"/>
  <c r="S49" i="187"/>
  <c r="R49" i="187"/>
  <c r="Q49" i="187"/>
  <c r="P49" i="187"/>
  <c r="O49" i="187"/>
  <c r="N49" i="187"/>
  <c r="M49" i="187"/>
  <c r="L49" i="187"/>
  <c r="J49" i="187"/>
  <c r="I49" i="187"/>
  <c r="B2" i="187" s="1"/>
  <c r="G49" i="187"/>
  <c r="F1" i="187" s="1"/>
  <c r="T7" i="187"/>
  <c r="U7" i="187" s="1"/>
  <c r="T6" i="187"/>
  <c r="U6" i="187" s="1"/>
  <c r="S3" i="187"/>
  <c r="R3" i="187"/>
  <c r="Q3" i="187"/>
  <c r="N3" i="187"/>
  <c r="M3" i="187"/>
  <c r="L3" i="187"/>
  <c r="S2" i="187"/>
  <c r="R2" i="187"/>
  <c r="Q2" i="187"/>
  <c r="N2" i="187"/>
  <c r="M2" i="187"/>
  <c r="L2" i="187"/>
  <c r="S49" i="186"/>
  <c r="R49" i="186"/>
  <c r="Q49" i="186"/>
  <c r="P49" i="186"/>
  <c r="O49" i="186"/>
  <c r="N49" i="186"/>
  <c r="M49" i="186"/>
  <c r="L49" i="186"/>
  <c r="J49" i="186"/>
  <c r="I49" i="186"/>
  <c r="B2" i="186" s="1"/>
  <c r="H49" i="186"/>
  <c r="B1" i="186" s="1"/>
  <c r="G49" i="186"/>
  <c r="T7" i="186"/>
  <c r="U7" i="186" s="1"/>
  <c r="T6" i="186"/>
  <c r="U6" i="186" s="1"/>
  <c r="S3" i="186"/>
  <c r="R3" i="186"/>
  <c r="Q3" i="186"/>
  <c r="N3" i="186"/>
  <c r="M3" i="186"/>
  <c r="L3" i="186"/>
  <c r="S2" i="186"/>
  <c r="R2" i="186"/>
  <c r="Q2" i="186"/>
  <c r="N2" i="186"/>
  <c r="M2" i="186"/>
  <c r="L2" i="186"/>
  <c r="F1" i="186"/>
  <c r="S49" i="185"/>
  <c r="R49" i="185"/>
  <c r="Q49" i="185"/>
  <c r="P49" i="185"/>
  <c r="O49" i="185"/>
  <c r="N49" i="185"/>
  <c r="M49" i="185"/>
  <c r="L49" i="185"/>
  <c r="J49" i="185"/>
  <c r="I49" i="185"/>
  <c r="B2" i="185" s="1"/>
  <c r="G49" i="185"/>
  <c r="T7" i="185"/>
  <c r="U7" i="185" s="1"/>
  <c r="T6" i="185"/>
  <c r="S3" i="185"/>
  <c r="R3" i="185"/>
  <c r="Q3" i="185"/>
  <c r="N3" i="185"/>
  <c r="M3" i="185"/>
  <c r="L3" i="185"/>
  <c r="S2" i="185"/>
  <c r="R2" i="185"/>
  <c r="Q2" i="185"/>
  <c r="N2" i="185"/>
  <c r="M2" i="185"/>
  <c r="L2" i="185"/>
  <c r="F1" i="185"/>
  <c r="S49" i="184"/>
  <c r="R49" i="184"/>
  <c r="Q49" i="184"/>
  <c r="P49" i="184"/>
  <c r="O49" i="184"/>
  <c r="N49" i="184"/>
  <c r="M49" i="184"/>
  <c r="L49" i="184"/>
  <c r="J49" i="184"/>
  <c r="I49" i="184"/>
  <c r="B2" i="184" s="1"/>
  <c r="G49" i="184"/>
  <c r="T7" i="184"/>
  <c r="U7" i="184" s="1"/>
  <c r="T6" i="184"/>
  <c r="S3" i="184"/>
  <c r="R3" i="184"/>
  <c r="Q3" i="184"/>
  <c r="N3" i="184"/>
  <c r="M3" i="184"/>
  <c r="L3" i="184"/>
  <c r="S2" i="184"/>
  <c r="R2" i="184"/>
  <c r="Q2" i="184"/>
  <c r="N2" i="184"/>
  <c r="M2" i="184"/>
  <c r="L2" i="184"/>
  <c r="F1" i="184"/>
  <c r="S49" i="183"/>
  <c r="R49" i="183"/>
  <c r="Q49" i="183"/>
  <c r="P49" i="183"/>
  <c r="O49" i="183"/>
  <c r="N49" i="183"/>
  <c r="M49" i="183"/>
  <c r="L49" i="183"/>
  <c r="J49" i="183"/>
  <c r="I49" i="183"/>
  <c r="B2" i="183" s="1"/>
  <c r="G49" i="183"/>
  <c r="T7" i="183"/>
  <c r="U7" i="183" s="1"/>
  <c r="T6" i="183"/>
  <c r="S3" i="183"/>
  <c r="R3" i="183"/>
  <c r="Q3" i="183"/>
  <c r="N3" i="183"/>
  <c r="M3" i="183"/>
  <c r="L3" i="183"/>
  <c r="S2" i="183"/>
  <c r="R2" i="183"/>
  <c r="Q2" i="183"/>
  <c r="N2" i="183"/>
  <c r="M2" i="183"/>
  <c r="L2" i="183"/>
  <c r="F1" i="183"/>
  <c r="S49" i="182"/>
  <c r="R49" i="182"/>
  <c r="Q49" i="182"/>
  <c r="P49" i="182"/>
  <c r="O49" i="182"/>
  <c r="N49" i="182"/>
  <c r="M49" i="182"/>
  <c r="L49" i="182"/>
  <c r="J49" i="182"/>
  <c r="I49" i="182"/>
  <c r="B2" i="182" s="1"/>
  <c r="H49" i="182"/>
  <c r="B1" i="182" s="1"/>
  <c r="G49" i="182"/>
  <c r="F1" i="182" s="1"/>
  <c r="T7" i="182"/>
  <c r="U7" i="182" s="1"/>
  <c r="T6" i="182"/>
  <c r="U6" i="182" s="1"/>
  <c r="S3" i="182"/>
  <c r="R3" i="182"/>
  <c r="Q3" i="182"/>
  <c r="N3" i="182"/>
  <c r="M3" i="182"/>
  <c r="L3" i="182"/>
  <c r="S2" i="182"/>
  <c r="R2" i="182"/>
  <c r="Q2" i="182"/>
  <c r="N2" i="182"/>
  <c r="M2" i="182"/>
  <c r="L2" i="182"/>
  <c r="S49" i="181"/>
  <c r="R49" i="181"/>
  <c r="Q49" i="181"/>
  <c r="P49" i="181"/>
  <c r="O49" i="181"/>
  <c r="N49" i="181"/>
  <c r="M49" i="181"/>
  <c r="L49" i="181"/>
  <c r="J49" i="181"/>
  <c r="I49" i="181"/>
  <c r="B2" i="181" s="1"/>
  <c r="G49" i="181"/>
  <c r="F1" i="181" s="1"/>
  <c r="T7" i="181"/>
  <c r="U7" i="181" s="1"/>
  <c r="T6" i="181"/>
  <c r="S3" i="181"/>
  <c r="R3" i="181"/>
  <c r="Q3" i="181"/>
  <c r="N3" i="181"/>
  <c r="M3" i="181"/>
  <c r="L3" i="181"/>
  <c r="S2" i="181"/>
  <c r="R2" i="181"/>
  <c r="Q2" i="181"/>
  <c r="N2" i="181"/>
  <c r="M2" i="181"/>
  <c r="L2" i="181"/>
  <c r="S49" i="180"/>
  <c r="R49" i="180"/>
  <c r="Q49" i="180"/>
  <c r="P49" i="180"/>
  <c r="O49" i="180"/>
  <c r="N49" i="180"/>
  <c r="M49" i="180"/>
  <c r="L49" i="180"/>
  <c r="J49" i="180"/>
  <c r="I49" i="180"/>
  <c r="B2" i="180" s="1"/>
  <c r="G49" i="180"/>
  <c r="T7" i="180"/>
  <c r="U7" i="180" s="1"/>
  <c r="T6" i="180"/>
  <c r="S3" i="180"/>
  <c r="R3" i="180"/>
  <c r="Q3" i="180"/>
  <c r="N3" i="180"/>
  <c r="M3" i="180"/>
  <c r="L3" i="180"/>
  <c r="S2" i="180"/>
  <c r="R2" i="180"/>
  <c r="Q2" i="180"/>
  <c r="N2" i="180"/>
  <c r="M2" i="180"/>
  <c r="L2" i="180"/>
  <c r="F1" i="180"/>
  <c r="S49" i="179"/>
  <c r="R49" i="179"/>
  <c r="Q49" i="179"/>
  <c r="P49" i="179"/>
  <c r="O49" i="179"/>
  <c r="N49" i="179"/>
  <c r="M49" i="179"/>
  <c r="L49" i="179"/>
  <c r="J49" i="179"/>
  <c r="I49" i="179"/>
  <c r="B2" i="179" s="1"/>
  <c r="H49" i="179"/>
  <c r="B1" i="179" s="1"/>
  <c r="G49" i="179"/>
  <c r="T7" i="179"/>
  <c r="U7" i="179" s="1"/>
  <c r="T6" i="179"/>
  <c r="S3" i="179"/>
  <c r="R3" i="179"/>
  <c r="Q3" i="179"/>
  <c r="N3" i="179"/>
  <c r="M3" i="179"/>
  <c r="L3" i="179"/>
  <c r="S2" i="179"/>
  <c r="R2" i="179"/>
  <c r="Q2" i="179"/>
  <c r="N2" i="179"/>
  <c r="M2" i="179"/>
  <c r="L2" i="179"/>
  <c r="F1" i="179"/>
  <c r="S49" i="178"/>
  <c r="R49" i="178"/>
  <c r="Q49" i="178"/>
  <c r="P49" i="178"/>
  <c r="O49" i="178"/>
  <c r="N49" i="178"/>
  <c r="M49" i="178"/>
  <c r="L49" i="178"/>
  <c r="J49" i="178"/>
  <c r="I49" i="178"/>
  <c r="B2" i="178" s="1"/>
  <c r="G49" i="178"/>
  <c r="F1" i="178" s="1"/>
  <c r="T7" i="178"/>
  <c r="U7" i="178" s="1"/>
  <c r="T6" i="178"/>
  <c r="U6" i="178" s="1"/>
  <c r="S3" i="178"/>
  <c r="R3" i="178"/>
  <c r="Q3" i="178"/>
  <c r="N3" i="178"/>
  <c r="M3" i="178"/>
  <c r="L3" i="178"/>
  <c r="S2" i="178"/>
  <c r="R2" i="178"/>
  <c r="Q2" i="178"/>
  <c r="N2" i="178"/>
  <c r="M2" i="178"/>
  <c r="L2" i="178"/>
  <c r="S49" i="177"/>
  <c r="R49" i="177"/>
  <c r="Q49" i="177"/>
  <c r="P49" i="177"/>
  <c r="O49" i="177"/>
  <c r="N49" i="177"/>
  <c r="M49" i="177"/>
  <c r="L49" i="177"/>
  <c r="J49" i="177"/>
  <c r="I49" i="177"/>
  <c r="B2" i="177" s="1"/>
  <c r="H49" i="177"/>
  <c r="B1" i="177" s="1"/>
  <c r="G49" i="177"/>
  <c r="F1" i="177" s="1"/>
  <c r="T7" i="177"/>
  <c r="U7" i="177" s="1"/>
  <c r="T6" i="177"/>
  <c r="S3" i="177"/>
  <c r="R3" i="177"/>
  <c r="Q3" i="177"/>
  <c r="N3" i="177"/>
  <c r="M3" i="177"/>
  <c r="L3" i="177"/>
  <c r="S2" i="177"/>
  <c r="R2" i="177"/>
  <c r="Q2" i="177"/>
  <c r="N2" i="177"/>
  <c r="M2" i="177"/>
  <c r="L2" i="177"/>
  <c r="S49" i="176"/>
  <c r="R49" i="176"/>
  <c r="Q49" i="176"/>
  <c r="P49" i="176"/>
  <c r="O49" i="176"/>
  <c r="N49" i="176"/>
  <c r="M49" i="176"/>
  <c r="L49" i="176"/>
  <c r="J49" i="176"/>
  <c r="I49" i="176"/>
  <c r="B2" i="176" s="1"/>
  <c r="H49" i="176"/>
  <c r="B1" i="176" s="1"/>
  <c r="G49" i="176"/>
  <c r="F1" i="176" s="1"/>
  <c r="T7" i="176"/>
  <c r="T6" i="176"/>
  <c r="U6" i="176" s="1"/>
  <c r="S3" i="176"/>
  <c r="R3" i="176"/>
  <c r="Q3" i="176"/>
  <c r="N3" i="176"/>
  <c r="M3" i="176"/>
  <c r="L3" i="176"/>
  <c r="S2" i="176"/>
  <c r="R2" i="176"/>
  <c r="Q2" i="176"/>
  <c r="N2" i="176"/>
  <c r="M2" i="176"/>
  <c r="L2" i="176"/>
  <c r="S49" i="175"/>
  <c r="R49" i="175"/>
  <c r="Q49" i="175"/>
  <c r="P49" i="175"/>
  <c r="O49" i="175"/>
  <c r="N49" i="175"/>
  <c r="M49" i="175"/>
  <c r="L49" i="175"/>
  <c r="J49" i="175"/>
  <c r="I49" i="175"/>
  <c r="B2" i="175" s="1"/>
  <c r="H49" i="175"/>
  <c r="B1" i="175" s="1"/>
  <c r="G49" i="175"/>
  <c r="F1" i="175" s="1"/>
  <c r="T7" i="175"/>
  <c r="U7" i="175" s="1"/>
  <c r="T6" i="175"/>
  <c r="S3" i="175"/>
  <c r="R3" i="175"/>
  <c r="Q3" i="175"/>
  <c r="N3" i="175"/>
  <c r="M3" i="175"/>
  <c r="L3" i="175"/>
  <c r="S2" i="175"/>
  <c r="R2" i="175"/>
  <c r="Q2" i="175"/>
  <c r="N2" i="175"/>
  <c r="M2" i="175"/>
  <c r="L2" i="175"/>
  <c r="S49" i="174"/>
  <c r="R49" i="174"/>
  <c r="Q49" i="174"/>
  <c r="P49" i="174"/>
  <c r="O49" i="174"/>
  <c r="N49" i="174"/>
  <c r="M49" i="174"/>
  <c r="L49" i="174"/>
  <c r="J49" i="174"/>
  <c r="I49" i="174"/>
  <c r="B2" i="174" s="1"/>
  <c r="G49" i="174"/>
  <c r="F1" i="174" s="1"/>
  <c r="T7" i="174"/>
  <c r="U7" i="174" s="1"/>
  <c r="T6" i="174"/>
  <c r="U6" i="174" s="1"/>
  <c r="S3" i="174"/>
  <c r="R3" i="174"/>
  <c r="Q3" i="174"/>
  <c r="N3" i="174"/>
  <c r="M3" i="174"/>
  <c r="L3" i="174"/>
  <c r="S2" i="174"/>
  <c r="R2" i="174"/>
  <c r="Q2" i="174"/>
  <c r="N2" i="174"/>
  <c r="M2" i="174"/>
  <c r="L2" i="174"/>
  <c r="S49" i="173"/>
  <c r="R49" i="173"/>
  <c r="Q49" i="173"/>
  <c r="P49" i="173"/>
  <c r="O49" i="173"/>
  <c r="N49" i="173"/>
  <c r="M49" i="173"/>
  <c r="L49" i="173"/>
  <c r="J49" i="173"/>
  <c r="I49" i="173"/>
  <c r="B2" i="173" s="1"/>
  <c r="G49" i="173"/>
  <c r="F1" i="173" s="1"/>
  <c r="T7" i="173"/>
  <c r="U7" i="173" s="1"/>
  <c r="T6" i="173"/>
  <c r="S3" i="173"/>
  <c r="R3" i="173"/>
  <c r="Q3" i="173"/>
  <c r="N3" i="173"/>
  <c r="M3" i="173"/>
  <c r="L3" i="173"/>
  <c r="S2" i="173"/>
  <c r="R2" i="173"/>
  <c r="Q2" i="173"/>
  <c r="N2" i="173"/>
  <c r="M2" i="173"/>
  <c r="L2" i="173"/>
  <c r="S49" i="172"/>
  <c r="R49" i="172"/>
  <c r="Q49" i="172"/>
  <c r="P49" i="172"/>
  <c r="O49" i="172"/>
  <c r="N49" i="172"/>
  <c r="M49" i="172"/>
  <c r="L49" i="172"/>
  <c r="J49" i="172"/>
  <c r="I49" i="172"/>
  <c r="B2" i="172" s="1"/>
  <c r="G49" i="172"/>
  <c r="T7" i="172"/>
  <c r="U7" i="172" s="1"/>
  <c r="T6" i="172"/>
  <c r="S3" i="172"/>
  <c r="R3" i="172"/>
  <c r="Q3" i="172"/>
  <c r="N3" i="172"/>
  <c r="M3" i="172"/>
  <c r="L3" i="172"/>
  <c r="S2" i="172"/>
  <c r="R2" i="172"/>
  <c r="Q2" i="172"/>
  <c r="N2" i="172"/>
  <c r="M2" i="172"/>
  <c r="L2" i="172"/>
  <c r="F1" i="172"/>
  <c r="S49" i="171"/>
  <c r="R49" i="171"/>
  <c r="Q49" i="171"/>
  <c r="P49" i="171"/>
  <c r="O49" i="171"/>
  <c r="N49" i="171"/>
  <c r="M49" i="171"/>
  <c r="L49" i="171"/>
  <c r="J49" i="171"/>
  <c r="I49" i="171"/>
  <c r="B2" i="171" s="1"/>
  <c r="H49" i="171"/>
  <c r="B1" i="171" s="1"/>
  <c r="G49" i="171"/>
  <c r="F1" i="171" s="1"/>
  <c r="T7" i="171"/>
  <c r="U7" i="171" s="1"/>
  <c r="T6" i="171"/>
  <c r="S3" i="171"/>
  <c r="R3" i="171"/>
  <c r="Q3" i="171"/>
  <c r="N3" i="171"/>
  <c r="M3" i="171"/>
  <c r="L3" i="171"/>
  <c r="S2" i="171"/>
  <c r="R2" i="171"/>
  <c r="Q2" i="171"/>
  <c r="N2" i="171"/>
  <c r="M2" i="171"/>
  <c r="L2" i="171"/>
  <c r="S49" i="170"/>
  <c r="R49" i="170"/>
  <c r="Q49" i="170"/>
  <c r="P49" i="170"/>
  <c r="O49" i="170"/>
  <c r="N49" i="170"/>
  <c r="M49" i="170"/>
  <c r="L49" i="170"/>
  <c r="J49" i="170"/>
  <c r="I49" i="170"/>
  <c r="B2" i="170" s="1"/>
  <c r="G49" i="170"/>
  <c r="F1" i="170" s="1"/>
  <c r="T7" i="170"/>
  <c r="U7" i="170" s="1"/>
  <c r="T6" i="170"/>
  <c r="U6" i="170" s="1"/>
  <c r="S3" i="170"/>
  <c r="R3" i="170"/>
  <c r="Q3" i="170"/>
  <c r="N3" i="170"/>
  <c r="M3" i="170"/>
  <c r="L3" i="170"/>
  <c r="S2" i="170"/>
  <c r="R2" i="170"/>
  <c r="Q2" i="170"/>
  <c r="N2" i="170"/>
  <c r="M2" i="170"/>
  <c r="L2" i="170"/>
  <c r="S49" i="169"/>
  <c r="R49" i="169"/>
  <c r="Q49" i="169"/>
  <c r="P49" i="169"/>
  <c r="O49" i="169"/>
  <c r="N49" i="169"/>
  <c r="M49" i="169"/>
  <c r="L49" i="169"/>
  <c r="J49" i="169"/>
  <c r="I49" i="169"/>
  <c r="B2" i="169" s="1"/>
  <c r="H49" i="169"/>
  <c r="B1" i="169" s="1"/>
  <c r="G49" i="169"/>
  <c r="F1" i="169" s="1"/>
  <c r="T7" i="169"/>
  <c r="U7" i="169" s="1"/>
  <c r="T6" i="169"/>
  <c r="S3" i="169"/>
  <c r="R3" i="169"/>
  <c r="Q3" i="169"/>
  <c r="N3" i="169"/>
  <c r="M3" i="169"/>
  <c r="L3" i="169"/>
  <c r="S2" i="169"/>
  <c r="R2" i="169"/>
  <c r="Q2" i="169"/>
  <c r="N2" i="169"/>
  <c r="M2" i="169"/>
  <c r="L2" i="169"/>
  <c r="S49" i="168"/>
  <c r="R49" i="168"/>
  <c r="Q49" i="168"/>
  <c r="P49" i="168"/>
  <c r="O49" i="168"/>
  <c r="N49" i="168"/>
  <c r="M49" i="168"/>
  <c r="L49" i="168"/>
  <c r="J49" i="168"/>
  <c r="I49" i="168"/>
  <c r="B2" i="168" s="1"/>
  <c r="H49" i="168"/>
  <c r="B1" i="168" s="1"/>
  <c r="G49" i="168"/>
  <c r="F1" i="168" s="1"/>
  <c r="T7" i="168"/>
  <c r="U7" i="168" s="1"/>
  <c r="T6" i="168"/>
  <c r="S3" i="168"/>
  <c r="R3" i="168"/>
  <c r="Q3" i="168"/>
  <c r="N3" i="168"/>
  <c r="M3" i="168"/>
  <c r="L3" i="168"/>
  <c r="S2" i="168"/>
  <c r="R2" i="168"/>
  <c r="Q2" i="168"/>
  <c r="N2" i="168"/>
  <c r="M2" i="168"/>
  <c r="L2" i="168"/>
  <c r="S49" i="167"/>
  <c r="R49" i="167"/>
  <c r="Q49" i="167"/>
  <c r="P49" i="167"/>
  <c r="O49" i="167"/>
  <c r="N49" i="167"/>
  <c r="M49" i="167"/>
  <c r="L49" i="167"/>
  <c r="J49" i="167"/>
  <c r="I49" i="167"/>
  <c r="B2" i="167" s="1"/>
  <c r="G49" i="167"/>
  <c r="F1" i="167" s="1"/>
  <c r="T7" i="167"/>
  <c r="U7" i="167" s="1"/>
  <c r="T6" i="167"/>
  <c r="S3" i="167"/>
  <c r="R3" i="167"/>
  <c r="Q3" i="167"/>
  <c r="N3" i="167"/>
  <c r="M3" i="167"/>
  <c r="L3" i="167"/>
  <c r="S2" i="167"/>
  <c r="R2" i="167"/>
  <c r="Q2" i="167"/>
  <c r="N2" i="167"/>
  <c r="M2" i="167"/>
  <c r="L2" i="167"/>
  <c r="S49" i="166"/>
  <c r="R49" i="166"/>
  <c r="Q49" i="166"/>
  <c r="P49" i="166"/>
  <c r="O49" i="166"/>
  <c r="N49" i="166"/>
  <c r="M49" i="166"/>
  <c r="L49" i="166"/>
  <c r="J49" i="166"/>
  <c r="I49" i="166"/>
  <c r="B2" i="166" s="1"/>
  <c r="G49" i="166"/>
  <c r="T7" i="166"/>
  <c r="U7" i="166" s="1"/>
  <c r="T6" i="166"/>
  <c r="U6" i="166" s="1"/>
  <c r="S3" i="166"/>
  <c r="R3" i="166"/>
  <c r="Q3" i="166"/>
  <c r="N3" i="166"/>
  <c r="M3" i="166"/>
  <c r="L3" i="166"/>
  <c r="S2" i="166"/>
  <c r="R2" i="166"/>
  <c r="Q2" i="166"/>
  <c r="N2" i="166"/>
  <c r="M2" i="166"/>
  <c r="L2" i="166"/>
  <c r="F1" i="166"/>
  <c r="S49" i="165"/>
  <c r="R49" i="165"/>
  <c r="Q49" i="165"/>
  <c r="P49" i="165"/>
  <c r="O49" i="165"/>
  <c r="N49" i="165"/>
  <c r="M49" i="165"/>
  <c r="L49" i="165"/>
  <c r="J49" i="165"/>
  <c r="I49" i="165"/>
  <c r="B2" i="165" s="1"/>
  <c r="G49" i="165"/>
  <c r="F1" i="165" s="1"/>
  <c r="T7" i="165"/>
  <c r="U7" i="165" s="1"/>
  <c r="T6" i="165"/>
  <c r="S3" i="165"/>
  <c r="R3" i="165"/>
  <c r="Q3" i="165"/>
  <c r="N3" i="165"/>
  <c r="M3" i="165"/>
  <c r="L3" i="165"/>
  <c r="S2" i="165"/>
  <c r="R2" i="165"/>
  <c r="Q2" i="165"/>
  <c r="N2" i="165"/>
  <c r="M2" i="165"/>
  <c r="L2" i="165"/>
  <c r="S49" i="164"/>
  <c r="R49" i="164"/>
  <c r="Q49" i="164"/>
  <c r="P49" i="164"/>
  <c r="O49" i="164"/>
  <c r="N49" i="164"/>
  <c r="M49" i="164"/>
  <c r="L49" i="164"/>
  <c r="J49" i="164"/>
  <c r="I49" i="164"/>
  <c r="B2" i="164" s="1"/>
  <c r="H49" i="164"/>
  <c r="B1" i="164" s="1"/>
  <c r="G49" i="164"/>
  <c r="F1" i="164" s="1"/>
  <c r="T7" i="164"/>
  <c r="U7" i="164" s="1"/>
  <c r="T6" i="164"/>
  <c r="S3" i="164"/>
  <c r="R3" i="164"/>
  <c r="Q3" i="164"/>
  <c r="N3" i="164"/>
  <c r="M3" i="164"/>
  <c r="L3" i="164"/>
  <c r="S2" i="164"/>
  <c r="R2" i="164"/>
  <c r="Q2" i="164"/>
  <c r="N2" i="164"/>
  <c r="M2" i="164"/>
  <c r="L2" i="164"/>
  <c r="S49" i="163"/>
  <c r="R49" i="163"/>
  <c r="Q49" i="163"/>
  <c r="P49" i="163"/>
  <c r="O49" i="163"/>
  <c r="N49" i="163"/>
  <c r="M49" i="163"/>
  <c r="L49" i="163"/>
  <c r="J49" i="163"/>
  <c r="I49" i="163"/>
  <c r="B2" i="163" s="1"/>
  <c r="G49" i="163"/>
  <c r="T7" i="163"/>
  <c r="U7" i="163" s="1"/>
  <c r="T6" i="163"/>
  <c r="S3" i="163"/>
  <c r="R3" i="163"/>
  <c r="Q3" i="163"/>
  <c r="N3" i="163"/>
  <c r="M3" i="163"/>
  <c r="L3" i="163"/>
  <c r="S2" i="163"/>
  <c r="R2" i="163"/>
  <c r="Q2" i="163"/>
  <c r="N2" i="163"/>
  <c r="M2" i="163"/>
  <c r="L2" i="163"/>
  <c r="F1" i="163"/>
  <c r="S49" i="147"/>
  <c r="R49" i="147"/>
  <c r="Q49" i="147"/>
  <c r="P49" i="147"/>
  <c r="O49" i="147"/>
  <c r="N49" i="147"/>
  <c r="M49" i="147"/>
  <c r="L49" i="147"/>
  <c r="J49" i="147"/>
  <c r="I49" i="147"/>
  <c r="B2" i="147" s="1"/>
  <c r="H49" i="147"/>
  <c r="B1" i="147" s="1"/>
  <c r="G49" i="147"/>
  <c r="T7" i="147"/>
  <c r="U7" i="147" s="1"/>
  <c r="T6" i="147"/>
  <c r="U6" i="147" s="1"/>
  <c r="S3" i="147"/>
  <c r="R3" i="147"/>
  <c r="Q3" i="147"/>
  <c r="N3" i="147"/>
  <c r="M3" i="147"/>
  <c r="L3" i="147"/>
  <c r="S2" i="147"/>
  <c r="R2" i="147"/>
  <c r="Q2" i="147"/>
  <c r="N2" i="147"/>
  <c r="M2" i="147"/>
  <c r="L2" i="147"/>
  <c r="F1" i="147"/>
  <c r="T2" i="179" l="1"/>
  <c r="T49" i="183"/>
  <c r="T49" i="165"/>
  <c r="T3" i="172"/>
  <c r="T2" i="189"/>
  <c r="T2" i="178"/>
  <c r="T49" i="191"/>
  <c r="U49" i="191" s="1"/>
  <c r="A4" i="191" s="1"/>
  <c r="N49" i="194"/>
  <c r="S3" i="194"/>
  <c r="H6" i="194"/>
  <c r="H49" i="172"/>
  <c r="B1" i="172" s="1"/>
  <c r="B3" i="172" s="1"/>
  <c r="Q3" i="194"/>
  <c r="T3" i="169"/>
  <c r="T49" i="172"/>
  <c r="U49" i="172" s="1"/>
  <c r="A4" i="172" s="1"/>
  <c r="O49" i="194"/>
  <c r="L3" i="194"/>
  <c r="T3" i="176"/>
  <c r="T49" i="171"/>
  <c r="U49" i="171" s="1"/>
  <c r="A4" i="171" s="1"/>
  <c r="T3" i="184"/>
  <c r="M3" i="194"/>
  <c r="T2" i="191"/>
  <c r="L49" i="194"/>
  <c r="T2" i="190"/>
  <c r="T3" i="164"/>
  <c r="H7" i="194"/>
  <c r="B3" i="174"/>
  <c r="L2" i="194"/>
  <c r="T2" i="165"/>
  <c r="T3" i="182"/>
  <c r="T49" i="192"/>
  <c r="U49" i="192" s="1"/>
  <c r="A4" i="192" s="1"/>
  <c r="B3" i="179"/>
  <c r="B3" i="167"/>
  <c r="B3" i="173"/>
  <c r="B3" i="165"/>
  <c r="T2" i="174"/>
  <c r="U7" i="176"/>
  <c r="M49" i="194"/>
  <c r="T3" i="168"/>
  <c r="B3" i="190"/>
  <c r="T2" i="167"/>
  <c r="T2" i="168"/>
  <c r="T49" i="168"/>
  <c r="U49" i="168" s="1"/>
  <c r="A4" i="168" s="1"/>
  <c r="T3" i="175"/>
  <c r="T49" i="179"/>
  <c r="U49" i="179" s="1"/>
  <c r="A4" i="179" s="1"/>
  <c r="T3" i="191"/>
  <c r="T49" i="189"/>
  <c r="U49" i="189" s="1"/>
  <c r="A4" i="189" s="1"/>
  <c r="B3" i="189"/>
  <c r="T49" i="188"/>
  <c r="U49" i="188" s="1"/>
  <c r="A4" i="188" s="1"/>
  <c r="B3" i="188"/>
  <c r="M2" i="194"/>
  <c r="B3" i="187"/>
  <c r="B3" i="186"/>
  <c r="T3" i="185"/>
  <c r="T49" i="185"/>
  <c r="U49" i="185" s="1"/>
  <c r="A4" i="185" s="1"/>
  <c r="U49" i="183"/>
  <c r="A4" i="183" s="1"/>
  <c r="I49" i="194"/>
  <c r="B2" i="194" s="1"/>
  <c r="R49" i="194"/>
  <c r="T2" i="180"/>
  <c r="T7" i="194"/>
  <c r="U7" i="194" s="1"/>
  <c r="P49" i="194"/>
  <c r="T3" i="179"/>
  <c r="T3" i="178"/>
  <c r="B3" i="177"/>
  <c r="U6" i="172"/>
  <c r="B3" i="170"/>
  <c r="U6" i="169"/>
  <c r="T2" i="169"/>
  <c r="B3" i="166"/>
  <c r="T3" i="165"/>
  <c r="T2" i="164"/>
  <c r="T6" i="194"/>
  <c r="B3" i="183"/>
  <c r="B3" i="164"/>
  <c r="T49" i="187"/>
  <c r="U49" i="187" s="1"/>
  <c r="A4" i="187" s="1"/>
  <c r="T3" i="173"/>
  <c r="T3" i="186"/>
  <c r="T3" i="171"/>
  <c r="T3" i="183"/>
  <c r="T49" i="184"/>
  <c r="U49" i="184" s="1"/>
  <c r="A4" i="184" s="1"/>
  <c r="B3" i="185"/>
  <c r="B3" i="175"/>
  <c r="B3" i="184"/>
  <c r="Q49" i="194"/>
  <c r="B3" i="171"/>
  <c r="T2" i="176"/>
  <c r="T3" i="181"/>
  <c r="T2" i="175"/>
  <c r="B3" i="182"/>
  <c r="S49" i="194"/>
  <c r="T49" i="180"/>
  <c r="U49" i="180" s="1"/>
  <c r="A4" i="180" s="1"/>
  <c r="B3" i="181"/>
  <c r="Q2" i="194"/>
  <c r="T2" i="187"/>
  <c r="S2" i="194"/>
  <c r="T3" i="167"/>
  <c r="B3" i="169"/>
  <c r="T49" i="167"/>
  <c r="U49" i="167" s="1"/>
  <c r="A4" i="167" s="1"/>
  <c r="B3" i="180"/>
  <c r="T2" i="186"/>
  <c r="B3" i="192"/>
  <c r="N2" i="194"/>
  <c r="T2" i="185"/>
  <c r="T3" i="190"/>
  <c r="U6" i="191"/>
  <c r="T2" i="172"/>
  <c r="T3" i="177"/>
  <c r="B3" i="178"/>
  <c r="T2" i="184"/>
  <c r="T3" i="189"/>
  <c r="U49" i="165"/>
  <c r="A4" i="165" s="1"/>
  <c r="B3" i="168"/>
  <c r="T2" i="171"/>
  <c r="T2" i="183"/>
  <c r="T49" i="164"/>
  <c r="U49" i="164" s="1"/>
  <c r="A4" i="164" s="1"/>
  <c r="U6" i="165"/>
  <c r="T49" i="176"/>
  <c r="U49" i="176" s="1"/>
  <c r="A4" i="176" s="1"/>
  <c r="T2" i="182"/>
  <c r="R3" i="194"/>
  <c r="T3" i="163"/>
  <c r="T3" i="174"/>
  <c r="T49" i="175"/>
  <c r="U49" i="175" s="1"/>
  <c r="A4" i="175" s="1"/>
  <c r="B3" i="176"/>
  <c r="T2" i="181"/>
  <c r="B3" i="191"/>
  <c r="J49" i="194"/>
  <c r="R2" i="194"/>
  <c r="N3" i="194"/>
  <c r="B3" i="163"/>
  <c r="T2" i="147"/>
  <c r="T3" i="147"/>
  <c r="B3" i="147"/>
  <c r="T49" i="178"/>
  <c r="U49" i="178" s="1"/>
  <c r="A4" i="178" s="1"/>
  <c r="T3" i="180"/>
  <c r="U6" i="181"/>
  <c r="T49" i="182"/>
  <c r="U49" i="182" s="1"/>
  <c r="A4" i="182" s="1"/>
  <c r="U6" i="185"/>
  <c r="T49" i="186"/>
  <c r="U49" i="186" s="1"/>
  <c r="A4" i="186" s="1"/>
  <c r="T2" i="188"/>
  <c r="T3" i="188"/>
  <c r="U6" i="189"/>
  <c r="T49" i="190"/>
  <c r="U49" i="190" s="1"/>
  <c r="A4" i="190" s="1"/>
  <c r="T2" i="192"/>
  <c r="T3" i="192"/>
  <c r="U6" i="180"/>
  <c r="T49" i="181"/>
  <c r="U49" i="181" s="1"/>
  <c r="A4" i="181" s="1"/>
  <c r="U6" i="184"/>
  <c r="T3" i="187"/>
  <c r="U6" i="188"/>
  <c r="U6" i="192"/>
  <c r="U6" i="179"/>
  <c r="U6" i="183"/>
  <c r="U6" i="173"/>
  <c r="T49" i="174"/>
  <c r="U49" i="174" s="1"/>
  <c r="A4" i="174" s="1"/>
  <c r="U6" i="177"/>
  <c r="T49" i="170"/>
  <c r="U49" i="170" s="1"/>
  <c r="A4" i="170" s="1"/>
  <c r="T49" i="173"/>
  <c r="U49" i="173" s="1"/>
  <c r="A4" i="173" s="1"/>
  <c r="T49" i="177"/>
  <c r="U49" i="177" s="1"/>
  <c r="A4" i="177" s="1"/>
  <c r="T2" i="170"/>
  <c r="T3" i="170"/>
  <c r="U6" i="171"/>
  <c r="U6" i="175"/>
  <c r="T2" i="173"/>
  <c r="T2" i="177"/>
  <c r="T49" i="166"/>
  <c r="U49" i="166" s="1"/>
  <c r="A4" i="166" s="1"/>
  <c r="U6" i="168"/>
  <c r="T49" i="169"/>
  <c r="U49" i="169" s="1"/>
  <c r="A4" i="169" s="1"/>
  <c r="T2" i="166"/>
  <c r="T3" i="166"/>
  <c r="U6" i="167"/>
  <c r="U6" i="164"/>
  <c r="U6" i="163"/>
  <c r="T49" i="163"/>
  <c r="U49" i="163" s="1"/>
  <c r="A4" i="163" s="1"/>
  <c r="T2" i="163"/>
  <c r="T49" i="147"/>
  <c r="U49" i="147" s="1"/>
  <c r="A4" i="147" s="1"/>
  <c r="H49" i="194" l="1"/>
  <c r="B1" i="194" s="1"/>
  <c r="B3" i="194" s="1"/>
  <c r="T2" i="194"/>
  <c r="T49" i="194"/>
  <c r="U49" i="194" s="1"/>
  <c r="A4" i="194" s="1"/>
  <c r="T3" i="194"/>
  <c r="U6" i="19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tc={E2C85609-292C-4D1B-AFEF-7ADC67B1E008}</author>
  </authors>
  <commentList>
    <comment ref="R6" authorId="0" shapeId="0" xr:uid="{E2C85609-292C-4D1B-AFEF-7ADC67B1E00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편가공 1
초음파 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tc={0D45628B-F43F-4E62-B828-CEF95BD932F7}</author>
  </authors>
  <commentList>
    <comment ref="R6" authorId="0" shapeId="0" xr:uid="{0D45628B-F43F-4E62-B828-CEF95BD932F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녹1
찍힘 4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tc={CBBD1E58-BF81-4E10-B677-CDE7E51C6D14}</author>
  </authors>
  <commentList>
    <comment ref="R6" authorId="0" shapeId="0" xr:uid="{CBBD1E58-BF81-4E10-B677-CDE7E51C6D14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편가공 2
들뜸 1
초음파 1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tc={9FFB5183-8A57-42D6-855F-C16D984425EB}</author>
  </authors>
  <commentList>
    <comment ref="R6" authorId="0" shapeId="0" xr:uid="{9FFB5183-8A57-42D6-855F-C16D984425E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끼임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tc={717259ED-FD3C-4BED-80CE-779022223C1E}</author>
  </authors>
  <commentList>
    <comment ref="R6" authorId="0" shapeId="0" xr:uid="{717259ED-FD3C-4BED-80CE-779022223C1E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밸런스 1
끼임 1
게이지 끼임 1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tc={69BA461E-467E-4B50-BF55-3D29752722F2}</author>
  </authors>
  <commentList>
    <comment ref="R6" authorId="0" shapeId="0" xr:uid="{69BA461E-467E-4B50-BF55-3D29752722F2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편가공 1
흐름 2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tc={3C54710C-F210-47EC-8342-C987875B3728}</author>
  </authors>
  <commentList>
    <comment ref="R6" authorId="0" shapeId="0" xr:uid="{3C54710C-F210-47EC-8342-C987875B3728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끼임
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tc={2F902D24-CDBB-4C2C-B722-C6A9F56C5A0C}</author>
  </authors>
  <commentList>
    <comment ref="R6" authorId="0" shapeId="0" xr:uid="{2F902D24-CDBB-4C2C-B722-C6A9F56C5A0C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낙물
편가공
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tc={EC77D14E-754E-44A0-B5CD-05F6C1ABD5CB}</author>
  </authors>
  <commentList>
    <comment ref="R6" authorId="0" shapeId="0" xr:uid="{EC77D14E-754E-44A0-B5CD-05F6C1ABD5C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편가공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tc={097F5AB6-1C50-4847-B0D1-707A7A758BEE}</author>
  </authors>
  <commentList>
    <comment ref="R6" authorId="0" shapeId="0" xr:uid="{097F5AB6-1C50-4847-B0D1-707A7A758BE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초음파 1
끼임 1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tc={F63F4EF2-A00F-400C-B226-9228EEF36912}</author>
  </authors>
  <commentList>
    <comment ref="R6" authorId="0" shapeId="0" xr:uid="{F63F4EF2-A00F-400C-B226-9228EEF3691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끼임1
편가공1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tc={304EBE4F-15B2-4A68-BCA5-64695FF387BA}</author>
  </authors>
  <commentList>
    <comment ref="R6" authorId="0" shapeId="0" xr:uid="{304EBE4F-15B2-4A68-BCA5-64695FF387BA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끼임 14
흐름 1
편가공 1
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tc={F760434B-C54F-4E3F-9A78-2EE00DBD50E4}</author>
  </authors>
  <commentList>
    <comment ref="R6" authorId="0" shapeId="0" xr:uid="{F760434B-C54F-4E3F-9A78-2EE00DBD50E4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누락1
편가공 1
들뜸 3
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tc={4F72371D-D374-496A-9C72-F9D92CB217C4}</author>
  </authors>
  <commentList>
    <comment ref="R6" authorId="0" shapeId="0" xr:uid="{4F72371D-D374-496A-9C72-F9D92CB217C4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편가공
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tc={51E048EC-D4C7-47EC-8840-A85F01AF892C}</author>
  </authors>
  <commentList>
    <comment ref="R6" authorId="0" shapeId="0" xr:uid="{51E048EC-D4C7-47EC-8840-A85F01AF892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미침투 1
초음파 1
편가공 1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tc={97A1A575-07C9-4A49-86DB-0B4DB7CC0F4D}</author>
  </authors>
  <commentList>
    <comment ref="R6" authorId="0" shapeId="0" xr:uid="{97A1A575-07C9-4A49-86DB-0B4DB7CC0F4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조립불량1
초음파1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tc={4F2B7FD9-64F8-4117-A93C-6D33F872238E}</author>
  </authors>
  <commentList>
    <comment ref="R6" authorId="0" shapeId="0" xr:uid="{4F2B7FD9-64F8-4117-A93C-6D33F872238E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조립불량
편가공
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tc={FEBF7928-6AA5-41A0-BAE5-D69111735605}</author>
  </authors>
  <commentList>
    <comment ref="R6" authorId="0" shapeId="0" xr:uid="{FEBF7928-6AA5-41A0-BAE5-D69111735605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흐름1
녹1
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tc={9C554FEA-3AC0-46CB-8AE2-91F21765FF77}</author>
  </authors>
  <commentList>
    <comment ref="R6" authorId="0" shapeId="0" xr:uid="{9C554FEA-3AC0-46CB-8AE2-91F21765FF77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초음파1
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tc={AF215BA6-C8BB-467F-A797-A32895537196}</author>
  </authors>
  <commentList>
    <comment ref="R6" authorId="0" shapeId="0" xr:uid="{AF215BA6-C8BB-467F-A797-A3289553719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끼임1
초음파3
편가공1
밸런스 1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tc={8A0570EB-C763-4467-B27A-E9915019D472}</author>
  </authors>
  <commentList>
    <comment ref="R6" authorId="0" shapeId="0" xr:uid="{8A0570EB-C763-4467-B27A-E9915019D472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편가공 1
초음파 1
</t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tc={5F3802A9-AE88-4AEB-BE16-DB690E7DB5E1}</author>
  </authors>
  <commentList>
    <comment ref="R6" authorId="0" shapeId="0" xr:uid="{5F3802A9-AE88-4AEB-BE16-DB690E7DB5E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끼임</t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tc={474D8038-6E7E-48EF-9C75-9CCA449F3816}</author>
  </authors>
  <commentList>
    <comment ref="R6" authorId="0" shapeId="0" xr:uid="{474D8038-6E7E-48EF-9C75-9CCA449F381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편가공 4
흐름 1
밸런스 3</t>
      </text>
    </comment>
  </commentList>
</comments>
</file>

<file path=xl/sharedStrings.xml><?xml version="1.0" encoding="utf-8"?>
<sst xmlns="http://schemas.openxmlformats.org/spreadsheetml/2006/main" count="928" uniqueCount="55">
  <si>
    <t>생산수량</t>
  </si>
  <si>
    <t>불량금액</t>
  </si>
  <si>
    <t>불량수량</t>
  </si>
  <si>
    <t>TM NO.</t>
  </si>
  <si>
    <t>CODE
(ERP)</t>
  </si>
  <si>
    <t>품     명</t>
  </si>
  <si>
    <t>거래선</t>
  </si>
  <si>
    <t>단가</t>
  </si>
  <si>
    <t>불량금액
(단가x수량)</t>
  </si>
  <si>
    <t>불량율
 (PPM)</t>
  </si>
  <si>
    <t>소계 SUBTOTAL(가로)</t>
  </si>
  <si>
    <t>폐기</t>
    <phoneticPr fontId="3" type="noConversion"/>
  </si>
  <si>
    <t>생산수량</t>
    <phoneticPr fontId="3" type="noConversion"/>
  </si>
  <si>
    <t>불량수량</t>
    <phoneticPr fontId="3" type="noConversion"/>
  </si>
  <si>
    <t>불량율(ppm)</t>
    <phoneticPr fontId="3" type="noConversion"/>
  </si>
  <si>
    <t>거래선 및 불량금액</t>
    <phoneticPr fontId="3" type="noConversion"/>
  </si>
  <si>
    <t>종합</t>
    <phoneticPr fontId="3" type="noConversion"/>
  </si>
  <si>
    <t>합계</t>
    <phoneticPr fontId="3" type="noConversion"/>
  </si>
  <si>
    <t>오기
유/무</t>
    <phoneticPr fontId="3" type="noConversion"/>
  </si>
  <si>
    <t>차종</t>
    <phoneticPr fontId="3" type="noConversion"/>
  </si>
  <si>
    <t>CARRIER-PLANET,MID (A8LF1)</t>
    <phoneticPr fontId="3" type="noConversion"/>
  </si>
  <si>
    <t>CARRIER-PLANET,MID (A8LF2)</t>
    <phoneticPr fontId="3" type="noConversion"/>
  </si>
  <si>
    <t>기타</t>
    <phoneticPr fontId="3" type="noConversion"/>
  </si>
  <si>
    <t>치수</t>
    <phoneticPr fontId="3" type="noConversion"/>
  </si>
  <si>
    <t>치수</t>
    <phoneticPr fontId="3" type="noConversion"/>
  </si>
  <si>
    <t>치수</t>
    <phoneticPr fontId="3" type="noConversion"/>
  </si>
  <si>
    <t>치수</t>
    <phoneticPr fontId="3" type="noConversion"/>
  </si>
  <si>
    <t>치수</t>
    <phoneticPr fontId="3" type="noConversion"/>
  </si>
  <si>
    <t>외관</t>
    <phoneticPr fontId="3" type="noConversion"/>
  </si>
  <si>
    <t>외관</t>
    <phoneticPr fontId="3" type="noConversion"/>
  </si>
  <si>
    <t>외관</t>
    <phoneticPr fontId="3" type="noConversion"/>
  </si>
  <si>
    <t>외관</t>
    <phoneticPr fontId="3" type="noConversion"/>
  </si>
  <si>
    <t>외관</t>
    <phoneticPr fontId="3" type="noConversion"/>
  </si>
  <si>
    <t>외관</t>
    <phoneticPr fontId="3" type="noConversion"/>
  </si>
  <si>
    <t>편차</t>
    <phoneticPr fontId="3" type="noConversion"/>
  </si>
  <si>
    <t>편차</t>
    <phoneticPr fontId="3" type="noConversion"/>
  </si>
  <si>
    <t>편차</t>
    <phoneticPr fontId="3" type="noConversion"/>
  </si>
  <si>
    <t>편차</t>
    <phoneticPr fontId="3" type="noConversion"/>
  </si>
  <si>
    <t>편차</t>
    <phoneticPr fontId="3" type="noConversion"/>
  </si>
  <si>
    <t>Tool마모</t>
    <phoneticPr fontId="3" type="noConversion"/>
  </si>
  <si>
    <t>Tool마모</t>
    <phoneticPr fontId="3" type="noConversion"/>
  </si>
  <si>
    <t>Tool마모</t>
    <phoneticPr fontId="3" type="noConversion"/>
  </si>
  <si>
    <t>Tool마모</t>
    <phoneticPr fontId="3" type="noConversion"/>
  </si>
  <si>
    <t>Tool마모</t>
    <phoneticPr fontId="3" type="noConversion"/>
  </si>
  <si>
    <t>Tool마모</t>
    <phoneticPr fontId="3" type="noConversion"/>
  </si>
  <si>
    <t>설비Error</t>
    <phoneticPr fontId="3" type="noConversion"/>
  </si>
  <si>
    <t>설비Error</t>
    <phoneticPr fontId="3" type="noConversion"/>
  </si>
  <si>
    <t>설비Error</t>
    <phoneticPr fontId="3" type="noConversion"/>
  </si>
  <si>
    <t>설비Error</t>
    <phoneticPr fontId="3" type="noConversion"/>
  </si>
  <si>
    <t>설비Error</t>
    <phoneticPr fontId="3" type="noConversion"/>
  </si>
  <si>
    <t>자주검사</t>
    <phoneticPr fontId="3" type="noConversion"/>
  </si>
  <si>
    <t>자주검사</t>
    <phoneticPr fontId="3" type="noConversion"/>
  </si>
  <si>
    <t>자주검사</t>
    <phoneticPr fontId="3" type="noConversion"/>
  </si>
  <si>
    <t>자주검사</t>
    <phoneticPr fontId="3" type="noConversion"/>
  </si>
  <si>
    <t>자주검사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</si>
</sst>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1"/>
      <color indexed="10"/>
      <name val="맑은 고딕"/>
      <family val="3"/>
      <charset val="129"/>
      <scheme val="major"/>
    </font>
    <font>
      <b/>
      <sz val="11"/>
      <color rgb="FFFF0000"/>
      <name val="돋움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sz val="11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28"/>
      <color indexed="10"/>
      <name val="맑은 고딕"/>
      <family val="3"/>
      <charset val="129"/>
      <scheme val="major"/>
    </font>
  </fonts>
  <fills count="2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60">
    <border>
      <left/>
      <right/>
      <top/>
      <bottom/>
      <diagonal/>
    </border>
    <border>
      <left/>
      <right style="medium">
        <color indexed="62"/>
      </right>
      <top/>
      <bottom/>
      <diagonal/>
    </border>
    <border>
      <left/>
      <right style="thin">
        <color indexed="17"/>
      </right>
      <top style="medium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medium">
        <color indexed="17"/>
      </top>
      <bottom style="thin">
        <color indexed="17"/>
      </bottom>
      <diagonal/>
    </border>
    <border>
      <left/>
      <right style="thin">
        <color indexed="17"/>
      </right>
      <top style="thin">
        <color indexed="17"/>
      </top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/>
      <diagonal/>
    </border>
    <border>
      <left style="medium">
        <color indexed="62"/>
      </left>
      <right style="medium">
        <color indexed="62"/>
      </right>
      <top/>
      <bottom/>
      <diagonal/>
    </border>
    <border>
      <left style="medium">
        <color indexed="62"/>
      </left>
      <right style="thin">
        <color indexed="17"/>
      </right>
      <top style="thin">
        <color indexed="17"/>
      </top>
      <bottom/>
      <diagonal/>
    </border>
    <border>
      <left style="medium">
        <color indexed="62"/>
      </left>
      <right style="thin">
        <color indexed="17"/>
      </right>
      <top/>
      <bottom style="medium">
        <color indexed="17"/>
      </bottom>
      <diagonal/>
    </border>
    <border>
      <left style="thin">
        <color indexed="17"/>
      </left>
      <right style="thin">
        <color indexed="17"/>
      </right>
      <top/>
      <bottom style="medium">
        <color indexed="17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1"/>
      </left>
      <right style="thin">
        <color indexed="21"/>
      </right>
      <top style="medium">
        <color indexed="21"/>
      </top>
      <bottom style="thin">
        <color indexed="21"/>
      </bottom>
      <diagonal/>
    </border>
    <border>
      <left/>
      <right style="thin">
        <color indexed="21"/>
      </right>
      <top style="medium">
        <color indexed="21"/>
      </top>
      <bottom style="thin">
        <color indexed="21"/>
      </bottom>
      <diagonal/>
    </border>
    <border>
      <left style="thin">
        <color indexed="62"/>
      </left>
      <right style="thin">
        <color indexed="21"/>
      </right>
      <top style="medium">
        <color indexed="21"/>
      </top>
      <bottom style="thin">
        <color indexed="21"/>
      </bottom>
      <diagonal/>
    </border>
    <border>
      <left style="thin">
        <color indexed="21"/>
      </left>
      <right style="thin">
        <color indexed="62"/>
      </right>
      <top style="medium">
        <color indexed="21"/>
      </top>
      <bottom style="thin">
        <color indexed="21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18"/>
      </left>
      <right/>
      <top style="medium">
        <color indexed="18"/>
      </top>
      <bottom style="thin">
        <color indexed="18"/>
      </bottom>
      <diagonal/>
    </border>
    <border>
      <left style="thin">
        <color indexed="18"/>
      </left>
      <right/>
      <top style="thin">
        <color indexed="18"/>
      </top>
      <bottom style="thin">
        <color indexed="18"/>
      </bottom>
      <diagonal/>
    </border>
    <border>
      <left style="thin">
        <color indexed="18"/>
      </left>
      <right/>
      <top style="thin">
        <color indexed="18"/>
      </top>
      <bottom style="medium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 style="thin">
        <color indexed="18"/>
      </right>
      <top/>
      <bottom style="thin">
        <color indexed="18"/>
      </bottom>
      <diagonal/>
    </border>
    <border>
      <left/>
      <right style="thin">
        <color indexed="18"/>
      </right>
      <top style="thin">
        <color indexed="18"/>
      </top>
      <bottom style="medium">
        <color indexed="18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18"/>
      </bottom>
      <diagonal/>
    </border>
    <border>
      <left/>
      <right/>
      <top/>
      <bottom style="medium">
        <color indexed="18"/>
      </bottom>
      <diagonal/>
    </border>
    <border>
      <left style="thin">
        <color rgb="FF02255E"/>
      </left>
      <right style="thin">
        <color rgb="FF02255E"/>
      </right>
      <top style="thin">
        <color indexed="18"/>
      </top>
      <bottom style="medium">
        <color indexed="17"/>
      </bottom>
      <diagonal/>
    </border>
    <border>
      <left/>
      <right style="medium">
        <color indexed="62"/>
      </right>
      <top/>
      <bottom style="medium">
        <color indexed="1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17"/>
      </right>
      <top/>
      <bottom/>
      <diagonal/>
    </border>
    <border>
      <left style="thin">
        <color indexed="62"/>
      </left>
      <right style="thin">
        <color indexed="17"/>
      </right>
      <top/>
      <bottom style="medium">
        <color indexed="17"/>
      </bottom>
      <diagonal/>
    </border>
    <border>
      <left style="thin">
        <color indexed="17"/>
      </left>
      <right style="thin">
        <color indexed="17"/>
      </right>
      <top style="medium">
        <color indexed="21"/>
      </top>
      <bottom style="thin">
        <color indexed="21"/>
      </bottom>
      <diagonal/>
    </border>
    <border>
      <left style="thin">
        <color indexed="17"/>
      </left>
      <right style="thin">
        <color indexed="17"/>
      </right>
      <top style="medium">
        <color indexed="17"/>
      </top>
      <bottom/>
      <diagonal/>
    </border>
    <border>
      <left style="thin">
        <color indexed="17"/>
      </left>
      <right style="thin">
        <color indexed="17"/>
      </right>
      <top/>
      <bottom style="thin">
        <color indexed="17"/>
      </bottom>
      <diagonal/>
    </border>
    <border>
      <left style="thin">
        <color theme="0" tint="-0.14996795556505021"/>
      </left>
      <right style="thin">
        <color theme="0" tint="-0.14993743705557422"/>
      </right>
      <top style="medium">
        <color indexed="17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indexed="22"/>
      </top>
      <bottom style="thin">
        <color indexed="22"/>
      </bottom>
      <diagonal/>
    </border>
    <border>
      <left style="double">
        <color indexed="17"/>
      </left>
      <right style="thin">
        <color indexed="17"/>
      </right>
      <top style="medium">
        <color indexed="17"/>
      </top>
      <bottom style="thin">
        <color indexed="17"/>
      </bottom>
      <diagonal/>
    </border>
    <border>
      <left style="double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double">
        <color indexed="17"/>
      </left>
      <right/>
      <top/>
      <bottom/>
      <diagonal/>
    </border>
    <border>
      <left style="double">
        <color indexed="17"/>
      </left>
      <right/>
      <top/>
      <bottom style="medium">
        <color indexed="17"/>
      </bottom>
      <diagonal/>
    </border>
    <border>
      <left style="double">
        <color indexed="17"/>
      </left>
      <right style="thin">
        <color indexed="22"/>
      </right>
      <top/>
      <bottom style="thin">
        <color indexed="22"/>
      </bottom>
      <diagonal/>
    </border>
    <border>
      <left style="double">
        <color indexed="17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17"/>
      </left>
      <right style="thin">
        <color indexed="21"/>
      </right>
      <top style="medium">
        <color indexed="21"/>
      </top>
      <bottom style="thin">
        <color indexed="21"/>
      </bottom>
      <diagonal/>
    </border>
    <border>
      <left/>
      <right/>
      <top style="medium">
        <color indexed="18"/>
      </top>
      <bottom style="thin">
        <color indexed="18"/>
      </bottom>
      <diagonal/>
    </border>
    <border>
      <left/>
      <right style="thin">
        <color indexed="18"/>
      </right>
      <top style="medium">
        <color indexed="18"/>
      </top>
      <bottom style="thin">
        <color indexed="18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18"/>
      </bottom>
      <diagonal/>
    </border>
    <border>
      <left style="thin">
        <color indexed="18"/>
      </left>
      <right/>
      <top/>
      <bottom style="medium">
        <color indexed="18"/>
      </bottom>
      <diagonal/>
    </border>
    <border>
      <left style="thin">
        <color indexed="18"/>
      </left>
      <right/>
      <top/>
      <bottom/>
      <diagonal/>
    </border>
  </borders>
  <cellStyleXfs count="5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/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3" borderId="32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8" fillId="24" borderId="12" applyNumberFormat="0" applyFon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6" borderId="33" applyNumberFormat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20" fillId="0" borderId="34" applyNumberFormat="0" applyFill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2" fillId="10" borderId="3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6" applyNumberFormat="0" applyFill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11" fillId="0" borderId="3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23" borderId="39" applyNumberFormat="0" applyAlignment="0" applyProtection="0">
      <alignment vertical="center"/>
    </xf>
    <xf numFmtId="42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93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41" fontId="4" fillId="0" borderId="19" xfId="1" applyFont="1" applyFill="1" applyBorder="1" applyAlignment="1">
      <alignment vertical="center" shrinkToFit="1"/>
    </xf>
    <xf numFmtId="0" fontId="4" fillId="0" borderId="1" xfId="0" applyFont="1" applyBorder="1" applyAlignment="1">
      <alignment horizontal="center" vertical="center"/>
    </xf>
    <xf numFmtId="41" fontId="4" fillId="0" borderId="2" xfId="0" applyNumberFormat="1" applyFont="1" applyBorder="1" applyAlignment="1">
      <alignment horizontal="center" vertical="center"/>
    </xf>
    <xf numFmtId="41" fontId="4" fillId="0" borderId="3" xfId="0" applyNumberFormat="1" applyFont="1" applyBorder="1" applyAlignment="1">
      <alignment horizontal="center" vertical="center"/>
    </xf>
    <xf numFmtId="41" fontId="4" fillId="0" borderId="1" xfId="0" applyNumberFormat="1" applyFont="1" applyBorder="1" applyAlignment="1">
      <alignment horizontal="center" vertical="center"/>
    </xf>
    <xf numFmtId="41" fontId="4" fillId="0" borderId="4" xfId="0" applyNumberFormat="1" applyFont="1" applyBorder="1" applyAlignment="1">
      <alignment horizontal="center" vertical="center"/>
    </xf>
    <xf numFmtId="41" fontId="4" fillId="0" borderId="5" xfId="0" applyNumberFormat="1" applyFont="1" applyBorder="1" applyAlignment="1">
      <alignment horizontal="center" vertical="center"/>
    </xf>
    <xf numFmtId="41" fontId="2" fillId="0" borderId="6" xfId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42" fontId="4" fillId="0" borderId="20" xfId="0" applyNumberFormat="1" applyFont="1" applyBorder="1" applyAlignment="1">
      <alignment horizontal="center" vertical="center" shrinkToFit="1"/>
    </xf>
    <xf numFmtId="41" fontId="4" fillId="0" borderId="11" xfId="1" applyFont="1" applyFill="1" applyBorder="1" applyAlignment="1">
      <alignment horizontal="center" vertical="center"/>
    </xf>
    <xf numFmtId="41" fontId="4" fillId="0" borderId="10" xfId="1" applyFont="1" applyFill="1" applyBorder="1" applyAlignment="1">
      <alignment horizontal="center" vertical="center"/>
    </xf>
    <xf numFmtId="41" fontId="4" fillId="0" borderId="6" xfId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shrinkToFit="1"/>
    </xf>
    <xf numFmtId="42" fontId="4" fillId="3" borderId="14" xfId="0" applyNumberFormat="1" applyFont="1" applyFill="1" applyBorder="1" applyAlignment="1">
      <alignment horizontal="center" vertical="center" shrinkToFit="1"/>
    </xf>
    <xf numFmtId="41" fontId="4" fillId="3" borderId="13" xfId="1" applyFont="1" applyFill="1" applyBorder="1" applyAlignment="1">
      <alignment horizontal="center" vertical="center"/>
    </xf>
    <xf numFmtId="41" fontId="4" fillId="3" borderId="12" xfId="1" applyFont="1" applyFill="1" applyBorder="1" applyAlignment="1">
      <alignment horizontal="center" vertical="center"/>
    </xf>
    <xf numFmtId="41" fontId="7" fillId="2" borderId="12" xfId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42" fontId="4" fillId="0" borderId="14" xfId="0" applyNumberFormat="1" applyFont="1" applyBorder="1" applyAlignment="1">
      <alignment horizontal="center" vertical="center" shrinkToFit="1"/>
    </xf>
    <xf numFmtId="41" fontId="4" fillId="0" borderId="13" xfId="1" applyFont="1" applyFill="1" applyBorder="1" applyAlignment="1">
      <alignment horizontal="center" vertical="center"/>
    </xf>
    <xf numFmtId="41" fontId="4" fillId="0" borderId="12" xfId="1" applyFont="1" applyFill="1" applyBorder="1" applyAlignment="1">
      <alignment horizontal="center" vertical="center"/>
    </xf>
    <xf numFmtId="41" fontId="7" fillId="0" borderId="12" xfId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41" fontId="6" fillId="0" borderId="10" xfId="1" applyFont="1" applyFill="1" applyBorder="1" applyAlignment="1">
      <alignment horizontal="center" vertical="center"/>
    </xf>
    <xf numFmtId="41" fontId="4" fillId="0" borderId="28" xfId="1" applyFont="1" applyFill="1" applyBorder="1" applyAlignment="1">
      <alignment vertical="center" shrinkToFit="1"/>
    </xf>
    <xf numFmtId="41" fontId="2" fillId="0" borderId="31" xfId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 shrinkToFit="1"/>
    </xf>
    <xf numFmtId="0" fontId="2" fillId="0" borderId="30" xfId="0" applyFont="1" applyBorder="1" applyAlignment="1">
      <alignment horizontal="center" vertical="center" wrapText="1" shrinkToFit="1"/>
    </xf>
    <xf numFmtId="41" fontId="2" fillId="0" borderId="30" xfId="1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41" fontId="2" fillId="0" borderId="27" xfId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shrinkToFit="1"/>
    </xf>
    <xf numFmtId="41" fontId="2" fillId="2" borderId="15" xfId="1" applyFont="1" applyFill="1" applyBorder="1" applyAlignment="1">
      <alignment horizontal="center" vertical="center"/>
    </xf>
    <xf numFmtId="41" fontId="2" fillId="2" borderId="17" xfId="1" applyFont="1" applyFill="1" applyBorder="1" applyAlignment="1">
      <alignment horizontal="center" vertical="center" wrapText="1"/>
    </xf>
    <xf numFmtId="41" fontId="2" fillId="2" borderId="18" xfId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1" fontId="2" fillId="2" borderId="42" xfId="1" applyFont="1" applyFill="1" applyBorder="1" applyAlignment="1">
      <alignment horizontal="center" vertical="center"/>
    </xf>
    <xf numFmtId="41" fontId="4" fillId="0" borderId="45" xfId="1" applyFont="1" applyFill="1" applyBorder="1" applyAlignment="1">
      <alignment horizontal="center" vertical="center"/>
    </xf>
    <xf numFmtId="41" fontId="4" fillId="3" borderId="46" xfId="1" applyFont="1" applyFill="1" applyBorder="1" applyAlignment="1">
      <alignment horizontal="center" vertical="center"/>
    </xf>
    <xf numFmtId="41" fontId="4" fillId="0" borderId="46" xfId="1" applyFont="1" applyFill="1" applyBorder="1" applyAlignment="1">
      <alignment horizontal="center" vertical="center"/>
    </xf>
    <xf numFmtId="41" fontId="4" fillId="0" borderId="47" xfId="0" applyNumberFormat="1" applyFont="1" applyBorder="1" applyAlignment="1">
      <alignment horizontal="center" vertical="center"/>
    </xf>
    <xf numFmtId="41" fontId="4" fillId="0" borderId="48" xfId="0" applyNumberFormat="1" applyFont="1" applyBorder="1" applyAlignment="1">
      <alignment horizontal="center" vertical="center"/>
    </xf>
    <xf numFmtId="41" fontId="4" fillId="0" borderId="51" xfId="1" applyFont="1" applyFill="1" applyBorder="1" applyAlignment="1">
      <alignment horizontal="center" vertical="center"/>
    </xf>
    <xf numFmtId="41" fontId="4" fillId="3" borderId="52" xfId="1" applyFont="1" applyFill="1" applyBorder="1" applyAlignment="1">
      <alignment horizontal="center" vertical="center"/>
    </xf>
    <xf numFmtId="41" fontId="4" fillId="0" borderId="52" xfId="1" applyFont="1" applyFill="1" applyBorder="1" applyAlignment="1">
      <alignment horizontal="center" vertical="center"/>
    </xf>
    <xf numFmtId="41" fontId="2" fillId="2" borderId="53" xfId="1" applyFont="1" applyFill="1" applyBorder="1" applyAlignment="1">
      <alignment horizontal="center" vertical="center"/>
    </xf>
    <xf numFmtId="17" fontId="4" fillId="0" borderId="12" xfId="0" quotePrefix="1" applyNumberFormat="1" applyFont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41" fontId="2" fillId="4" borderId="0" xfId="1" applyFont="1" applyFill="1" applyBorder="1" applyAlignment="1">
      <alignment horizontal="center" vertical="center" shrinkToFit="1"/>
    </xf>
    <xf numFmtId="41" fontId="4" fillId="0" borderId="56" xfId="1" applyFont="1" applyFill="1" applyBorder="1" applyAlignment="1">
      <alignment vertical="center" shrinkToFit="1"/>
    </xf>
    <xf numFmtId="41" fontId="4" fillId="0" borderId="57" xfId="1" applyFont="1" applyFill="1" applyBorder="1" applyAlignment="1">
      <alignment vertical="center" shrinkToFit="1"/>
    </xf>
    <xf numFmtId="41" fontId="4" fillId="0" borderId="58" xfId="1" applyFont="1" applyFill="1" applyBorder="1" applyAlignment="1">
      <alignment horizontal="center" vertical="center" shrinkToFit="1"/>
    </xf>
    <xf numFmtId="41" fontId="4" fillId="0" borderId="59" xfId="1" applyFont="1" applyFill="1" applyBorder="1" applyAlignment="1">
      <alignment horizontal="center" vertical="center" shrinkToFit="1"/>
    </xf>
    <xf numFmtId="41" fontId="5" fillId="0" borderId="59" xfId="1" applyFont="1" applyFill="1" applyBorder="1" applyAlignment="1">
      <alignment horizontal="center" vertical="center" shrinkToFit="1"/>
    </xf>
    <xf numFmtId="3" fontId="4" fillId="0" borderId="10" xfId="0" applyNumberFormat="1" applyFont="1" applyBorder="1" applyAlignment="1">
      <alignment horizontal="center" vertical="center"/>
    </xf>
    <xf numFmtId="3" fontId="4" fillId="3" borderId="12" xfId="0" applyNumberFormat="1" applyFont="1" applyFill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/>
    </xf>
    <xf numFmtId="3" fontId="4" fillId="3" borderId="12" xfId="0" applyNumberFormat="1" applyFont="1" applyFill="1" applyBorder="1" applyAlignment="1">
      <alignment horizontal="center" vertical="center" wrapText="1"/>
    </xf>
    <xf numFmtId="17" fontId="4" fillId="3" borderId="12" xfId="0" quotePrefix="1" applyNumberFormat="1" applyFont="1" applyFill="1" applyBorder="1" applyAlignment="1">
      <alignment horizontal="center" vertical="center"/>
    </xf>
    <xf numFmtId="17" fontId="4" fillId="0" borderId="12" xfId="0" applyNumberFormat="1" applyFont="1" applyBorder="1" applyAlignment="1">
      <alignment horizontal="center" vertical="center"/>
    </xf>
    <xf numFmtId="17" fontId="4" fillId="3" borderId="12" xfId="0" applyNumberFormat="1" applyFont="1" applyFill="1" applyBorder="1" applyAlignment="1">
      <alignment horizontal="center" vertical="center"/>
    </xf>
    <xf numFmtId="0" fontId="2" fillId="28" borderId="5" xfId="0" applyFont="1" applyFill="1" applyBorder="1" applyAlignment="1">
      <alignment horizontal="center" vertical="center"/>
    </xf>
    <xf numFmtId="0" fontId="2" fillId="28" borderId="9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vertical="center" wrapText="1"/>
    </xf>
    <xf numFmtId="0" fontId="2" fillId="27" borderId="9" xfId="0" applyFont="1" applyFill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41" fontId="4" fillId="2" borderId="43" xfId="0" applyNumberFormat="1" applyFont="1" applyFill="1" applyBorder="1" applyAlignment="1">
      <alignment horizontal="center" vertical="center"/>
    </xf>
    <xf numFmtId="41" fontId="4" fillId="2" borderId="44" xfId="0" applyNumberFormat="1" applyFont="1" applyFill="1" applyBorder="1" applyAlignment="1">
      <alignment horizontal="center" vertical="center"/>
    </xf>
    <xf numFmtId="41" fontId="4" fillId="0" borderId="23" xfId="1" applyFont="1" applyFill="1" applyBorder="1" applyAlignment="1">
      <alignment horizontal="center" vertical="center" shrinkToFit="1"/>
    </xf>
    <xf numFmtId="41" fontId="4" fillId="0" borderId="27" xfId="1" applyFont="1" applyFill="1" applyBorder="1" applyAlignment="1">
      <alignment horizontal="center" vertical="center" shrinkToFit="1"/>
    </xf>
    <xf numFmtId="0" fontId="2" fillId="28" borderId="7" xfId="0" applyFont="1" applyFill="1" applyBorder="1" applyAlignment="1">
      <alignment horizontal="center" vertical="center"/>
    </xf>
    <xf numFmtId="0" fontId="2" fillId="28" borderId="8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/>
    </xf>
    <xf numFmtId="41" fontId="4" fillId="0" borderId="21" xfId="1" applyFont="1" applyFill="1" applyBorder="1" applyAlignment="1">
      <alignment horizontal="center" vertical="center" shrinkToFit="1"/>
    </xf>
    <xf numFmtId="41" fontId="4" fillId="0" borderId="55" xfId="1" applyFont="1" applyFill="1" applyBorder="1" applyAlignment="1">
      <alignment horizontal="center" vertical="center" shrinkToFit="1"/>
    </xf>
    <xf numFmtId="42" fontId="2" fillId="4" borderId="0" xfId="2" applyFont="1" applyFill="1" applyBorder="1" applyAlignment="1">
      <alignment horizontal="center" vertical="center" shrinkToFit="1"/>
    </xf>
    <xf numFmtId="41" fontId="4" fillId="0" borderId="0" xfId="1" applyFont="1" applyFill="1" applyBorder="1" applyAlignment="1">
      <alignment horizontal="center" vertical="center" shrinkToFit="1"/>
    </xf>
    <xf numFmtId="41" fontId="4" fillId="0" borderId="29" xfId="1" applyFont="1" applyFill="1" applyBorder="1" applyAlignment="1">
      <alignment horizontal="center" vertical="center" shrinkToFit="1"/>
    </xf>
    <xf numFmtId="41" fontId="5" fillId="0" borderId="22" xfId="1" applyFont="1" applyFill="1" applyBorder="1" applyAlignment="1">
      <alignment horizontal="center" vertical="center" shrinkToFit="1"/>
    </xf>
    <xf numFmtId="41" fontId="5" fillId="0" borderId="25" xfId="1" applyFont="1" applyFill="1" applyBorder="1" applyAlignment="1">
      <alignment horizontal="center" vertical="center" shrinkToFit="1"/>
    </xf>
    <xf numFmtId="0" fontId="26" fillId="2" borderId="54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" fillId="0" borderId="24" xfId="0" applyFont="1" applyBorder="1" applyAlignment="1">
      <alignment horizontal="center" vertical="center" wrapText="1"/>
    </xf>
  </cellXfs>
  <cellStyles count="52">
    <cellStyle name="20% - 강조색1 2" xfId="4" xr:uid="{00000000-0005-0000-0000-000000000000}"/>
    <cellStyle name="20% - 강조색2 2" xfId="5" xr:uid="{00000000-0005-0000-0000-000001000000}"/>
    <cellStyle name="20% - 강조색3 2" xfId="6" xr:uid="{00000000-0005-0000-0000-000002000000}"/>
    <cellStyle name="20% - 강조색4 2" xfId="7" xr:uid="{00000000-0005-0000-0000-000003000000}"/>
    <cellStyle name="20% - 강조색5 2" xfId="8" xr:uid="{00000000-0005-0000-0000-000004000000}"/>
    <cellStyle name="20% - 강조색6 2" xfId="9" xr:uid="{00000000-0005-0000-0000-000005000000}"/>
    <cellStyle name="40% - 강조색1 2" xfId="10" xr:uid="{00000000-0005-0000-0000-000006000000}"/>
    <cellStyle name="40% - 강조색2 2" xfId="11" xr:uid="{00000000-0005-0000-0000-000007000000}"/>
    <cellStyle name="40% - 강조색3 2" xfId="12" xr:uid="{00000000-0005-0000-0000-000008000000}"/>
    <cellStyle name="40% - 강조색4 2" xfId="13" xr:uid="{00000000-0005-0000-0000-000009000000}"/>
    <cellStyle name="40% - 강조색5 2" xfId="14" xr:uid="{00000000-0005-0000-0000-00000A000000}"/>
    <cellStyle name="40% - 강조색6 2" xfId="15" xr:uid="{00000000-0005-0000-0000-00000B000000}"/>
    <cellStyle name="60% - 강조색1 2" xfId="16" xr:uid="{00000000-0005-0000-0000-00000C000000}"/>
    <cellStyle name="60% - 강조색2 2" xfId="17" xr:uid="{00000000-0005-0000-0000-00000D000000}"/>
    <cellStyle name="60% - 강조색3 2" xfId="18" xr:uid="{00000000-0005-0000-0000-00000E000000}"/>
    <cellStyle name="60% - 강조색4 2" xfId="19" xr:uid="{00000000-0005-0000-0000-00000F000000}"/>
    <cellStyle name="60% - 강조색5 2" xfId="20" xr:uid="{00000000-0005-0000-0000-000010000000}"/>
    <cellStyle name="60% - 강조색6 2" xfId="21" xr:uid="{00000000-0005-0000-0000-000011000000}"/>
    <cellStyle name="강조색1 2" xfId="22" xr:uid="{00000000-0005-0000-0000-000012000000}"/>
    <cellStyle name="강조색2 2" xfId="23" xr:uid="{00000000-0005-0000-0000-000013000000}"/>
    <cellStyle name="강조색3 2" xfId="24" xr:uid="{00000000-0005-0000-0000-000014000000}"/>
    <cellStyle name="강조색4 2" xfId="25" xr:uid="{00000000-0005-0000-0000-000015000000}"/>
    <cellStyle name="강조색5 2" xfId="26" xr:uid="{00000000-0005-0000-0000-000016000000}"/>
    <cellStyle name="강조색6 2" xfId="27" xr:uid="{00000000-0005-0000-0000-000017000000}"/>
    <cellStyle name="경고문 2" xfId="28" xr:uid="{00000000-0005-0000-0000-000018000000}"/>
    <cellStyle name="계산 2" xfId="29" xr:uid="{00000000-0005-0000-0000-000019000000}"/>
    <cellStyle name="나쁨 2" xfId="30" xr:uid="{00000000-0005-0000-0000-00001A000000}"/>
    <cellStyle name="메모 2" xfId="31" xr:uid="{00000000-0005-0000-0000-00001B000000}"/>
    <cellStyle name="보통 2" xfId="32" xr:uid="{00000000-0005-0000-0000-00001C000000}"/>
    <cellStyle name="설명 텍스트 2" xfId="33" xr:uid="{00000000-0005-0000-0000-00001D000000}"/>
    <cellStyle name="셀 확인 2" xfId="34" xr:uid="{00000000-0005-0000-0000-00001E000000}"/>
    <cellStyle name="쉼표 [0]" xfId="1" builtinId="6"/>
    <cellStyle name="쉼표 [0] 2" xfId="36" xr:uid="{00000000-0005-0000-0000-000020000000}"/>
    <cellStyle name="쉼표 [0] 3" xfId="35" xr:uid="{00000000-0005-0000-0000-000021000000}"/>
    <cellStyle name="연결된 셀 2" xfId="37" xr:uid="{00000000-0005-0000-0000-000022000000}"/>
    <cellStyle name="요약 2" xfId="38" xr:uid="{00000000-0005-0000-0000-000023000000}"/>
    <cellStyle name="입력 2" xfId="39" xr:uid="{00000000-0005-0000-0000-000024000000}"/>
    <cellStyle name="제목 1 2" xfId="41" xr:uid="{00000000-0005-0000-0000-000025000000}"/>
    <cellStyle name="제목 2 2" xfId="42" xr:uid="{00000000-0005-0000-0000-000026000000}"/>
    <cellStyle name="제목 3 2" xfId="43" xr:uid="{00000000-0005-0000-0000-000027000000}"/>
    <cellStyle name="제목 4 2" xfId="44" xr:uid="{00000000-0005-0000-0000-000028000000}"/>
    <cellStyle name="제목 5" xfId="40" xr:uid="{00000000-0005-0000-0000-000029000000}"/>
    <cellStyle name="좋음 2" xfId="45" xr:uid="{00000000-0005-0000-0000-00002A000000}"/>
    <cellStyle name="출력 2" xfId="46" xr:uid="{00000000-0005-0000-0000-00002B000000}"/>
    <cellStyle name="통화 [0]" xfId="2" builtinId="7"/>
    <cellStyle name="통화 [0] 2" xfId="47" xr:uid="{00000000-0005-0000-0000-00002D000000}"/>
    <cellStyle name="표준" xfId="0" builtinId="0"/>
    <cellStyle name="표준 2" xfId="48" xr:uid="{00000000-0005-0000-0000-00002F000000}"/>
    <cellStyle name="표준 3" xfId="49" xr:uid="{00000000-0005-0000-0000-000030000000}"/>
    <cellStyle name="표준 4" xfId="50" xr:uid="{00000000-0005-0000-0000-000031000000}"/>
    <cellStyle name="표준 5" xfId="51" xr:uid="{00000000-0005-0000-0000-000032000000}"/>
    <cellStyle name="표준 6" xfId="3" xr:uid="{00000000-0005-0000-0000-000033000000}"/>
  </cellStyles>
  <dxfs count="64"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0000FF"/>
      <color rgb="FF0225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eJi Choi" id="{E09DDFC0-E22D-4B3B-917D-4DA92D0C0A21}" userId="S::HeeJi.Choi@johnsonelectric.com::25b8a739-2c2b-46f4-b6fc-c36b0c52dc57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6" dT="2026-07-02T00:19:20.53" personId="{E09DDFC0-E22D-4B3B-917D-4DA92D0C0A21}" id="{E2C85609-292C-4D1B-AFEF-7ADC67B1E008}">
    <text>편가공 1
초음파 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6" dT="2026-06-04T00:49:21.80" personId="{E09DDFC0-E22D-4B3B-917D-4DA92D0C0A21}" id="{0D45628B-F43F-4E62-B828-CEF95BD932F7}">
    <text>녹1
찍힘 4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6" dT="2026-06-05T00:30:48.06" personId="{E09DDFC0-E22D-4B3B-917D-4DA92D0C0A21}" id="{CBBD1E58-BF81-4E10-B677-CDE7E51C6D14}">
    <text xml:space="preserve">편가공 2
들뜸 1
초음파 1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R6" dT="2026-07-08T01:51:18.77" personId="{E09DDFC0-E22D-4B3B-917D-4DA92D0C0A21}" id="{9FFB5183-8A57-42D6-855F-C16D984425EB}">
    <text>끼임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R6" dT="2026-07-09T00:00:56.12" personId="{E09DDFC0-E22D-4B3B-917D-4DA92D0C0A21}" id="{717259ED-FD3C-4BED-80CE-779022223C1E}">
    <text xml:space="preserve">밸런스 1
끼임 1
게이지 끼임 1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R6" dT="2026-07-10T06:47:44.51" personId="{E09DDFC0-E22D-4B3B-917D-4DA92D0C0A21}" id="{69BA461E-467E-4B50-BF55-3D29752722F2}">
    <text xml:space="preserve">편가공 1
흐름 2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R6" dT="2026-07-13T01:15:14.84" personId="{E09DDFC0-E22D-4B3B-917D-4DA92D0C0A21}" id="{3C54710C-F210-47EC-8342-C987875B3728}">
    <text xml:space="preserve">끼임
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R6" dT="2026-06-15T00:01:59.40" personId="{E09DDFC0-E22D-4B3B-917D-4DA92D0C0A21}" id="{2F902D24-CDBB-4C2C-B722-C6A9F56C5A0C}">
    <text xml:space="preserve">낙물
편가공
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R6" dT="2026-06-15T02:35:28.94" personId="{E09DDFC0-E22D-4B3B-917D-4DA92D0C0A21}" id="{EC77D14E-754E-44A0-B5CD-05F6C1ABD5CB}">
    <text>편가공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R6" dT="2026-07-14T00:48:13.40" personId="{E09DDFC0-E22D-4B3B-917D-4DA92D0C0A21}" id="{097F5AB6-1C50-4847-B0D1-707A7A758BEE}">
    <text>초음파 1
끼임 1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R6" dT="2026-07-15T00:29:04.44" personId="{E09DDFC0-E22D-4B3B-917D-4DA92D0C0A21}" id="{F63F4EF2-A00F-400C-B226-9228EEF36912}">
    <text>끼임1
편가공1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R6" dT="2026-07-16T00:49:37.37" personId="{E09DDFC0-E22D-4B3B-917D-4DA92D0C0A21}" id="{304EBE4F-15B2-4A68-BCA5-64695FF387BA}">
    <text xml:space="preserve">끼임 14
흐름 1
편가공 1
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R6" dT="2026-06-18T00:33:24.77" personId="{E09DDFC0-E22D-4B3B-917D-4DA92D0C0A21}" id="{F760434B-C54F-4E3F-9A78-2EE00DBD50E4}">
    <text xml:space="preserve">누락1
편가공 1
들뜸 3
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R6" dT="2026-06-19T00:44:25.81" personId="{E09DDFC0-E22D-4B3B-917D-4DA92D0C0A21}" id="{4F72371D-D374-496A-9C72-F9D92CB217C4}">
    <text xml:space="preserve">편가공
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R6" dT="2026-06-22T00:04:01.41" personId="{E09DDFC0-E22D-4B3B-917D-4DA92D0C0A21}" id="{51E048EC-D4C7-47EC-8840-A85F01AF892C}">
    <text>미침투 1
초음파 1
편가공 1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R6" dT="2026-04-21T02:27:49.01" personId="{E09DDFC0-E22D-4B3B-917D-4DA92D0C0A21}" id="{97A1A575-07C9-4A49-86DB-0B4DB7CC0F4D}">
    <text>조립불량1
초음파1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R6" dT="2026-04-22T00:32:42.94" personId="{E09DDFC0-E22D-4B3B-917D-4DA92D0C0A21}" id="{4F2B7FD9-64F8-4117-A93C-6D33F872238E}">
    <text xml:space="preserve">조립불량
편가공
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R6" dT="2026-07-23T00:21:51.87" personId="{E09DDFC0-E22D-4B3B-917D-4DA92D0C0A21}" id="{FEBF7928-6AA5-41A0-BAE5-D69111735605}">
    <text xml:space="preserve">흐름1
녹1
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R6" dT="2026-07-24T01:17:58.77" personId="{E09DDFC0-E22D-4B3B-917D-4DA92D0C0A21}" id="{9C554FEA-3AC0-46CB-8AE2-91F21765FF77}">
    <text xml:space="preserve">초음파1
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R6" dT="2026-07-27T01:47:39.86" personId="{E09DDFC0-E22D-4B3B-917D-4DA92D0C0A21}" id="{AF215BA6-C8BB-467F-A797-A32895537196}">
    <text>끼임1
초음파3
편가공1
밸런스 1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R6" dT="2026-06-26T00:24:57.22" personId="{E09DDFC0-E22D-4B3B-917D-4DA92D0C0A21}" id="{8A0570EB-C763-4467-B27A-E9915019D472}">
    <text xml:space="preserve">편가공 1
초음파 1
</text>
  </threadedComment>
</ThreadedComments>
</file>

<file path=xl/threadedComments/threadedComment22.xml><?xml version="1.0" encoding="utf-8"?>
<ThreadedComments xmlns="http://schemas.microsoft.com/office/spreadsheetml/2018/threadedcomments" xmlns:x="http://schemas.openxmlformats.org/spreadsheetml/2006/main">
  <threadedComment ref="R6" dT="2026-05-28T01:23:47.94" personId="{E09DDFC0-E22D-4B3B-917D-4DA92D0C0A21}" id="{5F3802A9-AE88-4AEB-BE16-DB690E7DB5E1}">
    <text>끼임</text>
  </threadedComment>
</ThreadedComments>
</file>

<file path=xl/threadedComments/threadedComment23.xml><?xml version="1.0" encoding="utf-8"?>
<ThreadedComments xmlns="http://schemas.microsoft.com/office/spreadsheetml/2018/threadedcomments" xmlns:x="http://schemas.openxmlformats.org/spreadsheetml/2006/main">
  <threadedComment ref="R6" dT="2026-07-29T01:04:33.00" personId="{E09DDFC0-E22D-4B3B-917D-4DA92D0C0A21}" id="{474D8038-6E7E-48EF-9C75-9CCA449F3816}">
    <text>편가공 4
흐름 1
밸런스 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1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Relationship Id="rId4" Type="http://schemas.microsoft.com/office/2017/10/relationships/threadedComment" Target="../threadedComments/threadedComment1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14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9.bin"/><Relationship Id="rId4" Type="http://schemas.microsoft.com/office/2017/10/relationships/threadedComment" Target="../threadedComments/threadedComment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0.bin"/><Relationship Id="rId4" Type="http://schemas.microsoft.com/office/2017/10/relationships/threadedComment" Target="../threadedComments/threadedComment16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1.bin"/><Relationship Id="rId4" Type="http://schemas.microsoft.com/office/2017/10/relationships/threadedComment" Target="../threadedComments/threadedComment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18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3.bin"/><Relationship Id="rId4" Type="http://schemas.microsoft.com/office/2017/10/relationships/threadedComment" Target="../threadedComments/threadedComment1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20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2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2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2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N16" sqref="N16:N18"/>
      <selection pane="bottomLeft" activeCell="R6" sqref="R6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1130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3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3</v>
      </c>
      <c r="S2" s="5">
        <f>SUBTOTAL(9,S6:S48)</f>
        <v>0</v>
      </c>
      <c r="T2" s="48">
        <f>SUBTOTAL(9,T6:T48)</f>
        <v>3</v>
      </c>
      <c r="U2" s="75"/>
    </row>
    <row r="3" spans="1:21" ht="22.5" customHeight="1" thickBot="1" x14ac:dyDescent="0.35">
      <c r="A3" s="38" t="s">
        <v>14</v>
      </c>
      <c r="B3" s="77">
        <f>IF(ISERROR(B2/(B2+B1)*1000000),"",(B2/(B2+B1)*1000000))</f>
        <v>2647.83759929391</v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3</v>
      </c>
      <c r="S3" s="8">
        <f>SUM(S6:S48)</f>
        <v>0</v>
      </c>
      <c r="T3" s="49">
        <f>SUM(T6:T48)</f>
        <v>3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23</v>
      </c>
      <c r="M4" s="69" t="s">
        <v>28</v>
      </c>
      <c r="N4" s="69" t="s">
        <v>34</v>
      </c>
      <c r="O4" s="69" t="s">
        <v>39</v>
      </c>
      <c r="P4" s="69" t="s">
        <v>45</v>
      </c>
      <c r="Q4" s="69" t="s">
        <v>50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>
        <f>310+380+440</f>
        <v>1130</v>
      </c>
      <c r="I6" s="15">
        <v>3</v>
      </c>
      <c r="J6" s="15"/>
      <c r="K6" s="16"/>
      <c r="L6" s="15"/>
      <c r="M6" s="15"/>
      <c r="N6" s="15"/>
      <c r="O6" s="15"/>
      <c r="P6" s="15"/>
      <c r="Q6" s="15"/>
      <c r="R6" s="15">
        <v>3</v>
      </c>
      <c r="S6" s="45"/>
      <c r="T6" s="50">
        <f>SUM(L6:S6)</f>
        <v>3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1130</v>
      </c>
      <c r="I49" s="41">
        <f>SUM(I6:I48)</f>
        <v>3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3</v>
      </c>
      <c r="S49" s="44">
        <f t="shared" si="2"/>
        <v>0</v>
      </c>
      <c r="T49" s="53">
        <f t="shared" si="2"/>
        <v>3</v>
      </c>
      <c r="U49" s="43" t="str">
        <f>IF(T49=SUM(I49),"OK","NG")</f>
        <v>OK</v>
      </c>
    </row>
  </sheetData>
  <autoFilter ref="A5:U49" xr:uid="{00000000-0009-0000-0000-000000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63" priority="1" operator="containsText" text="NG">
      <formula>NOT(ISERROR(SEARCH("NG",A4)))</formula>
    </cfRule>
    <cfRule type="containsText" dxfId="62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C9" sqref="C9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230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0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0</v>
      </c>
      <c r="S2" s="5">
        <f>SUBTOTAL(9,S6:S48)</f>
        <v>0</v>
      </c>
      <c r="T2" s="48">
        <f>SUBTOTAL(9,T6:T48)</f>
        <v>0</v>
      </c>
      <c r="U2" s="75"/>
    </row>
    <row r="3" spans="1:21" ht="22.5" customHeight="1" thickBot="1" x14ac:dyDescent="0.35">
      <c r="A3" s="38" t="s">
        <v>14</v>
      </c>
      <c r="B3" s="77">
        <f>IF(ISERROR(B2/(B2+B1)*1000000),"",(B2/(B2+B1)*1000000))</f>
        <v>0</v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0</v>
      </c>
      <c r="S3" s="8">
        <f>SUM(S6:S48)</f>
        <v>0</v>
      </c>
      <c r="T3" s="49">
        <f>SUM(T6:T48)</f>
        <v>0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26</v>
      </c>
      <c r="M4" s="69" t="s">
        <v>32</v>
      </c>
      <c r="N4" s="69" t="s">
        <v>37</v>
      </c>
      <c r="O4" s="69" t="s">
        <v>43</v>
      </c>
      <c r="P4" s="69" t="s">
        <v>48</v>
      </c>
      <c r="Q4" s="69" t="s">
        <v>50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>
        <v>230</v>
      </c>
      <c r="I6" s="15">
        <v>0</v>
      </c>
      <c r="J6" s="15"/>
      <c r="K6" s="16"/>
      <c r="L6" s="15"/>
      <c r="M6" s="15"/>
      <c r="N6" s="15"/>
      <c r="O6" s="15"/>
      <c r="P6" s="15"/>
      <c r="Q6" s="15"/>
      <c r="R6" s="15"/>
      <c r="S6" s="45"/>
      <c r="T6" s="50">
        <f>SUM(L6:S6)</f>
        <v>0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230</v>
      </c>
      <c r="I49" s="41">
        <f>SUM(I6:I48)</f>
        <v>0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0</v>
      </c>
      <c r="S49" s="44">
        <f t="shared" si="2"/>
        <v>0</v>
      </c>
      <c r="T49" s="53">
        <f t="shared" si="2"/>
        <v>0</v>
      </c>
      <c r="U49" s="43" t="str">
        <f>IF(T49=SUM(I49),"OK","NG")</f>
        <v>OK</v>
      </c>
    </row>
  </sheetData>
  <autoFilter ref="A5:U49" xr:uid="{00000000-0009-0000-0000-000001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61" priority="1" operator="containsText" text="NG">
      <formula>NOT(ISERROR(SEARCH("NG",A4)))</formula>
    </cfRule>
    <cfRule type="containsText" dxfId="60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O15" sqref="O15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0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0</v>
      </c>
      <c r="S2" s="5">
        <f>SUBTOTAL(9,S6:S48)</f>
        <v>0</v>
      </c>
      <c r="T2" s="48">
        <f>SUBTOTAL(9,T6:T48)</f>
        <v>0</v>
      </c>
      <c r="U2" s="75"/>
    </row>
    <row r="3" spans="1:21" ht="22.5" customHeight="1" thickBot="1" x14ac:dyDescent="0.35">
      <c r="A3" s="38" t="s">
        <v>14</v>
      </c>
      <c r="B3" s="77" t="str">
        <f>IF(ISERROR(B2/(B2+B1)*1000000),"",(B2/(B2+B1)*1000000))</f>
        <v/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0</v>
      </c>
      <c r="S3" s="8">
        <f>SUM(S6:S48)</f>
        <v>0</v>
      </c>
      <c r="T3" s="49">
        <f>SUM(T6:T48)</f>
        <v>0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26</v>
      </c>
      <c r="M4" s="69" t="s">
        <v>32</v>
      </c>
      <c r="N4" s="69" t="s">
        <v>37</v>
      </c>
      <c r="O4" s="69" t="s">
        <v>43</v>
      </c>
      <c r="P4" s="69" t="s">
        <v>48</v>
      </c>
      <c r="Q4" s="69" t="s">
        <v>53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/>
      <c r="I6" s="15"/>
      <c r="J6" s="15"/>
      <c r="K6" s="16"/>
      <c r="L6" s="15"/>
      <c r="M6" s="15"/>
      <c r="N6" s="15"/>
      <c r="O6" s="15"/>
      <c r="P6" s="15"/>
      <c r="Q6" s="15"/>
      <c r="R6" s="15"/>
      <c r="S6" s="45"/>
      <c r="T6" s="50">
        <f>SUM(L6:S6)</f>
        <v>0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0</v>
      </c>
      <c r="I49" s="41">
        <f>SUM(I6:I48)</f>
        <v>0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0</v>
      </c>
      <c r="S49" s="44">
        <f t="shared" si="2"/>
        <v>0</v>
      </c>
      <c r="T49" s="53">
        <f t="shared" si="2"/>
        <v>0</v>
      </c>
      <c r="U49" s="43" t="str">
        <f>IF(T49=SUM(I49),"OK","NG")</f>
        <v>OK</v>
      </c>
    </row>
  </sheetData>
  <autoFilter ref="A5:U49" xr:uid="{00000000-0009-0000-0000-000002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59" priority="1" operator="containsText" text="NG">
      <formula>NOT(ISERROR(SEARCH("NG",A4)))</formula>
    </cfRule>
    <cfRule type="containsText" dxfId="58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O15" sqref="O15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0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0</v>
      </c>
      <c r="S2" s="5">
        <f>SUBTOTAL(9,S6:S48)</f>
        <v>0</v>
      </c>
      <c r="T2" s="48">
        <f>SUBTOTAL(9,T6:T48)</f>
        <v>0</v>
      </c>
      <c r="U2" s="75"/>
    </row>
    <row r="3" spans="1:21" ht="22.5" customHeight="1" thickBot="1" x14ac:dyDescent="0.35">
      <c r="A3" s="38" t="s">
        <v>14</v>
      </c>
      <c r="B3" s="77" t="str">
        <f>IF(ISERROR(B2/(B2+B1)*1000000),"",(B2/(B2+B1)*1000000))</f>
        <v/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0</v>
      </c>
      <c r="S3" s="8">
        <f>SUM(S6:S48)</f>
        <v>0</v>
      </c>
      <c r="T3" s="49">
        <f>SUM(T6:T48)</f>
        <v>0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23</v>
      </c>
      <c r="M4" s="69" t="s">
        <v>28</v>
      </c>
      <c r="N4" s="69" t="s">
        <v>34</v>
      </c>
      <c r="O4" s="69" t="s">
        <v>39</v>
      </c>
      <c r="P4" s="69" t="s">
        <v>45</v>
      </c>
      <c r="Q4" s="69" t="s">
        <v>53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/>
      <c r="I6" s="15"/>
      <c r="J6" s="15"/>
      <c r="K6" s="16"/>
      <c r="L6" s="15"/>
      <c r="M6" s="15"/>
      <c r="N6" s="15"/>
      <c r="O6" s="15"/>
      <c r="P6" s="15"/>
      <c r="Q6" s="15"/>
      <c r="R6" s="15"/>
      <c r="S6" s="45"/>
      <c r="T6" s="50">
        <f>SUM(L6:S6)</f>
        <v>0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0</v>
      </c>
      <c r="I49" s="41">
        <f>SUM(I6:I48)</f>
        <v>0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0</v>
      </c>
      <c r="S49" s="44">
        <f t="shared" si="2"/>
        <v>0</v>
      </c>
      <c r="T49" s="53">
        <f t="shared" si="2"/>
        <v>0</v>
      </c>
      <c r="U49" s="43" t="str">
        <f>IF(T49=SUM(I49),"OK","NG")</f>
        <v>OK</v>
      </c>
    </row>
  </sheetData>
  <autoFilter ref="A5:U49" xr:uid="{00000000-0009-0000-0000-000003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57" priority="1" operator="containsText" text="NG">
      <formula>NOT(ISERROR(SEARCH("NG",A4)))</formula>
    </cfRule>
    <cfRule type="containsText" dxfId="56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O15" sqref="O15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0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0</v>
      </c>
      <c r="S2" s="5">
        <f>SUBTOTAL(9,S6:S48)</f>
        <v>0</v>
      </c>
      <c r="T2" s="48">
        <f>SUBTOTAL(9,T6:T48)</f>
        <v>0</v>
      </c>
      <c r="U2" s="75"/>
    </row>
    <row r="3" spans="1:21" ht="22.5" customHeight="1" thickBot="1" x14ac:dyDescent="0.35">
      <c r="A3" s="38" t="s">
        <v>14</v>
      </c>
      <c r="B3" s="77" t="str">
        <f>IF(ISERROR(B2/(B2+B1)*1000000),"",(B2/(B2+B1)*1000000))</f>
        <v/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0</v>
      </c>
      <c r="S3" s="8">
        <f>SUM(S6:S48)</f>
        <v>0</v>
      </c>
      <c r="T3" s="49">
        <f>SUM(T6:T48)</f>
        <v>0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26</v>
      </c>
      <c r="M4" s="69" t="s">
        <v>32</v>
      </c>
      <c r="N4" s="69" t="s">
        <v>37</v>
      </c>
      <c r="O4" s="69" t="s">
        <v>43</v>
      </c>
      <c r="P4" s="69" t="s">
        <v>48</v>
      </c>
      <c r="Q4" s="69" t="s">
        <v>50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/>
      <c r="I6" s="15"/>
      <c r="J6" s="15"/>
      <c r="K6" s="16"/>
      <c r="L6" s="15"/>
      <c r="M6" s="15"/>
      <c r="N6" s="15"/>
      <c r="O6" s="15"/>
      <c r="P6" s="15"/>
      <c r="Q6" s="15"/>
      <c r="R6" s="15"/>
      <c r="S6" s="45"/>
      <c r="T6" s="50">
        <f>SUM(L6:S6)</f>
        <v>0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0</v>
      </c>
      <c r="I49" s="41">
        <f>SUM(I6:I48)</f>
        <v>0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0</v>
      </c>
      <c r="S49" s="44">
        <f t="shared" si="2"/>
        <v>0</v>
      </c>
      <c r="T49" s="53">
        <f t="shared" si="2"/>
        <v>0</v>
      </c>
      <c r="U49" s="43" t="str">
        <f>IF(T49=SUM(I49),"OK","NG")</f>
        <v>OK</v>
      </c>
    </row>
  </sheetData>
  <autoFilter ref="A5:U49" xr:uid="{00000000-0009-0000-0000-000004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55" priority="1" operator="containsText" text="NG">
      <formula>NOT(ISERROR(SEARCH("NG",A4)))</formula>
    </cfRule>
    <cfRule type="containsText" dxfId="54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C17" sqref="C17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100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1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1</v>
      </c>
      <c r="S2" s="5">
        <f>SUBTOTAL(9,S6:S48)</f>
        <v>0</v>
      </c>
      <c r="T2" s="48">
        <f>SUBTOTAL(9,T6:T48)</f>
        <v>1</v>
      </c>
      <c r="U2" s="75"/>
    </row>
    <row r="3" spans="1:21" ht="22.5" customHeight="1" thickBot="1" x14ac:dyDescent="0.35">
      <c r="A3" s="38" t="s">
        <v>14</v>
      </c>
      <c r="B3" s="77">
        <f>IF(ISERROR(B2/(B2+B1)*1000000),"",(B2/(B2+B1)*1000000))</f>
        <v>9900.9900990099013</v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1</v>
      </c>
      <c r="S3" s="8">
        <f>SUM(S6:S48)</f>
        <v>0</v>
      </c>
      <c r="T3" s="49">
        <f>SUM(T6:T48)</f>
        <v>1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26</v>
      </c>
      <c r="M4" s="69" t="s">
        <v>32</v>
      </c>
      <c r="N4" s="69" t="s">
        <v>37</v>
      </c>
      <c r="O4" s="69" t="s">
        <v>43</v>
      </c>
      <c r="P4" s="69" t="s">
        <v>48</v>
      </c>
      <c r="Q4" s="69" t="s">
        <v>53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>
        <v>100</v>
      </c>
      <c r="I6" s="15">
        <v>1</v>
      </c>
      <c r="J6" s="15"/>
      <c r="K6" s="16"/>
      <c r="L6" s="15"/>
      <c r="M6" s="15"/>
      <c r="N6" s="15"/>
      <c r="O6" s="15"/>
      <c r="P6" s="15"/>
      <c r="Q6" s="15"/>
      <c r="R6" s="27">
        <v>1</v>
      </c>
      <c r="S6" s="45"/>
      <c r="T6" s="50">
        <f>SUM(L6:S6)</f>
        <v>1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100</v>
      </c>
      <c r="I49" s="41">
        <f>SUM(I6:I48)</f>
        <v>1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1</v>
      </c>
      <c r="S49" s="44">
        <f t="shared" si="2"/>
        <v>0</v>
      </c>
      <c r="T49" s="53">
        <f t="shared" si="2"/>
        <v>1</v>
      </c>
      <c r="U49" s="43" t="str">
        <f>IF(T49=SUM(I49),"OK","NG")</f>
        <v>OK</v>
      </c>
    </row>
  </sheetData>
  <autoFilter ref="A5:U49" xr:uid="{00000000-0009-0000-0000-000005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53" priority="1" operator="containsText" text="NG">
      <formula>NOT(ISERROR(SEARCH("NG",A4)))</formula>
    </cfRule>
    <cfRule type="containsText" dxfId="52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I7" sqref="I7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430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1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1</v>
      </c>
      <c r="S2" s="5">
        <f>SUBTOTAL(9,S6:S48)</f>
        <v>0</v>
      </c>
      <c r="T2" s="48">
        <f>SUBTOTAL(9,T6:T48)</f>
        <v>1</v>
      </c>
      <c r="U2" s="75"/>
    </row>
    <row r="3" spans="1:21" ht="22.5" customHeight="1" thickBot="1" x14ac:dyDescent="0.35">
      <c r="A3" s="38" t="s">
        <v>14</v>
      </c>
      <c r="B3" s="77">
        <f>IF(ISERROR(B2/(B2+B1)*1000000),"",(B2/(B2+B1)*1000000))</f>
        <v>2320.1856148491879</v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1</v>
      </c>
      <c r="S3" s="8">
        <f>SUM(S6:S48)</f>
        <v>0</v>
      </c>
      <c r="T3" s="49">
        <f>SUM(T6:T48)</f>
        <v>1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26</v>
      </c>
      <c r="M4" s="69" t="s">
        <v>32</v>
      </c>
      <c r="N4" s="69" t="s">
        <v>37</v>
      </c>
      <c r="O4" s="69" t="s">
        <v>43</v>
      </c>
      <c r="P4" s="69" t="s">
        <v>48</v>
      </c>
      <c r="Q4" s="69" t="s">
        <v>53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>
        <f>100+330</f>
        <v>430</v>
      </c>
      <c r="I6" s="15">
        <v>1</v>
      </c>
      <c r="J6" s="15"/>
      <c r="K6" s="16"/>
      <c r="L6" s="15"/>
      <c r="M6" s="15"/>
      <c r="N6" s="15"/>
      <c r="O6" s="15"/>
      <c r="P6" s="15"/>
      <c r="Q6" s="15"/>
      <c r="R6" s="15">
        <v>1</v>
      </c>
      <c r="S6" s="45"/>
      <c r="T6" s="50">
        <f>SUM(L6:S6)</f>
        <v>1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430</v>
      </c>
      <c r="I49" s="41">
        <f>SUM(I6:I48)</f>
        <v>1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1</v>
      </c>
      <c r="S49" s="44">
        <f t="shared" si="2"/>
        <v>0</v>
      </c>
      <c r="T49" s="53">
        <f t="shared" si="2"/>
        <v>1</v>
      </c>
      <c r="U49" s="43" t="str">
        <f>IF(T49=SUM(I49),"OK","NG")</f>
        <v>OK</v>
      </c>
    </row>
  </sheetData>
  <autoFilter ref="A5:U49" xr:uid="{00000000-0009-0000-0000-000006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51" priority="1" operator="containsText" text="NG">
      <formula>NOT(ISERROR(SEARCH("NG",A4)))</formula>
    </cfRule>
    <cfRule type="containsText" dxfId="50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M12" sqref="M12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1210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3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3</v>
      </c>
      <c r="S2" s="5">
        <f>SUBTOTAL(9,S6:S48)</f>
        <v>0</v>
      </c>
      <c r="T2" s="48">
        <f>SUBTOTAL(9,T6:T48)</f>
        <v>3</v>
      </c>
      <c r="U2" s="75"/>
    </row>
    <row r="3" spans="1:21" ht="22.5" customHeight="1" thickBot="1" x14ac:dyDescent="0.35">
      <c r="A3" s="38" t="s">
        <v>14</v>
      </c>
      <c r="B3" s="77">
        <f>IF(ISERROR(B2/(B2+B1)*1000000),"",(B2/(B2+B1)*1000000))</f>
        <v>2473.2069249793899</v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3</v>
      </c>
      <c r="S3" s="8">
        <f>SUM(S6:S48)</f>
        <v>0</v>
      </c>
      <c r="T3" s="49">
        <f>SUM(T6:T48)</f>
        <v>3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27</v>
      </c>
      <c r="M4" s="69" t="s">
        <v>33</v>
      </c>
      <c r="N4" s="69" t="s">
        <v>38</v>
      </c>
      <c r="O4" s="69" t="s">
        <v>44</v>
      </c>
      <c r="P4" s="69" t="s">
        <v>49</v>
      </c>
      <c r="Q4" s="69" t="s">
        <v>53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>
        <f>410+360+440</f>
        <v>1210</v>
      </c>
      <c r="I6" s="15">
        <v>3</v>
      </c>
      <c r="J6" s="15"/>
      <c r="K6" s="16"/>
      <c r="L6" s="15"/>
      <c r="M6" s="15"/>
      <c r="N6" s="15"/>
      <c r="O6" s="15"/>
      <c r="P6" s="15"/>
      <c r="Q6" s="15"/>
      <c r="R6" s="15">
        <v>3</v>
      </c>
      <c r="S6" s="45"/>
      <c r="T6" s="50">
        <f>SUM(L6:S6)</f>
        <v>3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1210</v>
      </c>
      <c r="I49" s="41">
        <f>SUM(I6:I48)</f>
        <v>3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3</v>
      </c>
      <c r="S49" s="44">
        <f t="shared" si="2"/>
        <v>0</v>
      </c>
      <c r="T49" s="53">
        <f t="shared" si="2"/>
        <v>3</v>
      </c>
      <c r="U49" s="43" t="str">
        <f>IF(T49=SUM(I49),"OK","NG")</f>
        <v>OK</v>
      </c>
    </row>
  </sheetData>
  <autoFilter ref="A5:U49" xr:uid="{00000000-0009-0000-0000-000007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49" priority="1" operator="containsText" text="NG">
      <formula>NOT(ISERROR(SEARCH("NG",A4)))</formula>
    </cfRule>
    <cfRule type="containsText" dxfId="48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P14" sqref="P14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1370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4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3</v>
      </c>
      <c r="S2" s="5">
        <f>SUBTOTAL(9,S6:S48)</f>
        <v>0</v>
      </c>
      <c r="T2" s="48">
        <f>SUBTOTAL(9,T6:T48)</f>
        <v>4</v>
      </c>
      <c r="U2" s="75"/>
    </row>
    <row r="3" spans="1:21" ht="22.5" customHeight="1" thickBot="1" x14ac:dyDescent="0.35">
      <c r="A3" s="38" t="s">
        <v>14</v>
      </c>
      <c r="B3" s="77">
        <f>IF(ISERROR(B2/(B2+B1)*1000000),"",(B2/(B2+B1)*1000000))</f>
        <v>2911.2081513828239</v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3</v>
      </c>
      <c r="S3" s="8">
        <f>SUM(S6:S48)</f>
        <v>0</v>
      </c>
      <c r="T3" s="49">
        <f>SUM(T6:T48)</f>
        <v>4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26</v>
      </c>
      <c r="M4" s="69" t="s">
        <v>32</v>
      </c>
      <c r="N4" s="69" t="s">
        <v>37</v>
      </c>
      <c r="O4" s="69" t="s">
        <v>43</v>
      </c>
      <c r="P4" s="69" t="s">
        <v>48</v>
      </c>
      <c r="Q4" s="69" t="s">
        <v>54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>
        <f>460+460+450</f>
        <v>1370</v>
      </c>
      <c r="I6" s="15">
        <v>4</v>
      </c>
      <c r="J6" s="15"/>
      <c r="K6" s="16"/>
      <c r="L6" s="15"/>
      <c r="M6" s="15"/>
      <c r="N6" s="15"/>
      <c r="O6" s="15"/>
      <c r="P6" s="15">
        <v>1</v>
      </c>
      <c r="Q6" s="15"/>
      <c r="R6" s="15">
        <v>3</v>
      </c>
      <c r="S6" s="45"/>
      <c r="T6" s="50">
        <f>SUM(L6:S6)</f>
        <v>4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1370</v>
      </c>
      <c r="I49" s="41">
        <f>SUM(I6:I48)</f>
        <v>4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1</v>
      </c>
      <c r="Q49" s="40">
        <f t="shared" si="2"/>
        <v>0</v>
      </c>
      <c r="R49" s="40">
        <f t="shared" si="2"/>
        <v>3</v>
      </c>
      <c r="S49" s="44">
        <f t="shared" si="2"/>
        <v>0</v>
      </c>
      <c r="T49" s="53">
        <f t="shared" si="2"/>
        <v>4</v>
      </c>
      <c r="U49" s="43" t="str">
        <f>IF(T49=SUM(I49),"OK","NG")</f>
        <v>OK</v>
      </c>
    </row>
  </sheetData>
  <autoFilter ref="A5:U49" xr:uid="{00000000-0009-0000-0000-000008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47" priority="1" operator="containsText" text="NG">
      <formula>NOT(ISERROR(SEARCH("NG",A4)))</formula>
    </cfRule>
    <cfRule type="containsText" dxfId="46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Q14" sqref="Q14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750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1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1</v>
      </c>
      <c r="S2" s="5">
        <f>SUBTOTAL(9,S6:S48)</f>
        <v>0</v>
      </c>
      <c r="T2" s="48">
        <f>SUBTOTAL(9,T6:T48)</f>
        <v>1</v>
      </c>
      <c r="U2" s="75"/>
    </row>
    <row r="3" spans="1:21" ht="22.5" customHeight="1" thickBot="1" x14ac:dyDescent="0.35">
      <c r="A3" s="38" t="s">
        <v>14</v>
      </c>
      <c r="B3" s="77">
        <f>IF(ISERROR(B2/(B2+B1)*1000000),"",(B2/(B2+B1)*1000000))</f>
        <v>1331.5579227696405</v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1</v>
      </c>
      <c r="S3" s="8">
        <f>SUM(S6:S48)</f>
        <v>0</v>
      </c>
      <c r="T3" s="49">
        <f>SUM(T6:T48)</f>
        <v>1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26</v>
      </c>
      <c r="M4" s="69" t="s">
        <v>32</v>
      </c>
      <c r="N4" s="69" t="s">
        <v>37</v>
      </c>
      <c r="O4" s="69" t="s">
        <v>43</v>
      </c>
      <c r="P4" s="69" t="s">
        <v>48</v>
      </c>
      <c r="Q4" s="69" t="s">
        <v>53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>
        <f>470+280</f>
        <v>750</v>
      </c>
      <c r="I6" s="15">
        <v>1</v>
      </c>
      <c r="J6" s="15"/>
      <c r="K6" s="16"/>
      <c r="L6" s="15"/>
      <c r="M6" s="15"/>
      <c r="N6" s="15"/>
      <c r="O6" s="15"/>
      <c r="P6" s="15"/>
      <c r="Q6" s="15"/>
      <c r="R6" s="15">
        <v>1</v>
      </c>
      <c r="S6" s="45"/>
      <c r="T6" s="50">
        <f>SUM(L6:S6)</f>
        <v>1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750</v>
      </c>
      <c r="I49" s="41">
        <f>SUM(I6:I48)</f>
        <v>1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1</v>
      </c>
      <c r="S49" s="44">
        <f t="shared" si="2"/>
        <v>0</v>
      </c>
      <c r="T49" s="53">
        <f t="shared" si="2"/>
        <v>1</v>
      </c>
      <c r="U49" s="43" t="str">
        <f>IF(T49=SUM(I49),"OK","NG")</f>
        <v>OK</v>
      </c>
    </row>
  </sheetData>
  <autoFilter ref="A5:U49" xr:uid="{00000000-0009-0000-0000-000009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45" priority="1" operator="containsText" text="NG">
      <formula>NOT(ISERROR(SEARCH("NG",A4)))</formula>
    </cfRule>
    <cfRule type="containsText" dxfId="44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O15" sqref="O15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0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0</v>
      </c>
      <c r="S2" s="5">
        <f>SUBTOTAL(9,S6:S48)</f>
        <v>0</v>
      </c>
      <c r="T2" s="48">
        <f>SUBTOTAL(9,T6:T48)</f>
        <v>0</v>
      </c>
      <c r="U2" s="75"/>
    </row>
    <row r="3" spans="1:21" ht="22.5" customHeight="1" thickBot="1" x14ac:dyDescent="0.35">
      <c r="A3" s="38" t="s">
        <v>14</v>
      </c>
      <c r="B3" s="77" t="str">
        <f>IF(ISERROR(B2/(B2+B1)*1000000),"",(B2/(B2+B1)*1000000))</f>
        <v/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0</v>
      </c>
      <c r="S3" s="8">
        <f>SUM(S6:S48)</f>
        <v>0</v>
      </c>
      <c r="T3" s="49">
        <f>SUM(T6:T48)</f>
        <v>0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27</v>
      </c>
      <c r="M4" s="69" t="s">
        <v>33</v>
      </c>
      <c r="N4" s="69" t="s">
        <v>38</v>
      </c>
      <c r="O4" s="69" t="s">
        <v>44</v>
      </c>
      <c r="P4" s="69" t="s">
        <v>49</v>
      </c>
      <c r="Q4" s="69" t="s">
        <v>53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/>
      <c r="I6" s="15"/>
      <c r="J6" s="15"/>
      <c r="K6" s="16"/>
      <c r="L6" s="15"/>
      <c r="M6" s="15"/>
      <c r="N6" s="15"/>
      <c r="O6" s="15"/>
      <c r="P6" s="15"/>
      <c r="Q6" s="15"/>
      <c r="R6" s="15"/>
      <c r="S6" s="45"/>
      <c r="T6" s="50">
        <f>SUM(L6:S6)</f>
        <v>0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0</v>
      </c>
      <c r="I49" s="41">
        <f>SUM(I6:I48)</f>
        <v>0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0</v>
      </c>
      <c r="S49" s="44">
        <f t="shared" si="2"/>
        <v>0</v>
      </c>
      <c r="T49" s="53">
        <f t="shared" si="2"/>
        <v>0</v>
      </c>
      <c r="U49" s="43" t="str">
        <f>IF(T49=SUM(I49),"OK","NG")</f>
        <v>OK</v>
      </c>
    </row>
  </sheetData>
  <autoFilter ref="A5:U49" xr:uid="{00000000-0009-0000-0000-00000A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43" priority="1" operator="containsText" text="NG">
      <formula>NOT(ISERROR(SEARCH("NG",A4)))</formula>
    </cfRule>
    <cfRule type="containsText" dxfId="42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O15" sqref="O15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0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0</v>
      </c>
      <c r="S2" s="5">
        <f>SUBTOTAL(9,S6:S48)</f>
        <v>0</v>
      </c>
      <c r="T2" s="48">
        <f>SUBTOTAL(9,T6:T48)</f>
        <v>0</v>
      </c>
      <c r="U2" s="75"/>
    </row>
    <row r="3" spans="1:21" ht="22.5" customHeight="1" thickBot="1" x14ac:dyDescent="0.35">
      <c r="A3" s="38" t="s">
        <v>14</v>
      </c>
      <c r="B3" s="77" t="str">
        <f>IF(ISERROR(B2/(B2+B1)*1000000),"",(B2/(B2+B1)*1000000))</f>
        <v/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0</v>
      </c>
      <c r="S3" s="8">
        <f>SUM(S6:S48)</f>
        <v>0</v>
      </c>
      <c r="T3" s="49">
        <f>SUM(T6:T48)</f>
        <v>0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26</v>
      </c>
      <c r="M4" s="69" t="s">
        <v>32</v>
      </c>
      <c r="N4" s="69" t="s">
        <v>37</v>
      </c>
      <c r="O4" s="69" t="s">
        <v>43</v>
      </c>
      <c r="P4" s="69" t="s">
        <v>48</v>
      </c>
      <c r="Q4" s="69" t="s">
        <v>54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/>
      <c r="I6" s="15"/>
      <c r="J6" s="15"/>
      <c r="K6" s="16"/>
      <c r="L6" s="15"/>
      <c r="M6" s="15"/>
      <c r="N6" s="15"/>
      <c r="O6" s="15"/>
      <c r="P6" s="15"/>
      <c r="Q6" s="15"/>
      <c r="R6" s="15"/>
      <c r="S6" s="45"/>
      <c r="T6" s="50">
        <f>SUM(L6:S6)</f>
        <v>0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0</v>
      </c>
      <c r="I49" s="41">
        <f>SUM(I6:I48)</f>
        <v>0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0</v>
      </c>
      <c r="S49" s="44">
        <f t="shared" si="2"/>
        <v>0</v>
      </c>
      <c r="T49" s="53">
        <f t="shared" si="2"/>
        <v>0</v>
      </c>
      <c r="U49" s="43" t="str">
        <f>IF(T49=SUM(I49),"OK","NG")</f>
        <v>OK</v>
      </c>
    </row>
  </sheetData>
  <autoFilter ref="A5:U49" xr:uid="{00000000-0009-0000-0000-00000B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41" priority="1" operator="containsText" text="NG">
      <formula>NOT(ISERROR(SEARCH("NG",A4)))</formula>
    </cfRule>
    <cfRule type="containsText" dxfId="40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R10" sqref="R10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510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2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2</v>
      </c>
      <c r="S2" s="5">
        <f>SUBTOTAL(9,S6:S48)</f>
        <v>0</v>
      </c>
      <c r="T2" s="48">
        <f>SUBTOTAL(9,T6:T48)</f>
        <v>2</v>
      </c>
      <c r="U2" s="75"/>
    </row>
    <row r="3" spans="1:21" ht="22.5" customHeight="1" thickBot="1" x14ac:dyDescent="0.35">
      <c r="A3" s="38" t="s">
        <v>14</v>
      </c>
      <c r="B3" s="77">
        <f>IF(ISERROR(B2/(B2+B1)*1000000),"",(B2/(B2+B1)*1000000))</f>
        <v>3906.25</v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2</v>
      </c>
      <c r="S3" s="8">
        <f>SUM(S6:S48)</f>
        <v>0</v>
      </c>
      <c r="T3" s="49">
        <f>SUM(T6:T48)</f>
        <v>2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26</v>
      </c>
      <c r="M4" s="69" t="s">
        <v>32</v>
      </c>
      <c r="N4" s="69" t="s">
        <v>37</v>
      </c>
      <c r="O4" s="69" t="s">
        <v>43</v>
      </c>
      <c r="P4" s="69" t="s">
        <v>48</v>
      </c>
      <c r="Q4" s="69" t="s">
        <v>53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>
        <f>160+350</f>
        <v>510</v>
      </c>
      <c r="I6" s="15">
        <v>2</v>
      </c>
      <c r="J6" s="15"/>
      <c r="K6" s="16"/>
      <c r="L6" s="15"/>
      <c r="M6" s="15"/>
      <c r="N6" s="15"/>
      <c r="O6" s="15"/>
      <c r="P6" s="15"/>
      <c r="Q6" s="15"/>
      <c r="R6" s="15">
        <v>2</v>
      </c>
      <c r="S6" s="45"/>
      <c r="T6" s="50">
        <f>SUM(L6:S6)</f>
        <v>2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510</v>
      </c>
      <c r="I49" s="41">
        <f>SUM(I6:I48)</f>
        <v>2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2</v>
      </c>
      <c r="S49" s="44">
        <f t="shared" si="2"/>
        <v>0</v>
      </c>
      <c r="T49" s="53">
        <f t="shared" si="2"/>
        <v>2</v>
      </c>
      <c r="U49" s="43" t="str">
        <f>IF(T49=SUM(I49),"OK","NG")</f>
        <v>OK</v>
      </c>
    </row>
  </sheetData>
  <autoFilter ref="A5:U49" xr:uid="{00000000-0009-0000-0000-00000C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39" priority="1" operator="containsText" text="NG">
      <formula>NOT(ISERROR(SEARCH("NG",A4)))</formula>
    </cfRule>
    <cfRule type="containsText" dxfId="38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I7" sqref="I7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360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2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2</v>
      </c>
      <c r="S2" s="5">
        <f>SUBTOTAL(9,S6:S48)</f>
        <v>0</v>
      </c>
      <c r="T2" s="48">
        <f>SUBTOTAL(9,T6:T48)</f>
        <v>2</v>
      </c>
      <c r="U2" s="75"/>
    </row>
    <row r="3" spans="1:21" ht="22.5" customHeight="1" thickBot="1" x14ac:dyDescent="0.35">
      <c r="A3" s="38" t="s">
        <v>14</v>
      </c>
      <c r="B3" s="77">
        <f>IF(ISERROR(B2/(B2+B1)*1000000),"",(B2/(B2+B1)*1000000))</f>
        <v>5524.8618784530381</v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2</v>
      </c>
      <c r="S3" s="8">
        <f>SUM(S6:S48)</f>
        <v>0</v>
      </c>
      <c r="T3" s="49">
        <f>SUM(T6:T48)</f>
        <v>2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26</v>
      </c>
      <c r="M4" s="69" t="s">
        <v>32</v>
      </c>
      <c r="N4" s="69" t="s">
        <v>37</v>
      </c>
      <c r="O4" s="69" t="s">
        <v>43</v>
      </c>
      <c r="P4" s="69" t="s">
        <v>48</v>
      </c>
      <c r="Q4" s="69" t="s">
        <v>53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>
        <v>360</v>
      </c>
      <c r="I6" s="15">
        <v>2</v>
      </c>
      <c r="J6" s="15"/>
      <c r="K6" s="16"/>
      <c r="L6" s="15"/>
      <c r="M6" s="15"/>
      <c r="N6" s="15"/>
      <c r="O6" s="15"/>
      <c r="P6" s="15"/>
      <c r="Q6" s="15"/>
      <c r="R6" s="15">
        <v>2</v>
      </c>
      <c r="S6" s="45"/>
      <c r="T6" s="50">
        <f>SUM(L6:S6)</f>
        <v>2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360</v>
      </c>
      <c r="I49" s="41">
        <f>SUM(I6:I48)</f>
        <v>2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2</v>
      </c>
      <c r="S49" s="44">
        <f t="shared" si="2"/>
        <v>0</v>
      </c>
      <c r="T49" s="53">
        <f t="shared" si="2"/>
        <v>2</v>
      </c>
      <c r="U49" s="43" t="str">
        <f>IF(T49=SUM(I49),"OK","NG")</f>
        <v>OK</v>
      </c>
    </row>
  </sheetData>
  <autoFilter ref="A5:U49" xr:uid="{00000000-0009-0000-0000-00000D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37" priority="1" operator="containsText" text="NG">
      <formula>NOT(ISERROR(SEARCH("NG",A4)))</formula>
    </cfRule>
    <cfRule type="containsText" dxfId="36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I7" sqref="I7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760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18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16</v>
      </c>
      <c r="S2" s="5">
        <f>SUBTOTAL(9,S6:S48)</f>
        <v>0</v>
      </c>
      <c r="T2" s="48">
        <f>SUBTOTAL(9,T6:T48)</f>
        <v>18</v>
      </c>
      <c r="U2" s="75"/>
    </row>
    <row r="3" spans="1:21" ht="22.5" customHeight="1" thickBot="1" x14ac:dyDescent="0.35">
      <c r="A3" s="38" t="s">
        <v>14</v>
      </c>
      <c r="B3" s="77">
        <f>IF(ISERROR(B2/(B2+B1)*1000000),"",(B2/(B2+B1)*1000000))</f>
        <v>23136.24678663239</v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16</v>
      </c>
      <c r="S3" s="8">
        <f>SUM(S6:S48)</f>
        <v>0</v>
      </c>
      <c r="T3" s="49">
        <f>SUM(T6:T48)</f>
        <v>18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26</v>
      </c>
      <c r="M4" s="69" t="s">
        <v>32</v>
      </c>
      <c r="N4" s="69" t="s">
        <v>37</v>
      </c>
      <c r="O4" s="69" t="s">
        <v>43</v>
      </c>
      <c r="P4" s="69" t="s">
        <v>48</v>
      </c>
      <c r="Q4" s="69" t="s">
        <v>53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>
        <f>330+230+200</f>
        <v>760</v>
      </c>
      <c r="I6" s="15">
        <v>18</v>
      </c>
      <c r="J6" s="15"/>
      <c r="K6" s="16"/>
      <c r="L6" s="15"/>
      <c r="M6" s="15"/>
      <c r="N6" s="15"/>
      <c r="O6" s="15"/>
      <c r="P6" s="15">
        <v>2</v>
      </c>
      <c r="Q6" s="15"/>
      <c r="R6" s="15">
        <v>16</v>
      </c>
      <c r="S6" s="45"/>
      <c r="T6" s="50">
        <f>SUM(L6:S6)</f>
        <v>18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760</v>
      </c>
      <c r="I49" s="41">
        <f>SUM(I6:I48)</f>
        <v>18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2</v>
      </c>
      <c r="Q49" s="40">
        <f t="shared" si="2"/>
        <v>0</v>
      </c>
      <c r="R49" s="40">
        <f t="shared" si="2"/>
        <v>16</v>
      </c>
      <c r="S49" s="44">
        <f t="shared" si="2"/>
        <v>0</v>
      </c>
      <c r="T49" s="53">
        <f t="shared" si="2"/>
        <v>18</v>
      </c>
      <c r="U49" s="43" t="str">
        <f>IF(T49=SUM(I49),"OK","NG")</f>
        <v>OK</v>
      </c>
    </row>
  </sheetData>
  <autoFilter ref="A5:U49" xr:uid="{00000000-0009-0000-0000-00000E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35" priority="1" operator="containsText" text="NG">
      <formula>NOT(ISERROR(SEARCH("NG",A4)))</formula>
    </cfRule>
    <cfRule type="containsText" dxfId="34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O15" sqref="O15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0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0</v>
      </c>
      <c r="S2" s="5">
        <f>SUBTOTAL(9,S6:S48)</f>
        <v>0</v>
      </c>
      <c r="T2" s="48">
        <f>SUBTOTAL(9,T6:T48)</f>
        <v>0</v>
      </c>
      <c r="U2" s="75"/>
    </row>
    <row r="3" spans="1:21" ht="22.5" customHeight="1" thickBot="1" x14ac:dyDescent="0.35">
      <c r="A3" s="38" t="s">
        <v>14</v>
      </c>
      <c r="B3" s="77" t="str">
        <f>IF(ISERROR(B2/(B2+B1)*1000000),"",(B2/(B2+B1)*1000000))</f>
        <v/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0</v>
      </c>
      <c r="S3" s="8">
        <f>SUM(S6:S48)</f>
        <v>0</v>
      </c>
      <c r="T3" s="49">
        <f>SUM(T6:T48)</f>
        <v>0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26</v>
      </c>
      <c r="M4" s="69" t="s">
        <v>32</v>
      </c>
      <c r="N4" s="69" t="s">
        <v>37</v>
      </c>
      <c r="O4" s="69" t="s">
        <v>43</v>
      </c>
      <c r="P4" s="69" t="s">
        <v>48</v>
      </c>
      <c r="Q4" s="69" t="s">
        <v>53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/>
      <c r="I6" s="15"/>
      <c r="J6" s="15"/>
      <c r="K6" s="16"/>
      <c r="L6" s="15"/>
      <c r="M6" s="15"/>
      <c r="N6" s="15"/>
      <c r="O6" s="15"/>
      <c r="P6" s="15"/>
      <c r="Q6" s="15"/>
      <c r="R6" s="15"/>
      <c r="S6" s="45"/>
      <c r="T6" s="50">
        <f>SUM(L6:S6)</f>
        <v>0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0</v>
      </c>
      <c r="I49" s="41">
        <f>SUM(I6:I48)</f>
        <v>0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0</v>
      </c>
      <c r="S49" s="44">
        <f t="shared" si="2"/>
        <v>0</v>
      </c>
      <c r="T49" s="53">
        <f t="shared" si="2"/>
        <v>0</v>
      </c>
      <c r="U49" s="43" t="str">
        <f>IF(T49=SUM(I49),"OK","NG")</f>
        <v>OK</v>
      </c>
    </row>
  </sheetData>
  <autoFilter ref="A5:U49" xr:uid="{00000000-0009-0000-0000-00000F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33" priority="1" operator="containsText" text="NG">
      <formula>NOT(ISERROR(SEARCH("NG",A4)))</formula>
    </cfRule>
    <cfRule type="containsText" dxfId="32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O15" sqref="O15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0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0</v>
      </c>
      <c r="S2" s="5">
        <f>SUBTOTAL(9,S6:S48)</f>
        <v>0</v>
      </c>
      <c r="T2" s="48">
        <f>SUBTOTAL(9,T6:T48)</f>
        <v>0</v>
      </c>
      <c r="U2" s="75"/>
    </row>
    <row r="3" spans="1:21" ht="22.5" customHeight="1" thickBot="1" x14ac:dyDescent="0.35">
      <c r="A3" s="38" t="s">
        <v>14</v>
      </c>
      <c r="B3" s="77" t="str">
        <f>IF(ISERROR(B2/(B2+B1)*1000000),"",(B2/(B2+B1)*1000000))</f>
        <v/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0</v>
      </c>
      <c r="S3" s="8">
        <f>SUM(S6:S48)</f>
        <v>0</v>
      </c>
      <c r="T3" s="49">
        <f>SUM(T6:T48)</f>
        <v>0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27</v>
      </c>
      <c r="M4" s="69" t="s">
        <v>33</v>
      </c>
      <c r="N4" s="69" t="s">
        <v>38</v>
      </c>
      <c r="O4" s="69" t="s">
        <v>44</v>
      </c>
      <c r="P4" s="69" t="s">
        <v>49</v>
      </c>
      <c r="Q4" s="69" t="s">
        <v>53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/>
      <c r="I6" s="15"/>
      <c r="J6" s="15"/>
      <c r="K6" s="16"/>
      <c r="L6" s="15"/>
      <c r="M6" s="15"/>
      <c r="N6" s="15"/>
      <c r="O6" s="15"/>
      <c r="P6" s="15"/>
      <c r="Q6" s="15"/>
      <c r="R6" s="15"/>
      <c r="S6" s="45"/>
      <c r="T6" s="50">
        <f>SUM(L6:S6)</f>
        <v>0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0</v>
      </c>
      <c r="I49" s="41">
        <f>SUM(I6:I48)</f>
        <v>0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0</v>
      </c>
      <c r="S49" s="44">
        <f t="shared" si="2"/>
        <v>0</v>
      </c>
      <c r="T49" s="53">
        <f t="shared" si="2"/>
        <v>0</v>
      </c>
      <c r="U49" s="43" t="str">
        <f>IF(T49=SUM(I49),"OK","NG")</f>
        <v>OK</v>
      </c>
    </row>
  </sheetData>
  <autoFilter ref="A5:U49" xr:uid="{00000000-0009-0000-0000-000010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31" priority="1" operator="containsText" text="NG">
      <formula>NOT(ISERROR(SEARCH("NG",A4)))</formula>
    </cfRule>
    <cfRule type="containsText" dxfId="30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O15" sqref="O15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0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0</v>
      </c>
      <c r="S2" s="5">
        <f>SUBTOTAL(9,S6:S48)</f>
        <v>0</v>
      </c>
      <c r="T2" s="48">
        <f>SUBTOTAL(9,T6:T48)</f>
        <v>0</v>
      </c>
      <c r="U2" s="75"/>
    </row>
    <row r="3" spans="1:21" ht="22.5" customHeight="1" thickBot="1" x14ac:dyDescent="0.35">
      <c r="A3" s="38" t="s">
        <v>14</v>
      </c>
      <c r="B3" s="77" t="str">
        <f>IF(ISERROR(B2/(B2+B1)*1000000),"",(B2/(B2+B1)*1000000))</f>
        <v/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0</v>
      </c>
      <c r="S3" s="8">
        <f>SUM(S6:S48)</f>
        <v>0</v>
      </c>
      <c r="T3" s="49">
        <f>SUM(T6:T48)</f>
        <v>0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26</v>
      </c>
      <c r="M4" s="69" t="s">
        <v>32</v>
      </c>
      <c r="N4" s="69" t="s">
        <v>37</v>
      </c>
      <c r="O4" s="69" t="s">
        <v>43</v>
      </c>
      <c r="P4" s="69" t="s">
        <v>48</v>
      </c>
      <c r="Q4" s="69" t="s">
        <v>54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/>
      <c r="I6" s="15"/>
      <c r="J6" s="15"/>
      <c r="K6" s="16"/>
      <c r="L6" s="15"/>
      <c r="M6" s="15"/>
      <c r="N6" s="15"/>
      <c r="O6" s="15"/>
      <c r="P6" s="15"/>
      <c r="Q6" s="15"/>
      <c r="R6" s="15"/>
      <c r="S6" s="45"/>
      <c r="T6" s="50">
        <f>SUM(L6:S6)</f>
        <v>0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0</v>
      </c>
      <c r="I49" s="41">
        <f>SUM(I6:I48)</f>
        <v>0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0</v>
      </c>
      <c r="S49" s="44">
        <f t="shared" si="2"/>
        <v>0</v>
      </c>
      <c r="T49" s="53">
        <f t="shared" si="2"/>
        <v>0</v>
      </c>
      <c r="U49" s="43" t="str">
        <f>IF(T49=SUM(I49),"OK","NG")</f>
        <v>OK</v>
      </c>
    </row>
  </sheetData>
  <autoFilter ref="A5:U49" xr:uid="{00000000-0009-0000-0000-000011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29" priority="1" operator="containsText" text="NG">
      <formula>NOT(ISERROR(SEARCH("NG",A4)))</formula>
    </cfRule>
    <cfRule type="containsText" dxfId="28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O15" sqref="O15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0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0</v>
      </c>
      <c r="S2" s="5">
        <f>SUBTOTAL(9,S6:S48)</f>
        <v>0</v>
      </c>
      <c r="T2" s="48">
        <f>SUBTOTAL(9,T6:T48)</f>
        <v>0</v>
      </c>
      <c r="U2" s="75"/>
    </row>
    <row r="3" spans="1:21" ht="22.5" customHeight="1" thickBot="1" x14ac:dyDescent="0.35">
      <c r="A3" s="38" t="s">
        <v>14</v>
      </c>
      <c r="B3" s="77" t="str">
        <f>IF(ISERROR(B2/(B2+B1)*1000000),"",(B2/(B2+B1)*1000000))</f>
        <v/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0</v>
      </c>
      <c r="S3" s="8">
        <f>SUM(S6:S48)</f>
        <v>0</v>
      </c>
      <c r="T3" s="49">
        <f>SUM(T6:T48)</f>
        <v>0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26</v>
      </c>
      <c r="M4" s="69" t="s">
        <v>32</v>
      </c>
      <c r="N4" s="69" t="s">
        <v>37</v>
      </c>
      <c r="O4" s="69" t="s">
        <v>43</v>
      </c>
      <c r="P4" s="69" t="s">
        <v>48</v>
      </c>
      <c r="Q4" s="69" t="s">
        <v>53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/>
      <c r="I6" s="15"/>
      <c r="J6" s="15"/>
      <c r="K6" s="16"/>
      <c r="L6" s="15"/>
      <c r="M6" s="15"/>
      <c r="N6" s="15"/>
      <c r="O6" s="15"/>
      <c r="P6" s="15"/>
      <c r="Q6" s="15"/>
      <c r="R6" s="15"/>
      <c r="S6" s="45"/>
      <c r="T6" s="50">
        <f>SUM(L6:S6)</f>
        <v>0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0</v>
      </c>
      <c r="I49" s="41">
        <f>SUM(I6:I48)</f>
        <v>0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0</v>
      </c>
      <c r="S49" s="44">
        <f t="shared" si="2"/>
        <v>0</v>
      </c>
      <c r="T49" s="53">
        <f t="shared" si="2"/>
        <v>0</v>
      </c>
      <c r="U49" s="43" t="str">
        <f>IF(T49=SUM(I49),"OK","NG")</f>
        <v>OK</v>
      </c>
    </row>
  </sheetData>
  <autoFilter ref="A5:U49" xr:uid="{00000000-0009-0000-0000-000012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27" priority="1" operator="containsText" text="NG">
      <formula>NOT(ISERROR(SEARCH("NG",A4)))</formula>
    </cfRule>
    <cfRule type="containsText" dxfId="26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O15" sqref="O15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0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0</v>
      </c>
      <c r="S2" s="5">
        <f>SUBTOTAL(9,S6:S48)</f>
        <v>0</v>
      </c>
      <c r="T2" s="48">
        <f>SUBTOTAL(9,T6:T48)</f>
        <v>0</v>
      </c>
      <c r="U2" s="75"/>
    </row>
    <row r="3" spans="1:21" ht="22.5" customHeight="1" thickBot="1" x14ac:dyDescent="0.35">
      <c r="A3" s="38" t="s">
        <v>14</v>
      </c>
      <c r="B3" s="77" t="str">
        <f>IF(ISERROR(B2/(B2+B1)*1000000),"",(B2/(B2+B1)*1000000))</f>
        <v/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0</v>
      </c>
      <c r="S3" s="8">
        <f>SUM(S6:S48)</f>
        <v>0</v>
      </c>
      <c r="T3" s="49">
        <f>SUM(T6:T48)</f>
        <v>0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26</v>
      </c>
      <c r="M4" s="69" t="s">
        <v>32</v>
      </c>
      <c r="N4" s="69" t="s">
        <v>37</v>
      </c>
      <c r="O4" s="69" t="s">
        <v>43</v>
      </c>
      <c r="P4" s="69" t="s">
        <v>48</v>
      </c>
      <c r="Q4" s="69" t="s">
        <v>53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/>
      <c r="I6" s="15"/>
      <c r="J6" s="15"/>
      <c r="K6" s="16"/>
      <c r="L6" s="15"/>
      <c r="M6" s="15"/>
      <c r="N6" s="15"/>
      <c r="O6" s="15"/>
      <c r="P6" s="15"/>
      <c r="Q6" s="15"/>
      <c r="R6" s="15"/>
      <c r="S6" s="45"/>
      <c r="T6" s="50">
        <f>SUM(L6:S6)</f>
        <v>0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0</v>
      </c>
      <c r="I49" s="41">
        <f>SUM(I6:I48)</f>
        <v>0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0</v>
      </c>
      <c r="S49" s="44">
        <f t="shared" si="2"/>
        <v>0</v>
      </c>
      <c r="T49" s="53">
        <f t="shared" si="2"/>
        <v>0</v>
      </c>
      <c r="U49" s="43" t="str">
        <f>IF(T49=SUM(I49),"OK","NG")</f>
        <v>OK</v>
      </c>
    </row>
  </sheetData>
  <autoFilter ref="A5:U49" xr:uid="{00000000-0009-0000-0000-000013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25" priority="1" operator="containsText" text="NG">
      <formula>NOT(ISERROR(SEARCH("NG",A4)))</formula>
    </cfRule>
    <cfRule type="containsText" dxfId="24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O15" sqref="O15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0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0</v>
      </c>
      <c r="S2" s="5">
        <f>SUBTOTAL(9,S6:S48)</f>
        <v>0</v>
      </c>
      <c r="T2" s="48">
        <f>SUBTOTAL(9,T6:T48)</f>
        <v>0</v>
      </c>
      <c r="U2" s="75"/>
    </row>
    <row r="3" spans="1:21" ht="22.5" customHeight="1" thickBot="1" x14ac:dyDescent="0.35">
      <c r="A3" s="38" t="s">
        <v>14</v>
      </c>
      <c r="B3" s="77" t="str">
        <f>IF(ISERROR(B2/(B2+B1)*1000000),"",(B2/(B2+B1)*1000000))</f>
        <v/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0</v>
      </c>
      <c r="S3" s="8">
        <f>SUM(S6:S48)</f>
        <v>0</v>
      </c>
      <c r="T3" s="49">
        <f>SUM(T6:T48)</f>
        <v>0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26</v>
      </c>
      <c r="M4" s="69" t="s">
        <v>32</v>
      </c>
      <c r="N4" s="69" t="s">
        <v>37</v>
      </c>
      <c r="O4" s="69" t="s">
        <v>43</v>
      </c>
      <c r="P4" s="69" t="s">
        <v>48</v>
      </c>
      <c r="Q4" s="69" t="s">
        <v>53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/>
      <c r="I6" s="15"/>
      <c r="J6" s="15"/>
      <c r="K6" s="16"/>
      <c r="L6" s="15"/>
      <c r="M6" s="15"/>
      <c r="N6" s="15"/>
      <c r="O6" s="15"/>
      <c r="P6" s="15"/>
      <c r="Q6" s="15"/>
      <c r="R6" s="15"/>
      <c r="S6" s="45"/>
      <c r="T6" s="50">
        <f>SUM(L6:S6)</f>
        <v>0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0</v>
      </c>
      <c r="I49" s="41">
        <f>SUM(I6:I48)</f>
        <v>0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0</v>
      </c>
      <c r="S49" s="44">
        <f t="shared" si="2"/>
        <v>0</v>
      </c>
      <c r="T49" s="53">
        <f t="shared" si="2"/>
        <v>0</v>
      </c>
      <c r="U49" s="43" t="str">
        <f>IF(T49=SUM(I49),"OK","NG")</f>
        <v>OK</v>
      </c>
    </row>
  </sheetData>
  <autoFilter ref="A5:U49" xr:uid="{00000000-0009-0000-0000-000014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23" priority="1" operator="containsText" text="NG">
      <formula>NOT(ISERROR(SEARCH("NG",A4)))</formula>
    </cfRule>
    <cfRule type="containsText" dxfId="22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I7" sqref="I7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350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2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2</v>
      </c>
      <c r="S2" s="5">
        <f>SUBTOTAL(9,S6:S48)</f>
        <v>0</v>
      </c>
      <c r="T2" s="48">
        <f>SUBTOTAL(9,T6:T48)</f>
        <v>2</v>
      </c>
      <c r="U2" s="75"/>
    </row>
    <row r="3" spans="1:21" ht="22.5" customHeight="1" thickBot="1" x14ac:dyDescent="0.35">
      <c r="A3" s="38" t="s">
        <v>14</v>
      </c>
      <c r="B3" s="77">
        <f>IF(ISERROR(B2/(B2+B1)*1000000),"",(B2/(B2+B1)*1000000))</f>
        <v>5681.818181818182</v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2</v>
      </c>
      <c r="S3" s="8">
        <f>SUM(S6:S48)</f>
        <v>0</v>
      </c>
      <c r="T3" s="49">
        <f>SUM(T6:T48)</f>
        <v>2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26</v>
      </c>
      <c r="M4" s="69" t="s">
        <v>32</v>
      </c>
      <c r="N4" s="69" t="s">
        <v>37</v>
      </c>
      <c r="O4" s="69" t="s">
        <v>43</v>
      </c>
      <c r="P4" s="69" t="s">
        <v>48</v>
      </c>
      <c r="Q4" s="69" t="s">
        <v>53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>
        <v>350</v>
      </c>
      <c r="I6" s="15">
        <v>2</v>
      </c>
      <c r="J6" s="15"/>
      <c r="K6" s="16"/>
      <c r="L6" s="15"/>
      <c r="M6" s="15"/>
      <c r="N6" s="15"/>
      <c r="O6" s="15"/>
      <c r="P6" s="15"/>
      <c r="Q6" s="15"/>
      <c r="R6" s="15">
        <v>2</v>
      </c>
      <c r="S6" s="45"/>
      <c r="T6" s="50">
        <f>SUM(L6:S6)</f>
        <v>2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350</v>
      </c>
      <c r="I49" s="41">
        <f>SUM(I6:I48)</f>
        <v>2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2</v>
      </c>
      <c r="S49" s="44">
        <f t="shared" si="2"/>
        <v>0</v>
      </c>
      <c r="T49" s="53">
        <f t="shared" si="2"/>
        <v>2</v>
      </c>
      <c r="U49" s="43" t="str">
        <f>IF(T49=SUM(I49),"OK","NG")</f>
        <v>OK</v>
      </c>
    </row>
  </sheetData>
  <autoFilter ref="A5:U49" xr:uid="{00000000-0009-0000-0000-000015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21" priority="1" operator="containsText" text="NG">
      <formula>NOT(ISERROR(SEARCH("NG",A4)))</formula>
    </cfRule>
    <cfRule type="containsText" dxfId="20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P22" sqref="P22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810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3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1</v>
      </c>
      <c r="S2" s="5">
        <f>SUBTOTAL(9,S6:S48)</f>
        <v>0</v>
      </c>
      <c r="T2" s="48">
        <f>SUBTOTAL(9,T6:T48)</f>
        <v>3</v>
      </c>
      <c r="U2" s="75"/>
    </row>
    <row r="3" spans="1:21" ht="22.5" customHeight="1" thickBot="1" x14ac:dyDescent="0.35">
      <c r="A3" s="38" t="s">
        <v>14</v>
      </c>
      <c r="B3" s="77">
        <f>IF(ISERROR(B2/(B2+B1)*1000000),"",(B2/(B2+B1)*1000000))</f>
        <v>3690.0369003690034</v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1</v>
      </c>
      <c r="S3" s="8">
        <f>SUM(S6:S48)</f>
        <v>0</v>
      </c>
      <c r="T3" s="49">
        <f>SUM(T6:T48)</f>
        <v>3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24</v>
      </c>
      <c r="M4" s="69" t="s">
        <v>29</v>
      </c>
      <c r="N4" s="69" t="s">
        <v>35</v>
      </c>
      <c r="O4" s="69" t="s">
        <v>40</v>
      </c>
      <c r="P4" s="69" t="s">
        <v>46</v>
      </c>
      <c r="Q4" s="69" t="s">
        <v>53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>
        <f>410+400</f>
        <v>810</v>
      </c>
      <c r="I6" s="15">
        <v>3</v>
      </c>
      <c r="J6" s="15"/>
      <c r="K6" s="16"/>
      <c r="L6" s="15"/>
      <c r="M6" s="15"/>
      <c r="N6" s="15"/>
      <c r="O6" s="15"/>
      <c r="P6" s="15">
        <v>2</v>
      </c>
      <c r="Q6" s="15"/>
      <c r="R6" s="15">
        <v>1</v>
      </c>
      <c r="S6" s="45"/>
      <c r="T6" s="50">
        <f>SUM(L6:S6)</f>
        <v>3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810</v>
      </c>
      <c r="I49" s="41">
        <f>SUM(I6:I48)</f>
        <v>3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2</v>
      </c>
      <c r="Q49" s="40">
        <f t="shared" si="2"/>
        <v>0</v>
      </c>
      <c r="R49" s="40">
        <f t="shared" si="2"/>
        <v>1</v>
      </c>
      <c r="S49" s="44">
        <f t="shared" si="2"/>
        <v>0</v>
      </c>
      <c r="T49" s="53">
        <f t="shared" si="2"/>
        <v>3</v>
      </c>
      <c r="U49" s="43" t="str">
        <f>IF(T49=SUM(I49),"OK","NG")</f>
        <v>OK</v>
      </c>
    </row>
  </sheetData>
  <autoFilter ref="A5:U49" xr:uid="{00000000-0009-0000-0000-000016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19" priority="1" operator="containsText" text="NG">
      <formula>NOT(ISERROR(SEARCH("NG",A4)))</formula>
    </cfRule>
    <cfRule type="containsText" dxfId="18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M14" sqref="M14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503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6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6</v>
      </c>
      <c r="S2" s="5">
        <f>SUBTOTAL(9,S6:S48)</f>
        <v>0</v>
      </c>
      <c r="T2" s="48">
        <f>SUBTOTAL(9,T6:T48)</f>
        <v>6</v>
      </c>
      <c r="U2" s="75"/>
    </row>
    <row r="3" spans="1:21" ht="22.5" customHeight="1" thickBot="1" x14ac:dyDescent="0.35">
      <c r="A3" s="38" t="s">
        <v>14</v>
      </c>
      <c r="B3" s="77">
        <f>IF(ISERROR(B2/(B2+B1)*1000000),"",(B2/(B2+B1)*1000000))</f>
        <v>11787.819253438114</v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6</v>
      </c>
      <c r="S3" s="8">
        <f>SUM(S6:S48)</f>
        <v>0</v>
      </c>
      <c r="T3" s="49">
        <f>SUM(T6:T48)</f>
        <v>6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24</v>
      </c>
      <c r="M4" s="69" t="s">
        <v>29</v>
      </c>
      <c r="N4" s="69" t="s">
        <v>35</v>
      </c>
      <c r="O4" s="69" t="s">
        <v>40</v>
      </c>
      <c r="P4" s="69" t="s">
        <v>47</v>
      </c>
      <c r="Q4" s="69" t="s">
        <v>51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>
        <f>120+130+253</f>
        <v>503</v>
      </c>
      <c r="I6" s="15">
        <v>6</v>
      </c>
      <c r="J6" s="15"/>
      <c r="K6" s="16"/>
      <c r="L6" s="15"/>
      <c r="M6" s="15"/>
      <c r="N6" s="15"/>
      <c r="O6" s="15"/>
      <c r="P6" s="15"/>
      <c r="Q6" s="15"/>
      <c r="R6" s="15">
        <v>6</v>
      </c>
      <c r="S6" s="45"/>
      <c r="T6" s="50">
        <f>SUM(L6:S6)</f>
        <v>6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503</v>
      </c>
      <c r="I49" s="41">
        <f>SUM(I6:I48)</f>
        <v>6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6</v>
      </c>
      <c r="S49" s="44">
        <f t="shared" si="2"/>
        <v>0</v>
      </c>
      <c r="T49" s="53">
        <f t="shared" si="2"/>
        <v>6</v>
      </c>
      <c r="U49" s="43" t="str">
        <f>IF(T49=SUM(I49),"OK","NG")</f>
        <v>OK</v>
      </c>
    </row>
  </sheetData>
  <autoFilter ref="A5:U49" xr:uid="{00000000-0009-0000-0000-000017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17" priority="1" operator="containsText" text="NG">
      <formula>NOT(ISERROR(SEARCH("NG",A4)))</formula>
    </cfRule>
    <cfRule type="containsText" dxfId="16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O15" sqref="O15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0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0</v>
      </c>
      <c r="S2" s="5">
        <f>SUBTOTAL(9,S6:S48)</f>
        <v>0</v>
      </c>
      <c r="T2" s="48">
        <f>SUBTOTAL(9,T6:T48)</f>
        <v>0</v>
      </c>
      <c r="U2" s="75"/>
    </row>
    <row r="3" spans="1:21" ht="22.5" customHeight="1" thickBot="1" x14ac:dyDescent="0.35">
      <c r="A3" s="38" t="s">
        <v>14</v>
      </c>
      <c r="B3" s="77" t="str">
        <f>IF(ISERROR(B2/(B2+B1)*1000000),"",(B2/(B2+B1)*1000000))</f>
        <v/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0</v>
      </c>
      <c r="S3" s="8">
        <f>SUM(S6:S48)</f>
        <v>0</v>
      </c>
      <c r="T3" s="49">
        <f>SUM(T6:T48)</f>
        <v>0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25</v>
      </c>
      <c r="M4" s="69" t="s">
        <v>31</v>
      </c>
      <c r="N4" s="69" t="s">
        <v>36</v>
      </c>
      <c r="O4" s="69" t="s">
        <v>42</v>
      </c>
      <c r="P4" s="69" t="s">
        <v>47</v>
      </c>
      <c r="Q4" s="69" t="s">
        <v>52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/>
      <c r="I6" s="15"/>
      <c r="J6" s="15"/>
      <c r="K6" s="16"/>
      <c r="L6" s="15"/>
      <c r="M6" s="15"/>
      <c r="N6" s="15"/>
      <c r="O6" s="15"/>
      <c r="P6" s="15"/>
      <c r="Q6" s="15"/>
      <c r="R6" s="15"/>
      <c r="S6" s="45"/>
      <c r="T6" s="50">
        <f>SUM(L6:S6)</f>
        <v>0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0</v>
      </c>
      <c r="I49" s="41">
        <f>SUM(I6:I48)</f>
        <v>0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0</v>
      </c>
      <c r="S49" s="44">
        <f t="shared" si="2"/>
        <v>0</v>
      </c>
      <c r="T49" s="53">
        <f t="shared" si="2"/>
        <v>0</v>
      </c>
      <c r="U49" s="43" t="str">
        <f>IF(T49=SUM(I49),"OK","NG")</f>
        <v>OK</v>
      </c>
    </row>
  </sheetData>
  <autoFilter ref="A5:U49" xr:uid="{00000000-0009-0000-0000-000018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15" priority="1" operator="containsText" text="NG">
      <formula>NOT(ISERROR(SEARCH("NG",A4)))</formula>
    </cfRule>
    <cfRule type="containsText" dxfId="14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O15" sqref="O15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0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0</v>
      </c>
      <c r="S2" s="5">
        <f>SUBTOTAL(9,S6:S48)</f>
        <v>0</v>
      </c>
      <c r="T2" s="48">
        <f>SUBTOTAL(9,T6:T48)</f>
        <v>0</v>
      </c>
      <c r="U2" s="75"/>
    </row>
    <row r="3" spans="1:21" ht="22.5" customHeight="1" thickBot="1" x14ac:dyDescent="0.35">
      <c r="A3" s="38" t="s">
        <v>14</v>
      </c>
      <c r="B3" s="77" t="str">
        <f>IF(ISERROR(B2/(B2+B1)*1000000),"",(B2/(B2+B1)*1000000))</f>
        <v/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0</v>
      </c>
      <c r="S3" s="8">
        <f>SUM(S6:S48)</f>
        <v>0</v>
      </c>
      <c r="T3" s="49">
        <f>SUM(T6:T48)</f>
        <v>0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25</v>
      </c>
      <c r="M4" s="69" t="s">
        <v>30</v>
      </c>
      <c r="N4" s="69" t="s">
        <v>36</v>
      </c>
      <c r="O4" s="69" t="s">
        <v>41</v>
      </c>
      <c r="P4" s="69" t="s">
        <v>47</v>
      </c>
      <c r="Q4" s="69" t="s">
        <v>52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/>
      <c r="I6" s="15"/>
      <c r="J6" s="15"/>
      <c r="K6" s="16"/>
      <c r="L6" s="15"/>
      <c r="M6" s="15"/>
      <c r="N6" s="15"/>
      <c r="O6" s="15"/>
      <c r="P6" s="15"/>
      <c r="Q6" s="15"/>
      <c r="R6" s="15"/>
      <c r="S6" s="45"/>
      <c r="T6" s="50">
        <f>SUM(L6:S6)</f>
        <v>0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0</v>
      </c>
      <c r="I49" s="41">
        <f>SUM(I6:I48)</f>
        <v>0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0</v>
      </c>
      <c r="S49" s="44">
        <f t="shared" si="2"/>
        <v>0</v>
      </c>
      <c r="T49" s="53">
        <f t="shared" si="2"/>
        <v>0</v>
      </c>
      <c r="U49" s="43" t="str">
        <f>IF(T49=SUM(I49),"OK","NG")</f>
        <v>OK</v>
      </c>
    </row>
  </sheetData>
  <autoFilter ref="A5:U49" xr:uid="{00000000-0009-0000-0000-000019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13" priority="1" operator="containsText" text="NG">
      <formula>NOT(ISERROR(SEARCH("NG",A4)))</formula>
    </cfRule>
    <cfRule type="containsText" dxfId="12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O15" sqref="O15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0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0</v>
      </c>
      <c r="S2" s="5">
        <f>SUBTOTAL(9,S6:S48)</f>
        <v>0</v>
      </c>
      <c r="T2" s="48">
        <f>SUBTOTAL(9,T6:T48)</f>
        <v>0</v>
      </c>
      <c r="U2" s="75"/>
    </row>
    <row r="3" spans="1:21" ht="22.5" customHeight="1" thickBot="1" x14ac:dyDescent="0.35">
      <c r="A3" s="38" t="s">
        <v>14</v>
      </c>
      <c r="B3" s="77" t="str">
        <f>IF(ISERROR(B2/(B2+B1)*1000000),"",(B2/(B2+B1)*1000000))</f>
        <v/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0</v>
      </c>
      <c r="S3" s="8">
        <f>SUM(S6:S48)</f>
        <v>0</v>
      </c>
      <c r="T3" s="49">
        <f>SUM(T6:T48)</f>
        <v>0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25</v>
      </c>
      <c r="M4" s="69" t="s">
        <v>30</v>
      </c>
      <c r="N4" s="69" t="s">
        <v>36</v>
      </c>
      <c r="O4" s="69" t="s">
        <v>41</v>
      </c>
      <c r="P4" s="69" t="s">
        <v>47</v>
      </c>
      <c r="Q4" s="69" t="s">
        <v>52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/>
      <c r="I6" s="15"/>
      <c r="J6" s="15"/>
      <c r="K6" s="16"/>
      <c r="L6" s="15"/>
      <c r="M6" s="15"/>
      <c r="N6" s="15"/>
      <c r="O6" s="15"/>
      <c r="P6" s="15"/>
      <c r="Q6" s="15"/>
      <c r="R6" s="15"/>
      <c r="S6" s="45"/>
      <c r="T6" s="50">
        <f>SUM(L6:S6)</f>
        <v>0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0</v>
      </c>
      <c r="I49" s="41">
        <f>SUM(I6:I48)</f>
        <v>0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0</v>
      </c>
      <c r="S49" s="44">
        <f t="shared" si="2"/>
        <v>0</v>
      </c>
      <c r="T49" s="53">
        <f t="shared" si="2"/>
        <v>0</v>
      </c>
      <c r="U49" s="43" t="str">
        <f>IF(T49=SUM(I49),"OK","NG")</f>
        <v>OK</v>
      </c>
    </row>
  </sheetData>
  <autoFilter ref="A5:U49" xr:uid="{00000000-0009-0000-0000-00001A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11" priority="1" operator="containsText" text="NG">
      <formula>NOT(ISERROR(SEARCH("NG",A4)))</formula>
    </cfRule>
    <cfRule type="containsText" dxfId="10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H11" sqref="H11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380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12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8</v>
      </c>
      <c r="S2" s="5">
        <f>SUBTOTAL(9,S6:S48)</f>
        <v>0</v>
      </c>
      <c r="T2" s="48">
        <f>SUBTOTAL(9,T6:T48)</f>
        <v>12</v>
      </c>
      <c r="U2" s="75"/>
    </row>
    <row r="3" spans="1:21" ht="22.5" customHeight="1" thickBot="1" x14ac:dyDescent="0.35">
      <c r="A3" s="38" t="s">
        <v>14</v>
      </c>
      <c r="B3" s="77">
        <f>IF(ISERROR(B2/(B2+B1)*1000000),"",(B2/(B2+B1)*1000000))</f>
        <v>30612.244897959183</v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8</v>
      </c>
      <c r="S3" s="8">
        <f>SUM(S6:S48)</f>
        <v>0</v>
      </c>
      <c r="T3" s="49">
        <f>SUM(T6:T48)</f>
        <v>12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25</v>
      </c>
      <c r="M4" s="69" t="s">
        <v>30</v>
      </c>
      <c r="N4" s="69" t="s">
        <v>36</v>
      </c>
      <c r="O4" s="69" t="s">
        <v>41</v>
      </c>
      <c r="P4" s="69" t="s">
        <v>47</v>
      </c>
      <c r="Q4" s="69" t="s">
        <v>52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>
        <v>380</v>
      </c>
      <c r="I6" s="15">
        <v>12</v>
      </c>
      <c r="J6" s="15"/>
      <c r="K6" s="16"/>
      <c r="L6" s="15"/>
      <c r="M6" s="15"/>
      <c r="N6" s="15"/>
      <c r="O6" s="15"/>
      <c r="P6" s="15">
        <v>4</v>
      </c>
      <c r="Q6" s="15"/>
      <c r="R6" s="15">
        <v>8</v>
      </c>
      <c r="S6" s="45"/>
      <c r="T6" s="50">
        <f>SUM(L6:S6)</f>
        <v>12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380</v>
      </c>
      <c r="I49" s="41">
        <f>SUM(I6:I48)</f>
        <v>12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4</v>
      </c>
      <c r="Q49" s="40">
        <f t="shared" si="2"/>
        <v>0</v>
      </c>
      <c r="R49" s="40">
        <f t="shared" si="2"/>
        <v>8</v>
      </c>
      <c r="S49" s="44">
        <f t="shared" si="2"/>
        <v>0</v>
      </c>
      <c r="T49" s="53">
        <f t="shared" si="2"/>
        <v>12</v>
      </c>
      <c r="U49" s="43" t="str">
        <f>IF(T49=SUM(I49),"OK","NG")</f>
        <v>OK</v>
      </c>
    </row>
  </sheetData>
  <autoFilter ref="A5:U49" xr:uid="{00000000-0009-0000-0000-00001B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9" priority="1" operator="containsText" text="NG">
      <formula>NOT(ISERROR(SEARCH("NG",A4)))</formula>
    </cfRule>
    <cfRule type="containsText" dxfId="8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R7" sqref="R7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590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3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1</v>
      </c>
      <c r="S2" s="5">
        <f>SUBTOTAL(9,S6:S48)</f>
        <v>0</v>
      </c>
      <c r="T2" s="48">
        <f>SUBTOTAL(9,T6:T48)</f>
        <v>3</v>
      </c>
      <c r="U2" s="75"/>
    </row>
    <row r="3" spans="1:21" ht="22.5" customHeight="1" thickBot="1" x14ac:dyDescent="0.35">
      <c r="A3" s="38" t="s">
        <v>14</v>
      </c>
      <c r="B3" s="77">
        <f>IF(ISERROR(B2/(B2+B1)*1000000),"",(B2/(B2+B1)*1000000))</f>
        <v>5059.0219224283301</v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1</v>
      </c>
      <c r="S3" s="8">
        <f>SUM(S6:S48)</f>
        <v>0</v>
      </c>
      <c r="T3" s="49">
        <f>SUM(T6:T48)</f>
        <v>3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25</v>
      </c>
      <c r="M4" s="69" t="s">
        <v>30</v>
      </c>
      <c r="N4" s="69" t="s">
        <v>36</v>
      </c>
      <c r="O4" s="69" t="s">
        <v>41</v>
      </c>
      <c r="P4" s="69" t="s">
        <v>47</v>
      </c>
      <c r="Q4" s="69" t="s">
        <v>52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>
        <f>310+280</f>
        <v>590</v>
      </c>
      <c r="I6" s="15">
        <v>3</v>
      </c>
      <c r="J6" s="15"/>
      <c r="K6" s="16"/>
      <c r="L6" s="15"/>
      <c r="M6" s="15"/>
      <c r="N6" s="15"/>
      <c r="O6" s="15"/>
      <c r="P6" s="15">
        <v>2</v>
      </c>
      <c r="Q6" s="15"/>
      <c r="R6" s="15">
        <v>1</v>
      </c>
      <c r="S6" s="45"/>
      <c r="T6" s="50">
        <f>SUM(L6:S6)</f>
        <v>3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590</v>
      </c>
      <c r="I49" s="41">
        <f>SUM(I6:I48)</f>
        <v>3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2</v>
      </c>
      <c r="Q49" s="40">
        <f t="shared" si="2"/>
        <v>0</v>
      </c>
      <c r="R49" s="40">
        <f t="shared" si="2"/>
        <v>1</v>
      </c>
      <c r="S49" s="44">
        <f t="shared" si="2"/>
        <v>0</v>
      </c>
      <c r="T49" s="53">
        <f t="shared" si="2"/>
        <v>3</v>
      </c>
      <c r="U49" s="43" t="str">
        <f>IF(T49=SUM(I49),"OK","NG")</f>
        <v>OK</v>
      </c>
    </row>
  </sheetData>
  <autoFilter ref="A5:U49" xr:uid="{00000000-0009-0000-0000-00001C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7" priority="1" operator="containsText" text="NG">
      <formula>NOT(ISERROR(SEARCH("NG",A4)))</formula>
    </cfRule>
    <cfRule type="containsText" dxfId="6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O15" sqref="O15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0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0</v>
      </c>
      <c r="S2" s="5">
        <f>SUBTOTAL(9,S6:S48)</f>
        <v>0</v>
      </c>
      <c r="T2" s="48">
        <f>SUBTOTAL(9,T6:T48)</f>
        <v>0</v>
      </c>
      <c r="U2" s="75"/>
    </row>
    <row r="3" spans="1:21" ht="22.5" customHeight="1" thickBot="1" x14ac:dyDescent="0.35">
      <c r="A3" s="38" t="s">
        <v>14</v>
      </c>
      <c r="B3" s="77" t="str">
        <f>IF(ISERROR(B2/(B2+B1)*1000000),"",(B2/(B2+B1)*1000000))</f>
        <v/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0</v>
      </c>
      <c r="S3" s="8">
        <f>SUM(S6:S48)</f>
        <v>0</v>
      </c>
      <c r="T3" s="49">
        <f>SUM(T6:T48)</f>
        <v>0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25</v>
      </c>
      <c r="M4" s="69" t="s">
        <v>30</v>
      </c>
      <c r="N4" s="69" t="s">
        <v>36</v>
      </c>
      <c r="O4" s="69" t="s">
        <v>41</v>
      </c>
      <c r="P4" s="69" t="s">
        <v>46</v>
      </c>
      <c r="Q4" s="69" t="s">
        <v>52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/>
      <c r="I6" s="15"/>
      <c r="J6" s="15"/>
      <c r="K6" s="16"/>
      <c r="L6" s="15"/>
      <c r="M6" s="15"/>
      <c r="N6" s="15"/>
      <c r="O6" s="15"/>
      <c r="P6" s="15"/>
      <c r="Q6" s="15"/>
      <c r="R6" s="15"/>
      <c r="S6" s="45"/>
      <c r="T6" s="50">
        <f>SUM(L6:S6)</f>
        <v>0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0</v>
      </c>
      <c r="I49" s="41">
        <f>SUM(I6:I48)</f>
        <v>0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0</v>
      </c>
      <c r="S49" s="44">
        <f t="shared" si="2"/>
        <v>0</v>
      </c>
      <c r="T49" s="53">
        <f t="shared" si="2"/>
        <v>0</v>
      </c>
      <c r="U49" s="43" t="str">
        <f>IF(T49=SUM(I49),"OK","NG")</f>
        <v>OK</v>
      </c>
    </row>
  </sheetData>
  <autoFilter ref="A5:U49" xr:uid="{00000000-0009-0000-0000-00001D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5" priority="1" operator="containsText" text="NG">
      <formula>NOT(ISERROR(SEARCH("NG",A4)))</formula>
    </cfRule>
    <cfRule type="containsText" dxfId="4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U49"/>
  <sheetViews>
    <sheetView showGridLines="0" zoomScale="85" zoomScaleNormal="85" workbookViewId="0">
      <pane ySplit="5" topLeftCell="A6" activePane="bottomLeft" state="frozen"/>
      <selection activeCell="O15" sqref="O15"/>
      <selection pane="bottomLeft" activeCell="O15" sqref="O15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0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0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0</v>
      </c>
      <c r="S2" s="5">
        <f>SUBTOTAL(9,S6:S48)</f>
        <v>0</v>
      </c>
      <c r="T2" s="48">
        <f>SUBTOTAL(9,T6:T48)</f>
        <v>0</v>
      </c>
      <c r="U2" s="75"/>
    </row>
    <row r="3" spans="1:21" ht="22.5" customHeight="1" thickBot="1" x14ac:dyDescent="0.35">
      <c r="A3" s="38" t="s">
        <v>14</v>
      </c>
      <c r="B3" s="77" t="str">
        <f>IF(ISERROR(B2/(B2+B1)*1000000),"",(B2/(B2+B1)*1000000))</f>
        <v/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0</v>
      </c>
      <c r="S3" s="8">
        <f>SUM(S6:S48)</f>
        <v>0</v>
      </c>
      <c r="T3" s="49">
        <f>SUM(T6:T48)</f>
        <v>0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24</v>
      </c>
      <c r="M4" s="69" t="s">
        <v>29</v>
      </c>
      <c r="N4" s="69" t="s">
        <v>35</v>
      </c>
      <c r="O4" s="69" t="s">
        <v>41</v>
      </c>
      <c r="P4" s="69" t="s">
        <v>45</v>
      </c>
      <c r="Q4" s="69" t="s">
        <v>51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/>
      <c r="I6" s="15"/>
      <c r="J6" s="15"/>
      <c r="K6" s="16"/>
      <c r="L6" s="15"/>
      <c r="M6" s="15"/>
      <c r="N6" s="15"/>
      <c r="O6" s="15"/>
      <c r="P6" s="15"/>
      <c r="Q6" s="15"/>
      <c r="R6" s="15"/>
      <c r="S6" s="45"/>
      <c r="T6" s="50">
        <f>SUM(L6:S6)</f>
        <v>0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/>
      <c r="I7" s="21"/>
      <c r="J7" s="21"/>
      <c r="K7" s="16"/>
      <c r="L7" s="21"/>
      <c r="M7" s="21"/>
      <c r="N7" s="21"/>
      <c r="O7" s="21"/>
      <c r="P7" s="21"/>
      <c r="Q7" s="21"/>
      <c r="R7" s="21"/>
      <c r="S7" s="46"/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/>
      <c r="I9" s="21"/>
      <c r="J9" s="21"/>
      <c r="K9" s="16"/>
      <c r="L9" s="21"/>
      <c r="M9" s="21"/>
      <c r="N9" s="21"/>
      <c r="O9" s="21"/>
      <c r="P9" s="21"/>
      <c r="Q9" s="21"/>
      <c r="R9" s="21"/>
      <c r="S9" s="46"/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0</v>
      </c>
      <c r="I49" s="41">
        <f>SUM(I6:I48)</f>
        <v>0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0</v>
      </c>
      <c r="Q49" s="40">
        <f t="shared" si="2"/>
        <v>0</v>
      </c>
      <c r="R49" s="40">
        <f t="shared" si="2"/>
        <v>0</v>
      </c>
      <c r="S49" s="44">
        <f t="shared" si="2"/>
        <v>0</v>
      </c>
      <c r="T49" s="53">
        <f t="shared" si="2"/>
        <v>0</v>
      </c>
      <c r="U49" s="43" t="str">
        <f>IF(T49=SUM(I49),"OK","NG")</f>
        <v>OK</v>
      </c>
    </row>
  </sheetData>
  <autoFilter ref="A5:U49" xr:uid="{00000000-0009-0000-0000-00001E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3" priority="1" operator="containsText" text="NG">
      <formula>NOT(ISERROR(SEARCH("NG",A4)))</formula>
    </cfRule>
    <cfRule type="containsText" dxfId="2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U49"/>
  <sheetViews>
    <sheetView showGridLines="0" tabSelected="1" zoomScale="85" zoomScaleNormal="85" workbookViewId="0">
      <pane ySplit="5" topLeftCell="A6" activePane="bottomLeft" state="frozen"/>
      <selection activeCell="A10" sqref="A10"/>
      <selection pane="bottomLeft" activeCell="C7" sqref="C7"/>
    </sheetView>
  </sheetViews>
  <sheetFormatPr defaultRowHeight="16.5" x14ac:dyDescent="0.3"/>
  <cols>
    <col min="1" max="1" width="14.75" bestFit="1" customWidth="1"/>
    <col min="2" max="2" width="14.125" bestFit="1" customWidth="1"/>
    <col min="3" max="3" width="35.125" customWidth="1"/>
    <col min="4" max="4" width="11.375" hidden="1" customWidth="1"/>
    <col min="5" max="6" width="9" hidden="1" customWidth="1"/>
    <col min="7" max="7" width="15.375" hidden="1" customWidth="1"/>
    <col min="8" max="9" width="13.25" customWidth="1"/>
    <col min="10" max="10" width="13.25" hidden="1" customWidth="1"/>
    <col min="11" max="11" width="0.875" customWidth="1"/>
    <col min="12" max="20" width="8.875" customWidth="1"/>
  </cols>
  <sheetData>
    <row r="1" spans="1:21" ht="22.5" customHeight="1" thickBot="1" x14ac:dyDescent="0.35">
      <c r="A1" s="37" t="s">
        <v>12</v>
      </c>
      <c r="B1" s="83">
        <f>H49</f>
        <v>9483</v>
      </c>
      <c r="C1" s="84"/>
      <c r="D1" s="60"/>
      <c r="E1" s="56" t="s">
        <v>1</v>
      </c>
      <c r="F1" s="85">
        <f>G49</f>
        <v>0</v>
      </c>
      <c r="G1" s="85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2.5" customHeight="1" thickBot="1" x14ac:dyDescent="0.35">
      <c r="A2" s="37" t="s">
        <v>13</v>
      </c>
      <c r="B2" s="88">
        <f>I49</f>
        <v>61</v>
      </c>
      <c r="C2" s="89"/>
      <c r="D2" s="61"/>
      <c r="E2" s="57"/>
      <c r="F2" s="2"/>
      <c r="G2" s="2"/>
      <c r="H2" s="86"/>
      <c r="I2" s="86"/>
      <c r="J2" s="86"/>
      <c r="K2" s="3"/>
      <c r="L2" s="4">
        <f>SUBTOTAL(9,L6:L48)</f>
        <v>0</v>
      </c>
      <c r="M2" s="4">
        <f>SUBTOTAL(9,M6:M48)</f>
        <v>0</v>
      </c>
      <c r="N2" s="4">
        <f>SUBTOTAL(9,N6:N48)</f>
        <v>0</v>
      </c>
      <c r="O2" s="4"/>
      <c r="P2" s="4"/>
      <c r="Q2" s="4">
        <f t="shared" ref="Q2:R2" si="0">SUBTOTAL(9,Q6:Q48)</f>
        <v>0</v>
      </c>
      <c r="R2" s="4">
        <f t="shared" si="0"/>
        <v>50</v>
      </c>
      <c r="S2" s="5">
        <f>SUBTOTAL(9,S6:S48)</f>
        <v>0</v>
      </c>
      <c r="T2" s="48">
        <f>SUBTOTAL(9,T6:T48)</f>
        <v>61</v>
      </c>
      <c r="U2" s="75"/>
    </row>
    <row r="3" spans="1:21" ht="22.5" customHeight="1" thickBot="1" x14ac:dyDescent="0.35">
      <c r="A3" s="38" t="s">
        <v>14</v>
      </c>
      <c r="B3" s="77">
        <f>IF(ISERROR(B2/(B2+B1)*1000000),"",(B2/(B2+B1)*1000000))</f>
        <v>6391.450125733445</v>
      </c>
      <c r="C3" s="78"/>
      <c r="D3" s="59"/>
      <c r="E3" s="58"/>
      <c r="F3" s="32"/>
      <c r="G3" s="32"/>
      <c r="H3" s="87"/>
      <c r="I3" s="87"/>
      <c r="J3" s="87"/>
      <c r="K3" s="6"/>
      <c r="L3" s="7">
        <f>SUM(L6:L48)</f>
        <v>0</v>
      </c>
      <c r="M3" s="7">
        <f>SUM(M6:M48)</f>
        <v>0</v>
      </c>
      <c r="N3" s="7">
        <f>SUM(N6:N48)</f>
        <v>0</v>
      </c>
      <c r="O3" s="7"/>
      <c r="P3" s="7"/>
      <c r="Q3" s="7">
        <f t="shared" ref="Q3:R3" si="1">SUM(Q6:Q48)</f>
        <v>0</v>
      </c>
      <c r="R3" s="7">
        <f t="shared" si="1"/>
        <v>50</v>
      </c>
      <c r="S3" s="8">
        <f>SUM(S6:S48)</f>
        <v>0</v>
      </c>
      <c r="T3" s="49">
        <f>SUM(T6:T48)</f>
        <v>61</v>
      </c>
      <c r="U3" s="76"/>
    </row>
    <row r="4" spans="1:21" ht="43.5" customHeight="1" x14ac:dyDescent="0.3">
      <c r="A4" s="90" t="str">
        <f>U49</f>
        <v>OK</v>
      </c>
      <c r="B4" s="90"/>
      <c r="C4" s="90"/>
      <c r="D4" s="91"/>
      <c r="E4" s="92" t="s">
        <v>15</v>
      </c>
      <c r="F4" s="92"/>
      <c r="G4" s="92"/>
      <c r="H4" s="92" t="s">
        <v>16</v>
      </c>
      <c r="I4" s="92"/>
      <c r="J4" s="92"/>
      <c r="K4" s="3"/>
      <c r="L4" s="79" t="s">
        <v>23</v>
      </c>
      <c r="M4" s="69" t="s">
        <v>28</v>
      </c>
      <c r="N4" s="69" t="s">
        <v>34</v>
      </c>
      <c r="O4" s="69" t="s">
        <v>40</v>
      </c>
      <c r="P4" s="69" t="s">
        <v>45</v>
      </c>
      <c r="Q4" s="69" t="s">
        <v>50</v>
      </c>
      <c r="R4" s="69" t="s">
        <v>22</v>
      </c>
      <c r="S4" s="71" t="s">
        <v>11</v>
      </c>
      <c r="T4" s="73" t="s">
        <v>17</v>
      </c>
      <c r="U4" s="81" t="s">
        <v>18</v>
      </c>
    </row>
    <row r="5" spans="1:21" ht="33.75" thickBot="1" x14ac:dyDescent="0.35">
      <c r="A5" s="34" t="s">
        <v>3</v>
      </c>
      <c r="B5" s="35" t="s">
        <v>4</v>
      </c>
      <c r="C5" s="34" t="s">
        <v>5</v>
      </c>
      <c r="D5" s="34" t="s">
        <v>19</v>
      </c>
      <c r="E5" s="34" t="s">
        <v>6</v>
      </c>
      <c r="F5" s="34" t="s">
        <v>7</v>
      </c>
      <c r="G5" s="35" t="s">
        <v>8</v>
      </c>
      <c r="H5" s="36" t="s">
        <v>0</v>
      </c>
      <c r="I5" s="36" t="s">
        <v>2</v>
      </c>
      <c r="J5" s="36" t="s">
        <v>9</v>
      </c>
      <c r="K5" s="33"/>
      <c r="L5" s="80"/>
      <c r="M5" s="70"/>
      <c r="N5" s="70"/>
      <c r="O5" s="70"/>
      <c r="P5" s="70"/>
      <c r="Q5" s="70"/>
      <c r="R5" s="70"/>
      <c r="S5" s="72"/>
      <c r="T5" s="74"/>
      <c r="U5" s="82"/>
    </row>
    <row r="6" spans="1:21" x14ac:dyDescent="0.3">
      <c r="A6" s="10">
        <v>6004</v>
      </c>
      <c r="B6" s="62"/>
      <c r="C6" s="11" t="s">
        <v>20</v>
      </c>
      <c r="D6" s="12"/>
      <c r="E6" s="12"/>
      <c r="F6" s="12"/>
      <c r="G6" s="13"/>
      <c r="H6" s="14">
        <f>'1'!H6+'2'!H6+'3'!H6+'4'!H6+'5'!H6+'6'!H6+'7'!H6+'8'!H6+'9'!H6+'10'!H6+'11'!H6+'12'!H6+'13'!H6+'14'!H6+'15'!H6+'16'!H6+'17'!H6+'18'!H6+'19'!H6+'20'!H6+'21'!H6+'22'!H6+'23'!H6+'24'!H6+'25'!H6+'26'!H6+'27'!H6+'28'!H6+'29'!H6+'30'!H6+'31'!H6</f>
        <v>9483</v>
      </c>
      <c r="I6" s="15">
        <f>'1'!I6+'2'!I6+'3'!I6+'4'!I6+'5'!I6+'6'!I6+'7'!I6+'8'!I6+'9'!I6+'10'!I6+'11'!I6+'12'!I6+'13'!I6+'14'!I6+'15'!I6+'16'!I6+'17'!I6+'18'!I6+'19'!I6+'20'!I6+'21'!I6+'22'!I6+'23'!I6+'24'!I6+'25'!I6+'26'!I6+'27'!I6+'28'!I6+'29'!I6+'30'!I6+'31'!I6</f>
        <v>61</v>
      </c>
      <c r="J6" s="15">
        <f>'1'!J6+'2'!J6+'3'!J6+'4'!J6+'5'!J6+'6'!J6+'7'!J6+'8'!J6+'9'!J6+'10'!J6+'11'!J6+'12'!J6+'13'!J6+'14'!J6+'15'!J6+'16'!J6+'17'!J6+'18'!J6+'19'!J6+'20'!J6+'21'!J6+'22'!J6+'23'!J6+'24'!J6+'25'!J6+'26'!J6+'27'!J6+'28'!J6+'29'!J6+'30'!J6+'31'!J6</f>
        <v>0</v>
      </c>
      <c r="K6" s="16">
        <f>'1'!K6+'2'!K6+'3'!K6+'4'!K6+'5'!K6+'6'!K6+'7'!K6+'8'!K6+'9'!K6+'10'!K6+'11'!K6+'12'!K6+'13'!K6+'14'!K6+'15'!K6+'16'!K6+'17'!K6+'18'!K6+'19'!K6+'20'!K6+'21'!K6+'22'!K6+'23'!K6+'24'!K6+'25'!K6+'26'!K6+'27'!K6+'28'!K6+'29'!K6+'30'!K6+'31'!K6</f>
        <v>0</v>
      </c>
      <c r="L6" s="15">
        <f>'1'!L6+'2'!L6+'3'!L6+'4'!L6+'5'!L6+'6'!L6+'7'!L6+'8'!L6+'9'!L6+'10'!L6+'11'!L6+'12'!L6+'13'!L6+'14'!L6+'15'!L6+'16'!L6+'17'!L6+'18'!L6+'19'!L6+'20'!L6+'21'!L6+'22'!L6+'23'!L6+'24'!L6+'25'!L6+'26'!L6+'27'!L6+'28'!L6+'29'!L6+'30'!L6+'31'!L6</f>
        <v>0</v>
      </c>
      <c r="M6" s="15">
        <f>'1'!M6+'2'!M6+'3'!M6+'4'!M6+'5'!M6+'6'!M6+'7'!M6+'8'!M6+'9'!M6+'10'!M6+'11'!M6+'12'!M6+'13'!M6+'14'!M6+'15'!M6+'16'!M6+'17'!M6+'18'!M6+'19'!M6+'20'!M6+'21'!M6+'22'!M6+'23'!M6+'24'!M6+'25'!M6+'26'!M6+'27'!M6+'28'!M6+'29'!M6+'30'!M6+'31'!M6</f>
        <v>0</v>
      </c>
      <c r="N6" s="15">
        <f>'1'!N6+'2'!N6+'3'!N6+'4'!N6+'5'!N6+'6'!N6+'7'!N6+'8'!N6+'9'!N6+'10'!N6+'11'!N6+'12'!N6+'13'!N6+'14'!N6+'15'!N6+'16'!N6+'17'!N6+'18'!N6+'19'!N6+'20'!N6+'21'!N6+'22'!N6+'23'!N6+'24'!N6+'25'!N6+'26'!N6+'27'!N6+'28'!N6+'29'!N6+'30'!N6+'31'!N6</f>
        <v>0</v>
      </c>
      <c r="O6" s="15">
        <f>'1'!O6+'2'!O6+'3'!O6+'4'!O6+'5'!O6+'6'!O6+'7'!O6+'8'!O6+'9'!O6+'10'!O6+'11'!O6+'12'!O6+'13'!O6+'14'!O6+'15'!O6+'16'!O6+'17'!O6+'18'!O6+'19'!O6+'20'!O6+'21'!O6+'22'!O6+'23'!O6+'24'!O6+'25'!O6+'26'!O6+'27'!O6+'28'!O6+'29'!O6+'30'!O6+'31'!O6</f>
        <v>0</v>
      </c>
      <c r="P6" s="15">
        <f>'1'!P6+'2'!P6+'3'!P6+'4'!P6+'5'!P6+'6'!P6+'7'!P6+'8'!P6+'9'!P6+'10'!P6+'11'!P6+'12'!P6+'13'!P6+'14'!P6+'15'!P6+'16'!P6+'17'!P6+'18'!P6+'19'!P6+'20'!P6+'21'!P6+'22'!P6+'23'!P6+'24'!P6+'25'!P6+'26'!P6+'27'!P6+'28'!P6+'29'!P6+'30'!P6+'31'!P6</f>
        <v>11</v>
      </c>
      <c r="Q6" s="15">
        <f>'1'!Q6+'2'!Q6+'3'!Q6+'4'!Q6+'5'!Q6+'6'!Q6+'7'!Q6+'8'!Q6+'9'!Q6+'10'!Q6+'11'!Q6+'12'!Q6+'13'!Q6+'14'!Q6+'15'!Q6+'16'!Q6+'17'!Q6+'18'!Q6+'19'!Q6+'20'!Q6+'21'!Q6+'22'!Q6+'23'!Q6+'24'!Q6+'25'!Q6+'26'!Q6+'27'!Q6+'28'!Q6+'29'!Q6+'30'!Q6+'31'!Q6</f>
        <v>0</v>
      </c>
      <c r="R6" s="15">
        <f>'1'!R6+'2'!R6+'3'!R6+'4'!R6+'5'!R6+'6'!R6+'7'!R6+'8'!R6+'9'!R6+'10'!R6+'11'!R6+'12'!R6+'13'!R6+'14'!R6+'15'!R6+'16'!R6+'17'!R6+'18'!R6+'19'!R6+'20'!R6+'21'!R6+'22'!R6+'23'!R6+'24'!R6+'25'!R6+'26'!R6+'27'!R6+'28'!R6+'29'!R6+'30'!R6+'31'!R6</f>
        <v>50</v>
      </c>
      <c r="S6" s="45">
        <f>'1'!S6+'2'!S6+'3'!S6+'4'!S6+'5'!S6+'6'!S6+'7'!S6+'8'!S6+'9'!S6+'10'!S6+'11'!S6+'12'!S6+'13'!S6+'14'!S6+'15'!S6+'16'!S6+'17'!S6+'18'!S6+'19'!S6+'20'!S6+'21'!S6+'22'!S6+'23'!S6+'24'!S6+'25'!S6+'26'!S6+'27'!S6+'28'!S6+'29'!S6+'30'!S6+'31'!S6</f>
        <v>0</v>
      </c>
      <c r="T6" s="50">
        <f>SUM(L6:S6)</f>
        <v>61</v>
      </c>
      <c r="U6" s="31" t="str">
        <f>IF(T6=I6,"OK","NG")</f>
        <v>OK</v>
      </c>
    </row>
    <row r="7" spans="1:21" x14ac:dyDescent="0.3">
      <c r="A7" s="17">
        <v>6007</v>
      </c>
      <c r="B7" s="63"/>
      <c r="C7" s="17" t="s">
        <v>21</v>
      </c>
      <c r="D7" s="55"/>
      <c r="E7" s="18"/>
      <c r="F7" s="18"/>
      <c r="G7" s="19"/>
      <c r="H7" s="20">
        <f>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21">
        <f>'1'!I7+'2'!I7+'3'!I7+'4'!I7+'5'!I7+'6'!I7+'7'!I7+'8'!I7+'9'!I7+'10'!I7+'11'!I7+'12'!I7+'13'!I7+'14'!I7+'15'!I7+'16'!I7+'17'!I7+'18'!I7+'19'!I7+'20'!I7+'21'!I7+'22'!I7+'23'!I7+'24'!I7+'25'!I7+'26'!I7+'27'!I7+'28'!I7+'29'!I7+'30'!I7+'31'!I7</f>
        <v>0</v>
      </c>
      <c r="J7" s="21">
        <f>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>
        <f>'1'!K7+'2'!K7+'3'!K7+'4'!K7+'5'!K7+'6'!K7+'7'!K7+'8'!K7+'9'!K7+'10'!K7+'11'!K7+'12'!K7+'13'!K7+'14'!K7+'15'!K7+'16'!K7+'17'!K7+'18'!K7+'19'!K7+'20'!K7+'21'!K7+'22'!K7+'23'!K7+'24'!K7+'25'!K7+'26'!K7+'27'!K7+'28'!K7+'29'!K7+'30'!K7+'31'!K7</f>
        <v>0</v>
      </c>
      <c r="L7" s="21">
        <f>'1'!L7+'2'!L7+'3'!L7+'4'!L7+'5'!L7+'6'!L7+'7'!L7+'8'!L7+'9'!L7+'10'!L7+'11'!L7+'12'!L7+'13'!L7+'14'!L7+'15'!L7+'16'!L7+'17'!L7+'18'!L7+'19'!L7+'20'!L7+'21'!L7+'22'!L7+'23'!L7+'24'!L7+'25'!L7+'26'!L7+'27'!L7+'28'!L7+'29'!L7+'30'!L7+'31'!L7</f>
        <v>0</v>
      </c>
      <c r="M7" s="21">
        <f>'1'!M7+'2'!M7+'3'!M7+'4'!M7+'5'!M7+'6'!M7+'7'!M7+'8'!M7+'9'!M7+'10'!M7+'11'!M7+'12'!M7+'13'!M7+'14'!M7+'15'!M7+'16'!M7+'17'!M7+'18'!M7+'19'!M7+'20'!M7+'21'!M7+'22'!M7+'23'!M7+'24'!M7+'25'!M7+'26'!M7+'27'!M7+'28'!M7+'29'!M7+'30'!M7+'31'!M7</f>
        <v>0</v>
      </c>
      <c r="N7" s="21">
        <f>'1'!N7+'2'!N7+'3'!N7+'4'!N7+'5'!N7+'6'!N7+'7'!N7+'8'!N7+'9'!N7+'10'!N7+'11'!N7+'12'!N7+'13'!N7+'14'!N7+'15'!N7+'16'!N7+'17'!N7+'18'!N7+'19'!N7+'20'!N7+'21'!N7+'22'!N7+'23'!N7+'24'!N7+'25'!N7+'26'!N7+'27'!N7+'28'!N7+'29'!N7+'30'!N7+'31'!N7</f>
        <v>0</v>
      </c>
      <c r="O7" s="21">
        <f>'1'!O7+'2'!O7+'3'!O7+'4'!O7+'5'!O7+'6'!O7+'7'!O7+'8'!O7+'9'!O7+'10'!O7+'11'!O7+'12'!O7+'13'!O7+'14'!O7+'15'!O7+'16'!O7+'17'!O7+'18'!O7+'19'!O7+'20'!O7+'21'!O7+'22'!O7+'23'!O7+'24'!O7+'25'!O7+'26'!O7+'27'!O7+'28'!O7+'29'!O7+'30'!O7+'31'!O7</f>
        <v>0</v>
      </c>
      <c r="P7" s="21">
        <f>'1'!P7+'2'!P7+'3'!P7+'4'!P7+'5'!P7+'6'!P7+'7'!P7+'8'!P7+'9'!P7+'10'!P7+'11'!P7+'12'!P7+'13'!P7+'14'!P7+'15'!P7+'16'!P7+'17'!P7+'18'!P7+'19'!P7+'20'!P7+'21'!P7+'22'!P7+'23'!P7+'24'!P7+'25'!P7+'26'!P7+'27'!P7+'28'!P7+'29'!P7+'30'!P7+'31'!P7</f>
        <v>0</v>
      </c>
      <c r="Q7" s="21">
        <f>'1'!Q7+'2'!Q7+'3'!Q7+'4'!Q7+'5'!Q7+'6'!Q7+'7'!Q7+'8'!Q7+'9'!Q7+'10'!Q7+'11'!Q7+'12'!Q7+'13'!Q7+'14'!Q7+'15'!Q7+'16'!Q7+'17'!Q7+'18'!Q7+'19'!Q7+'20'!Q7+'21'!Q7+'22'!Q7+'23'!Q7+'24'!Q7+'25'!Q7+'26'!Q7+'27'!Q7+'28'!Q7+'29'!Q7+'30'!Q7+'31'!Q7</f>
        <v>0</v>
      </c>
      <c r="R7" s="21">
        <f>'1'!R7+'2'!R7+'3'!R7+'4'!R7+'5'!R7+'6'!R7+'7'!R7+'8'!R7+'9'!R7+'10'!R7+'11'!R7+'12'!R7+'13'!R7+'14'!R7+'15'!R7+'16'!R7+'17'!R7+'18'!R7+'19'!R7+'20'!R7+'21'!R7+'22'!R7+'23'!R7+'24'!R7+'25'!R7+'26'!R7+'27'!R7+'28'!R7+'29'!R7+'30'!R7+'31'!R7</f>
        <v>0</v>
      </c>
      <c r="S7" s="46">
        <f>'1'!S7+'2'!S7+'3'!S7+'4'!S7+'5'!S7+'6'!S7+'7'!S7+'8'!S7+'9'!S7+'10'!S7+'11'!S7+'12'!S7+'13'!S7+'14'!S7+'15'!S7+'16'!S7+'17'!S7+'18'!S7+'19'!S7+'20'!S7+'21'!S7+'22'!S7+'23'!S7+'24'!S7+'25'!S7+'26'!S7+'27'!S7+'28'!S7+'29'!S7+'30'!S7+'31'!S7</f>
        <v>0</v>
      </c>
      <c r="T7" s="51">
        <f>SUM(L7:S7)</f>
        <v>0</v>
      </c>
      <c r="U7" s="22" t="str">
        <f>IF(T7=I7,"OK","NG")</f>
        <v>OK</v>
      </c>
    </row>
    <row r="8" spans="1:21" x14ac:dyDescent="0.3">
      <c r="A8" s="54"/>
      <c r="B8" s="64"/>
      <c r="C8" s="23"/>
      <c r="D8" s="24"/>
      <c r="E8" s="24"/>
      <c r="F8" s="24"/>
      <c r="G8" s="25"/>
      <c r="H8" s="26"/>
      <c r="I8" s="27"/>
      <c r="J8" s="27"/>
      <c r="K8" s="16"/>
      <c r="L8" s="27"/>
      <c r="M8" s="27"/>
      <c r="N8" s="27"/>
      <c r="O8" s="27"/>
      <c r="P8" s="27"/>
      <c r="Q8" s="27"/>
      <c r="R8" s="27"/>
      <c r="S8" s="47"/>
      <c r="T8" s="52"/>
      <c r="U8" s="28"/>
    </row>
    <row r="9" spans="1:21" x14ac:dyDescent="0.3">
      <c r="A9" s="17">
        <v>1691</v>
      </c>
      <c r="B9" s="63"/>
      <c r="C9" s="17"/>
      <c r="D9" s="55"/>
      <c r="E9" s="18"/>
      <c r="F9" s="18"/>
      <c r="G9" s="19"/>
      <c r="H9" s="20">
        <f>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21">
        <f>'1'!I9+'2'!I9+'3'!I9+'4'!I9+'5'!I9+'6'!I9+'7'!I9+'8'!I9+'9'!I9+'10'!I9+'11'!I9+'12'!I9+'13'!I9+'14'!I9+'15'!I9+'16'!I9+'17'!I9+'18'!I9+'19'!I9+'20'!I9+'21'!I9+'22'!I9+'23'!I9+'24'!I9+'25'!I9+'26'!I9+'27'!I9+'28'!I9+'29'!I9+'30'!I9+'31'!I9</f>
        <v>0</v>
      </c>
      <c r="J9" s="21"/>
      <c r="K9" s="16"/>
      <c r="L9" s="21">
        <f>'1'!L9+'2'!L9+'3'!L9+'4'!L9+'5'!L9+'6'!L9+'7'!L9+'8'!L9+'9'!L9+'10'!L9+'11'!L9+'12'!L9+'13'!L9+'14'!L9+'15'!L9+'16'!L9+'17'!L9+'18'!L9+'19'!L9+'20'!L9+'21'!L9+'22'!L9+'23'!L9+'24'!L9+'25'!L9+'26'!L9+'27'!L9+'28'!L9+'29'!L9+'30'!L9+'31'!L9</f>
        <v>0</v>
      </c>
      <c r="M9" s="21">
        <f>'1'!M9+'2'!M9+'3'!M9+'4'!M9+'5'!M9+'6'!M9+'7'!M9+'8'!M9+'9'!M9+'10'!M9+'11'!M9+'12'!M9+'13'!M9+'14'!M9+'15'!M9+'16'!M9+'17'!M9+'18'!M9+'19'!M9+'20'!M9+'21'!M9+'22'!M9+'23'!M9+'24'!M9+'25'!M9+'26'!M9+'27'!M9+'28'!M9+'29'!M9+'30'!M9+'31'!M9</f>
        <v>0</v>
      </c>
      <c r="N9" s="21">
        <f>'1'!N9+'2'!N9+'3'!N9+'4'!N9+'5'!N9+'6'!N9+'7'!N9+'8'!N9+'9'!N9+'10'!N9+'11'!N9+'12'!N9+'13'!N9+'14'!N9+'15'!N9+'16'!N9+'17'!N9+'18'!N9+'19'!N9+'20'!N9+'21'!N9+'22'!N9+'23'!N9+'24'!N9+'25'!N9+'26'!N9+'27'!N9+'28'!N9+'29'!N9+'30'!N9+'31'!N9</f>
        <v>0</v>
      </c>
      <c r="O9" s="21">
        <f>'1'!O9+'2'!O9+'3'!O9+'4'!O9+'5'!O9+'6'!O9+'7'!O9+'8'!O9+'9'!O9+'10'!O9+'11'!O9+'12'!O9+'13'!O9+'14'!O9+'15'!O9+'16'!O9+'17'!O9+'18'!O9+'19'!O9+'20'!O9+'21'!O9+'22'!O9+'23'!O9+'24'!O9+'25'!O9+'26'!O9+'27'!O9+'28'!O9+'29'!O9+'30'!O9+'31'!O9</f>
        <v>0</v>
      </c>
      <c r="P9" s="21">
        <f>'1'!P9+'2'!P9+'3'!P9+'4'!P9+'5'!P9+'6'!P9+'7'!P9+'8'!P9+'9'!P9+'10'!P9+'11'!P9+'12'!P9+'13'!P9+'14'!P9+'15'!P9+'16'!P9+'17'!P9+'18'!P9+'19'!P9+'20'!P9+'21'!P9+'22'!P9+'23'!P9+'24'!P9+'25'!P9+'26'!P9+'27'!P9+'28'!P9+'29'!P9+'30'!P9+'31'!P9</f>
        <v>0</v>
      </c>
      <c r="Q9" s="21">
        <f>'1'!Q9+'2'!Q9+'3'!Q9+'4'!Q9+'5'!Q9+'6'!Q9+'7'!Q9+'8'!Q9+'9'!Q9+'10'!Q9+'11'!Q9+'12'!Q9+'13'!Q9+'14'!Q9+'15'!Q9+'16'!Q9+'17'!Q9+'18'!Q9+'19'!Q9+'20'!Q9+'21'!Q9+'22'!Q9+'23'!Q9+'24'!Q9+'25'!Q9+'26'!Q9+'27'!Q9+'28'!Q9+'29'!Q9+'30'!Q9+'31'!Q9</f>
        <v>0</v>
      </c>
      <c r="R9" s="21">
        <f>'1'!R9+'2'!R9+'3'!R9+'4'!R9+'5'!R9+'6'!R9+'7'!R9+'8'!R9+'9'!R9+'10'!R9+'11'!R9+'12'!R9+'13'!R9+'14'!R9+'15'!R9+'16'!R9+'17'!R9+'18'!R9+'19'!R9+'20'!R9+'21'!R9+'22'!R9+'23'!R9+'24'!R9+'25'!R9+'26'!R9+'27'!R9+'28'!R9+'29'!R9+'30'!R9+'31'!R9</f>
        <v>0</v>
      </c>
      <c r="S9" s="46">
        <f>'1'!S9+'2'!S9+'3'!S9+'4'!S9+'5'!S9+'6'!S9+'7'!S9+'8'!S9+'9'!S9+'10'!S9+'11'!S9+'12'!S9+'13'!S9+'14'!S9+'15'!S9+'16'!S9+'17'!S9+'18'!S9+'19'!S9+'20'!S9+'21'!S9+'22'!S9+'23'!S9+'24'!S9+'25'!S9+'26'!S9+'27'!S9+'28'!S9+'29'!S9+'30'!S9+'31'!S9</f>
        <v>0</v>
      </c>
      <c r="T9" s="51"/>
      <c r="U9" s="22"/>
    </row>
    <row r="10" spans="1:21" x14ac:dyDescent="0.3">
      <c r="A10" s="54"/>
      <c r="B10" s="64"/>
      <c r="C10" s="23"/>
      <c r="D10" s="24"/>
      <c r="E10" s="24"/>
      <c r="F10" s="24"/>
      <c r="G10" s="25"/>
      <c r="H10" s="26"/>
      <c r="I10" s="27"/>
      <c r="J10" s="27"/>
      <c r="K10" s="16"/>
      <c r="L10" s="27"/>
      <c r="M10" s="27"/>
      <c r="N10" s="27"/>
      <c r="O10" s="27"/>
      <c r="P10" s="27"/>
      <c r="Q10" s="27"/>
      <c r="R10" s="27"/>
      <c r="S10" s="47"/>
      <c r="T10" s="52"/>
      <c r="U10" s="28"/>
    </row>
    <row r="11" spans="1:21" x14ac:dyDescent="0.3">
      <c r="A11" s="17"/>
      <c r="B11" s="63"/>
      <c r="C11" s="17"/>
      <c r="D11" s="55"/>
      <c r="E11" s="18"/>
      <c r="F11" s="18"/>
      <c r="G11" s="19"/>
      <c r="H11" s="20"/>
      <c r="I11" s="21"/>
      <c r="J11" s="21"/>
      <c r="K11" s="16"/>
      <c r="L11" s="21"/>
      <c r="M11" s="21"/>
      <c r="N11" s="21"/>
      <c r="O11" s="21"/>
      <c r="P11" s="21"/>
      <c r="Q11" s="21"/>
      <c r="R11" s="21"/>
      <c r="S11" s="46"/>
      <c r="T11" s="51"/>
      <c r="U11" s="22"/>
    </row>
    <row r="12" spans="1:21" x14ac:dyDescent="0.3">
      <c r="A12" s="54"/>
      <c r="B12" s="64"/>
      <c r="C12" s="23"/>
      <c r="D12" s="24"/>
      <c r="E12" s="24"/>
      <c r="F12" s="24"/>
      <c r="G12" s="25"/>
      <c r="H12" s="26"/>
      <c r="I12" s="27"/>
      <c r="J12" s="27"/>
      <c r="K12" s="16"/>
      <c r="L12" s="27"/>
      <c r="M12" s="27"/>
      <c r="N12" s="27"/>
      <c r="O12" s="27"/>
      <c r="P12" s="27"/>
      <c r="Q12" s="27"/>
      <c r="R12" s="27"/>
      <c r="S12" s="47"/>
      <c r="T12" s="52"/>
      <c r="U12" s="28"/>
    </row>
    <row r="13" spans="1:21" x14ac:dyDescent="0.3">
      <c r="A13" s="66"/>
      <c r="B13" s="63"/>
      <c r="C13" s="17"/>
      <c r="D13" s="55"/>
      <c r="E13" s="18"/>
      <c r="F13" s="18"/>
      <c r="G13" s="19"/>
      <c r="H13" s="20"/>
      <c r="I13" s="21"/>
      <c r="J13" s="21"/>
      <c r="K13" s="16"/>
      <c r="L13" s="21"/>
      <c r="M13" s="21"/>
      <c r="N13" s="21"/>
      <c r="O13" s="21"/>
      <c r="P13" s="21"/>
      <c r="Q13" s="21"/>
      <c r="R13" s="21"/>
      <c r="S13" s="46"/>
      <c r="T13" s="51"/>
      <c r="U13" s="22"/>
    </row>
    <row r="14" spans="1:21" x14ac:dyDescent="0.3">
      <c r="A14" s="54"/>
      <c r="B14" s="64"/>
      <c r="C14" s="23"/>
      <c r="D14" s="24"/>
      <c r="E14" s="24"/>
      <c r="F14" s="24"/>
      <c r="G14" s="25"/>
      <c r="H14" s="26"/>
      <c r="I14" s="27"/>
      <c r="J14" s="27"/>
      <c r="K14" s="16"/>
      <c r="L14" s="27"/>
      <c r="M14" s="27"/>
      <c r="N14" s="27"/>
      <c r="O14" s="27"/>
      <c r="P14" s="27"/>
      <c r="Q14" s="27"/>
      <c r="R14" s="27"/>
      <c r="S14" s="47"/>
      <c r="T14" s="52"/>
      <c r="U14" s="28"/>
    </row>
    <row r="15" spans="1:21" x14ac:dyDescent="0.3">
      <c r="A15" s="17"/>
      <c r="B15" s="63"/>
      <c r="C15" s="17"/>
      <c r="D15" s="55"/>
      <c r="E15" s="18"/>
      <c r="F15" s="18"/>
      <c r="G15" s="19"/>
      <c r="H15" s="20"/>
      <c r="I15" s="21"/>
      <c r="J15" s="21"/>
      <c r="K15" s="16"/>
      <c r="L15" s="21"/>
      <c r="M15" s="21"/>
      <c r="N15" s="21"/>
      <c r="O15" s="21"/>
      <c r="P15" s="21"/>
      <c r="Q15" s="21"/>
      <c r="R15" s="21"/>
      <c r="S15" s="46"/>
      <c r="T15" s="51"/>
      <c r="U15" s="22"/>
    </row>
    <row r="16" spans="1:21" x14ac:dyDescent="0.3">
      <c r="A16" s="54"/>
      <c r="B16" s="64"/>
      <c r="C16" s="23"/>
      <c r="D16" s="24"/>
      <c r="E16" s="24"/>
      <c r="F16" s="24"/>
      <c r="G16" s="25"/>
      <c r="H16" s="26"/>
      <c r="I16" s="27"/>
      <c r="J16" s="27"/>
      <c r="K16" s="16"/>
      <c r="L16" s="27"/>
      <c r="M16" s="27"/>
      <c r="N16" s="27"/>
      <c r="O16" s="27"/>
      <c r="P16" s="27"/>
      <c r="Q16" s="27"/>
      <c r="R16" s="27"/>
      <c r="S16" s="47"/>
      <c r="T16" s="52"/>
      <c r="U16" s="28"/>
    </row>
    <row r="17" spans="1:21" x14ac:dyDescent="0.3">
      <c r="A17" s="17"/>
      <c r="B17" s="63"/>
      <c r="C17" s="17"/>
      <c r="D17" s="55"/>
      <c r="E17" s="18"/>
      <c r="F17" s="18"/>
      <c r="G17" s="19"/>
      <c r="H17" s="20"/>
      <c r="I17" s="21"/>
      <c r="J17" s="21"/>
      <c r="K17" s="16"/>
      <c r="L17" s="21"/>
      <c r="M17" s="21"/>
      <c r="N17" s="21"/>
      <c r="O17" s="21"/>
      <c r="P17" s="21"/>
      <c r="Q17" s="21"/>
      <c r="R17" s="21"/>
      <c r="S17" s="46"/>
      <c r="T17" s="51"/>
      <c r="U17" s="22"/>
    </row>
    <row r="18" spans="1:21" x14ac:dyDescent="0.3">
      <c r="A18" s="54"/>
      <c r="B18" s="64"/>
      <c r="C18" s="23"/>
      <c r="D18" s="24"/>
      <c r="E18" s="24"/>
      <c r="F18" s="24"/>
      <c r="G18" s="25"/>
      <c r="H18" s="26"/>
      <c r="I18" s="27"/>
      <c r="J18" s="27"/>
      <c r="K18" s="16"/>
      <c r="L18" s="27"/>
      <c r="M18" s="27"/>
      <c r="N18" s="27"/>
      <c r="O18" s="27"/>
      <c r="P18" s="27"/>
      <c r="Q18" s="27"/>
      <c r="R18" s="27"/>
      <c r="S18" s="47"/>
      <c r="T18" s="52"/>
      <c r="U18" s="28"/>
    </row>
    <row r="19" spans="1:21" x14ac:dyDescent="0.3">
      <c r="A19" s="17"/>
      <c r="B19" s="63"/>
      <c r="C19" s="17"/>
      <c r="D19" s="55"/>
      <c r="E19" s="18"/>
      <c r="F19" s="18"/>
      <c r="G19" s="19"/>
      <c r="H19" s="20"/>
      <c r="I19" s="21"/>
      <c r="J19" s="21"/>
      <c r="K19" s="16"/>
      <c r="L19" s="21"/>
      <c r="M19" s="21"/>
      <c r="N19" s="21"/>
      <c r="O19" s="21"/>
      <c r="P19" s="21"/>
      <c r="Q19" s="21"/>
      <c r="R19" s="21"/>
      <c r="S19" s="46"/>
      <c r="T19" s="51"/>
      <c r="U19" s="22"/>
    </row>
    <row r="20" spans="1:21" x14ac:dyDescent="0.3">
      <c r="A20" s="54"/>
      <c r="B20" s="64"/>
      <c r="C20" s="23"/>
      <c r="D20" s="24"/>
      <c r="E20" s="24"/>
      <c r="F20" s="24"/>
      <c r="G20" s="25"/>
      <c r="H20" s="26"/>
      <c r="I20" s="27"/>
      <c r="J20" s="27"/>
      <c r="K20" s="16"/>
      <c r="L20" s="27"/>
      <c r="M20" s="27"/>
      <c r="N20" s="27"/>
      <c r="O20" s="27"/>
      <c r="P20" s="27"/>
      <c r="Q20" s="27"/>
      <c r="R20" s="27"/>
      <c r="S20" s="47"/>
      <c r="T20" s="52"/>
      <c r="U20" s="28"/>
    </row>
    <row r="21" spans="1:21" x14ac:dyDescent="0.3">
      <c r="A21" s="17"/>
      <c r="B21" s="63"/>
      <c r="C21" s="17"/>
      <c r="D21" s="55"/>
      <c r="E21" s="18"/>
      <c r="F21" s="18"/>
      <c r="G21" s="19"/>
      <c r="H21" s="20"/>
      <c r="I21" s="21"/>
      <c r="J21" s="21"/>
      <c r="K21" s="16"/>
      <c r="L21" s="21"/>
      <c r="M21" s="21"/>
      <c r="N21" s="21"/>
      <c r="O21" s="21"/>
      <c r="P21" s="21"/>
      <c r="Q21" s="21"/>
      <c r="R21" s="21"/>
      <c r="S21" s="46"/>
      <c r="T21" s="51"/>
      <c r="U21" s="22"/>
    </row>
    <row r="22" spans="1:21" x14ac:dyDescent="0.3">
      <c r="A22" s="54"/>
      <c r="B22" s="64"/>
      <c r="C22" s="23"/>
      <c r="D22" s="24"/>
      <c r="E22" s="24"/>
      <c r="F22" s="24"/>
      <c r="G22" s="25"/>
      <c r="H22" s="26"/>
      <c r="I22" s="27"/>
      <c r="J22" s="27"/>
      <c r="K22" s="16"/>
      <c r="L22" s="27"/>
      <c r="M22" s="27"/>
      <c r="N22" s="27"/>
      <c r="O22" s="27"/>
      <c r="P22" s="27"/>
      <c r="Q22" s="27"/>
      <c r="R22" s="27"/>
      <c r="S22" s="47"/>
      <c r="T22" s="52"/>
      <c r="U22" s="28"/>
    </row>
    <row r="23" spans="1:21" x14ac:dyDescent="0.3">
      <c r="A23" s="17"/>
      <c r="B23" s="65"/>
      <c r="C23" s="17"/>
      <c r="D23" s="55"/>
      <c r="E23" s="18"/>
      <c r="F23" s="18"/>
      <c r="G23" s="19"/>
      <c r="H23" s="20"/>
      <c r="I23" s="21"/>
      <c r="J23" s="21"/>
      <c r="K23" s="16"/>
      <c r="L23" s="21"/>
      <c r="M23" s="21"/>
      <c r="N23" s="21"/>
      <c r="O23" s="21"/>
      <c r="P23" s="21"/>
      <c r="Q23" s="21"/>
      <c r="R23" s="21"/>
      <c r="S23" s="46"/>
      <c r="T23" s="51"/>
      <c r="U23" s="22"/>
    </row>
    <row r="24" spans="1:21" x14ac:dyDescent="0.3">
      <c r="A24" s="54"/>
      <c r="B24" s="64"/>
      <c r="C24" s="23"/>
      <c r="D24" s="24"/>
      <c r="E24" s="24"/>
      <c r="F24" s="24"/>
      <c r="G24" s="25"/>
      <c r="H24" s="26"/>
      <c r="I24" s="27"/>
      <c r="J24" s="27"/>
      <c r="K24" s="16"/>
      <c r="L24" s="27"/>
      <c r="M24" s="27"/>
      <c r="N24" s="27"/>
      <c r="O24" s="27"/>
      <c r="P24" s="27"/>
      <c r="Q24" s="27"/>
      <c r="R24" s="27"/>
      <c r="S24" s="47"/>
      <c r="T24" s="52"/>
      <c r="U24" s="28"/>
    </row>
    <row r="25" spans="1:21" x14ac:dyDescent="0.3">
      <c r="A25" s="17"/>
      <c r="B25" s="63"/>
      <c r="C25" s="17"/>
      <c r="D25" s="55"/>
      <c r="E25" s="18"/>
      <c r="F25" s="18"/>
      <c r="G25" s="19"/>
      <c r="H25" s="20"/>
      <c r="I25" s="21"/>
      <c r="J25" s="21"/>
      <c r="K25" s="16"/>
      <c r="L25" s="21"/>
      <c r="M25" s="21"/>
      <c r="N25" s="21"/>
      <c r="O25" s="21"/>
      <c r="P25" s="21"/>
      <c r="Q25" s="21"/>
      <c r="R25" s="21"/>
      <c r="S25" s="46"/>
      <c r="T25" s="51"/>
      <c r="U25" s="22"/>
    </row>
    <row r="26" spans="1:21" x14ac:dyDescent="0.3">
      <c r="A26" s="54"/>
      <c r="B26" s="64"/>
      <c r="C26" s="23"/>
      <c r="D26" s="24"/>
      <c r="E26" s="24"/>
      <c r="F26" s="24"/>
      <c r="G26" s="25"/>
      <c r="H26" s="26"/>
      <c r="I26" s="27"/>
      <c r="J26" s="27"/>
      <c r="K26" s="16"/>
      <c r="L26" s="27"/>
      <c r="M26" s="27"/>
      <c r="N26" s="27"/>
      <c r="O26" s="27"/>
      <c r="P26" s="27"/>
      <c r="Q26" s="27"/>
      <c r="R26" s="27"/>
      <c r="S26" s="47"/>
      <c r="T26" s="52"/>
      <c r="U26" s="28"/>
    </row>
    <row r="27" spans="1:21" x14ac:dyDescent="0.3">
      <c r="A27" s="17"/>
      <c r="B27" s="63"/>
      <c r="C27" s="17"/>
      <c r="D27" s="55"/>
      <c r="E27" s="18"/>
      <c r="F27" s="18"/>
      <c r="G27" s="19"/>
      <c r="H27" s="20"/>
      <c r="I27" s="21"/>
      <c r="J27" s="21"/>
      <c r="K27" s="16"/>
      <c r="L27" s="21"/>
      <c r="M27" s="21"/>
      <c r="N27" s="21"/>
      <c r="O27" s="21"/>
      <c r="P27" s="21"/>
      <c r="Q27" s="21"/>
      <c r="R27" s="21"/>
      <c r="S27" s="46"/>
      <c r="T27" s="51"/>
      <c r="U27" s="22"/>
    </row>
    <row r="28" spans="1:21" x14ac:dyDescent="0.3">
      <c r="A28" s="54"/>
      <c r="B28" s="64"/>
      <c r="C28" s="23"/>
      <c r="D28" s="24"/>
      <c r="E28" s="24"/>
      <c r="F28" s="24"/>
      <c r="G28" s="25"/>
      <c r="H28" s="26"/>
      <c r="I28" s="27"/>
      <c r="J28" s="27"/>
      <c r="K28" s="16"/>
      <c r="L28" s="27"/>
      <c r="M28" s="27"/>
      <c r="N28" s="27"/>
      <c r="O28" s="27"/>
      <c r="P28" s="27"/>
      <c r="Q28" s="27"/>
      <c r="R28" s="27"/>
      <c r="S28" s="47"/>
      <c r="T28" s="52"/>
      <c r="U28" s="28"/>
    </row>
    <row r="29" spans="1:21" x14ac:dyDescent="0.3">
      <c r="A29" s="66"/>
      <c r="B29" s="63"/>
      <c r="C29" s="17"/>
      <c r="D29" s="55"/>
      <c r="E29" s="18"/>
      <c r="F29" s="18"/>
      <c r="G29" s="19"/>
      <c r="H29" s="20"/>
      <c r="I29" s="21"/>
      <c r="J29" s="21"/>
      <c r="K29" s="16"/>
      <c r="L29" s="21"/>
      <c r="M29" s="21"/>
      <c r="N29" s="21"/>
      <c r="O29" s="21"/>
      <c r="P29" s="21"/>
      <c r="Q29" s="21"/>
      <c r="R29" s="21"/>
      <c r="S29" s="46"/>
      <c r="T29" s="51"/>
      <c r="U29" s="22"/>
    </row>
    <row r="30" spans="1:21" x14ac:dyDescent="0.3">
      <c r="A30" s="54"/>
      <c r="B30" s="64"/>
      <c r="C30" s="23"/>
      <c r="D30" s="24"/>
      <c r="E30" s="24"/>
      <c r="F30" s="24"/>
      <c r="G30" s="25"/>
      <c r="H30" s="26"/>
      <c r="I30" s="27"/>
      <c r="J30" s="27"/>
      <c r="K30" s="16"/>
      <c r="L30" s="27"/>
      <c r="M30" s="27"/>
      <c r="N30" s="27"/>
      <c r="O30" s="27"/>
      <c r="P30" s="27"/>
      <c r="Q30" s="27"/>
      <c r="R30" s="27"/>
      <c r="S30" s="47"/>
      <c r="T30" s="52"/>
      <c r="U30" s="28"/>
    </row>
    <row r="31" spans="1:21" x14ac:dyDescent="0.3">
      <c r="A31" s="66"/>
      <c r="B31" s="63"/>
      <c r="C31" s="17"/>
      <c r="D31" s="55"/>
      <c r="E31" s="18"/>
      <c r="F31" s="18"/>
      <c r="G31" s="19"/>
      <c r="H31" s="20"/>
      <c r="I31" s="21"/>
      <c r="J31" s="21"/>
      <c r="K31" s="16"/>
      <c r="L31" s="21"/>
      <c r="M31" s="21"/>
      <c r="N31" s="21"/>
      <c r="O31" s="21"/>
      <c r="P31" s="21"/>
      <c r="Q31" s="21"/>
      <c r="R31" s="21"/>
      <c r="S31" s="46"/>
      <c r="T31" s="51"/>
      <c r="U31" s="22"/>
    </row>
    <row r="32" spans="1:21" x14ac:dyDescent="0.3">
      <c r="A32" s="54"/>
      <c r="B32" s="64"/>
      <c r="C32" s="23"/>
      <c r="D32" s="24"/>
      <c r="E32" s="24"/>
      <c r="F32" s="24"/>
      <c r="G32" s="25"/>
      <c r="H32" s="26"/>
      <c r="I32" s="27"/>
      <c r="J32" s="27"/>
      <c r="K32" s="16"/>
      <c r="L32" s="27"/>
      <c r="M32" s="27"/>
      <c r="N32" s="27"/>
      <c r="O32" s="27"/>
      <c r="P32" s="27"/>
      <c r="Q32" s="27"/>
      <c r="R32" s="27"/>
      <c r="S32" s="47"/>
      <c r="T32" s="52"/>
      <c r="U32" s="28"/>
    </row>
    <row r="33" spans="1:21" x14ac:dyDescent="0.3">
      <c r="A33" s="66"/>
      <c r="B33" s="63"/>
      <c r="C33" s="17"/>
      <c r="D33" s="55"/>
      <c r="E33" s="18"/>
      <c r="F33" s="18"/>
      <c r="G33" s="19"/>
      <c r="H33" s="20"/>
      <c r="I33" s="21"/>
      <c r="J33" s="21"/>
      <c r="K33" s="16"/>
      <c r="L33" s="21"/>
      <c r="M33" s="21"/>
      <c r="N33" s="21"/>
      <c r="O33" s="21"/>
      <c r="P33" s="21"/>
      <c r="Q33" s="21"/>
      <c r="R33" s="21"/>
      <c r="S33" s="46"/>
      <c r="T33" s="51"/>
      <c r="U33" s="22"/>
    </row>
    <row r="34" spans="1:21" x14ac:dyDescent="0.3">
      <c r="A34" s="54"/>
      <c r="B34" s="64"/>
      <c r="C34" s="23"/>
      <c r="D34" s="24"/>
      <c r="E34" s="24"/>
      <c r="F34" s="24"/>
      <c r="G34" s="25"/>
      <c r="H34" s="26"/>
      <c r="I34" s="27"/>
      <c r="J34" s="27"/>
      <c r="K34" s="16"/>
      <c r="L34" s="27"/>
      <c r="M34" s="27"/>
      <c r="N34" s="27"/>
      <c r="O34" s="27"/>
      <c r="P34" s="27"/>
      <c r="Q34" s="27"/>
      <c r="R34" s="27"/>
      <c r="S34" s="47"/>
      <c r="T34" s="52"/>
      <c r="U34" s="28"/>
    </row>
    <row r="35" spans="1:21" x14ac:dyDescent="0.3">
      <c r="A35" s="66"/>
      <c r="B35" s="63"/>
      <c r="C35" s="17"/>
      <c r="D35" s="55"/>
      <c r="E35" s="18"/>
      <c r="F35" s="18"/>
      <c r="G35" s="19"/>
      <c r="H35" s="20"/>
      <c r="I35" s="21"/>
      <c r="J35" s="21"/>
      <c r="K35" s="16"/>
      <c r="L35" s="21"/>
      <c r="M35" s="21"/>
      <c r="N35" s="21"/>
      <c r="O35" s="21"/>
      <c r="P35" s="21"/>
      <c r="Q35" s="21"/>
      <c r="R35" s="21"/>
      <c r="S35" s="46"/>
      <c r="T35" s="51"/>
      <c r="U35" s="22"/>
    </row>
    <row r="36" spans="1:21" x14ac:dyDescent="0.3">
      <c r="A36" s="54"/>
      <c r="B36" s="64"/>
      <c r="C36" s="23"/>
      <c r="D36" s="24"/>
      <c r="E36" s="24"/>
      <c r="F36" s="24"/>
      <c r="G36" s="25"/>
      <c r="H36" s="26"/>
      <c r="I36" s="27"/>
      <c r="J36" s="27"/>
      <c r="K36" s="16"/>
      <c r="L36" s="27"/>
      <c r="M36" s="27"/>
      <c r="N36" s="27"/>
      <c r="O36" s="27"/>
      <c r="P36" s="27"/>
      <c r="Q36" s="27"/>
      <c r="R36" s="27"/>
      <c r="S36" s="47"/>
      <c r="T36" s="52"/>
      <c r="U36" s="28"/>
    </row>
    <row r="37" spans="1:21" x14ac:dyDescent="0.3">
      <c r="A37" s="66"/>
      <c r="B37" s="63"/>
      <c r="C37" s="17"/>
      <c r="D37" s="55"/>
      <c r="E37" s="18"/>
      <c r="F37" s="18"/>
      <c r="G37" s="19"/>
      <c r="H37" s="20"/>
      <c r="I37" s="21"/>
      <c r="J37" s="21"/>
      <c r="K37" s="16"/>
      <c r="L37" s="21"/>
      <c r="M37" s="21"/>
      <c r="N37" s="21"/>
      <c r="O37" s="21"/>
      <c r="P37" s="21"/>
      <c r="Q37" s="21"/>
      <c r="R37" s="21"/>
      <c r="S37" s="46"/>
      <c r="T37" s="51"/>
      <c r="U37" s="22"/>
    </row>
    <row r="38" spans="1:21" x14ac:dyDescent="0.3">
      <c r="A38" s="67"/>
      <c r="B38" s="64"/>
      <c r="C38" s="23"/>
      <c r="D38" s="24"/>
      <c r="E38" s="24"/>
      <c r="F38" s="24"/>
      <c r="G38" s="25"/>
      <c r="H38" s="26"/>
      <c r="I38" s="27"/>
      <c r="J38" s="27"/>
      <c r="K38" s="16"/>
      <c r="L38" s="27"/>
      <c r="M38" s="27"/>
      <c r="N38" s="27"/>
      <c r="O38" s="27"/>
      <c r="P38" s="27"/>
      <c r="Q38" s="27"/>
      <c r="R38" s="27"/>
      <c r="S38" s="47"/>
      <c r="T38" s="52"/>
      <c r="U38" s="28"/>
    </row>
    <row r="39" spans="1:21" x14ac:dyDescent="0.3">
      <c r="A39" s="66"/>
      <c r="B39" s="63"/>
      <c r="C39" s="17"/>
      <c r="D39" s="55"/>
      <c r="E39" s="18"/>
      <c r="F39" s="18"/>
      <c r="G39" s="19"/>
      <c r="H39" s="20"/>
      <c r="I39" s="21"/>
      <c r="J39" s="21"/>
      <c r="K39" s="16"/>
      <c r="L39" s="21"/>
      <c r="M39" s="21"/>
      <c r="N39" s="21"/>
      <c r="O39" s="21"/>
      <c r="P39" s="21"/>
      <c r="Q39" s="21"/>
      <c r="R39" s="21"/>
      <c r="S39" s="46"/>
      <c r="T39" s="51"/>
      <c r="U39" s="22"/>
    </row>
    <row r="40" spans="1:21" x14ac:dyDescent="0.3">
      <c r="A40" s="54"/>
      <c r="B40" s="64"/>
      <c r="C40" s="23"/>
      <c r="D40" s="24"/>
      <c r="E40" s="24"/>
      <c r="F40" s="24"/>
      <c r="G40" s="25"/>
      <c r="H40" s="26"/>
      <c r="I40" s="27"/>
      <c r="J40" s="27"/>
      <c r="K40" s="16"/>
      <c r="L40" s="27"/>
      <c r="M40" s="27"/>
      <c r="N40" s="27"/>
      <c r="O40" s="27"/>
      <c r="P40" s="27"/>
      <c r="Q40" s="27"/>
      <c r="R40" s="27"/>
      <c r="S40" s="47"/>
      <c r="T40" s="52"/>
      <c r="U40" s="28"/>
    </row>
    <row r="41" spans="1:21" x14ac:dyDescent="0.3">
      <c r="A41" s="68"/>
      <c r="B41" s="63"/>
      <c r="C41" s="17"/>
      <c r="D41" s="55"/>
      <c r="E41" s="18"/>
      <c r="F41" s="18"/>
      <c r="G41" s="19"/>
      <c r="H41" s="20"/>
      <c r="I41" s="21"/>
      <c r="J41" s="21"/>
      <c r="K41" s="16"/>
      <c r="L41" s="21"/>
      <c r="M41" s="21"/>
      <c r="N41" s="21"/>
      <c r="O41" s="21"/>
      <c r="P41" s="21"/>
      <c r="Q41" s="21"/>
      <c r="R41" s="21"/>
      <c r="S41" s="46"/>
      <c r="T41" s="51"/>
      <c r="U41" s="22"/>
    </row>
    <row r="42" spans="1:21" x14ac:dyDescent="0.3">
      <c r="A42" s="67"/>
      <c r="B42" s="64"/>
      <c r="C42" s="23"/>
      <c r="D42" s="24"/>
      <c r="E42" s="24"/>
      <c r="F42" s="24"/>
      <c r="G42" s="25"/>
      <c r="H42" s="26"/>
      <c r="I42" s="27"/>
      <c r="J42" s="27"/>
      <c r="K42" s="16"/>
      <c r="L42" s="27"/>
      <c r="M42" s="27"/>
      <c r="N42" s="27"/>
      <c r="O42" s="27"/>
      <c r="P42" s="27"/>
      <c r="Q42" s="27"/>
      <c r="R42" s="27"/>
      <c r="S42" s="47"/>
      <c r="T42" s="52"/>
      <c r="U42" s="28"/>
    </row>
    <row r="43" spans="1:21" x14ac:dyDescent="0.3">
      <c r="A43" s="66"/>
      <c r="B43" s="63"/>
      <c r="C43" s="17"/>
      <c r="D43" s="55"/>
      <c r="E43" s="18"/>
      <c r="F43" s="18"/>
      <c r="G43" s="19"/>
      <c r="H43" s="20"/>
      <c r="I43" s="21"/>
      <c r="J43" s="21"/>
      <c r="K43" s="16"/>
      <c r="L43" s="21"/>
      <c r="M43" s="21"/>
      <c r="N43" s="21"/>
      <c r="O43" s="21"/>
      <c r="P43" s="21"/>
      <c r="Q43" s="21"/>
      <c r="R43" s="21"/>
      <c r="S43" s="46"/>
      <c r="T43" s="51"/>
      <c r="U43" s="22"/>
    </row>
    <row r="44" spans="1:21" x14ac:dyDescent="0.3">
      <c r="A44" s="54"/>
      <c r="B44" s="64"/>
      <c r="C44" s="23"/>
      <c r="D44" s="24"/>
      <c r="E44" s="24"/>
      <c r="F44" s="24"/>
      <c r="G44" s="25"/>
      <c r="H44" s="26"/>
      <c r="I44" s="27"/>
      <c r="J44" s="27"/>
      <c r="K44" s="16"/>
      <c r="L44" s="27"/>
      <c r="M44" s="27"/>
      <c r="N44" s="27"/>
      <c r="O44" s="27"/>
      <c r="P44" s="27"/>
      <c r="Q44" s="27"/>
      <c r="R44" s="27"/>
      <c r="S44" s="47"/>
      <c r="T44" s="52"/>
      <c r="U44" s="28"/>
    </row>
    <row r="45" spans="1:21" x14ac:dyDescent="0.3">
      <c r="A45" s="66"/>
      <c r="B45" s="63"/>
      <c r="C45" s="17"/>
      <c r="D45" s="55"/>
      <c r="E45" s="18"/>
      <c r="F45" s="18"/>
      <c r="G45" s="19"/>
      <c r="H45" s="20"/>
      <c r="I45" s="21"/>
      <c r="J45" s="21"/>
      <c r="K45" s="16"/>
      <c r="L45" s="21"/>
      <c r="M45" s="21"/>
      <c r="N45" s="21"/>
      <c r="O45" s="21"/>
      <c r="P45" s="21"/>
      <c r="Q45" s="21"/>
      <c r="R45" s="21"/>
      <c r="S45" s="46"/>
      <c r="T45" s="51"/>
      <c r="U45" s="22"/>
    </row>
    <row r="46" spans="1:21" x14ac:dyDescent="0.3">
      <c r="A46" s="54"/>
      <c r="B46" s="64"/>
      <c r="C46" s="23"/>
      <c r="D46" s="24"/>
      <c r="E46" s="24"/>
      <c r="F46" s="24"/>
      <c r="G46" s="25"/>
      <c r="H46" s="26"/>
      <c r="I46" s="27"/>
      <c r="J46" s="27"/>
      <c r="K46" s="16"/>
      <c r="L46" s="27"/>
      <c r="M46" s="27"/>
      <c r="N46" s="27"/>
      <c r="O46" s="27"/>
      <c r="P46" s="27"/>
      <c r="Q46" s="27"/>
      <c r="R46" s="27"/>
      <c r="S46" s="47"/>
      <c r="T46" s="52"/>
      <c r="U46" s="28"/>
    </row>
    <row r="47" spans="1:21" x14ac:dyDescent="0.3">
      <c r="A47" s="17"/>
      <c r="B47" s="63"/>
      <c r="C47" s="17"/>
      <c r="D47" s="55"/>
      <c r="E47" s="18"/>
      <c r="F47" s="18"/>
      <c r="G47" s="19"/>
      <c r="H47" s="20"/>
      <c r="I47" s="21"/>
      <c r="J47" s="21"/>
      <c r="K47" s="16"/>
      <c r="L47" s="21"/>
      <c r="M47" s="21"/>
      <c r="N47" s="21"/>
      <c r="O47" s="21"/>
      <c r="P47" s="21"/>
      <c r="Q47" s="21"/>
      <c r="R47" s="21"/>
      <c r="S47" s="46"/>
      <c r="T47" s="51"/>
      <c r="U47" s="22"/>
    </row>
    <row r="48" spans="1:21" ht="17.25" thickBot="1" x14ac:dyDescent="0.35">
      <c r="A48" s="54"/>
      <c r="B48" s="64"/>
      <c r="C48" s="23"/>
      <c r="D48" s="24"/>
      <c r="E48" s="24"/>
      <c r="F48" s="24"/>
      <c r="G48" s="25"/>
      <c r="H48" s="26"/>
      <c r="I48" s="27"/>
      <c r="J48" s="27"/>
      <c r="K48" s="16"/>
      <c r="L48" s="27"/>
      <c r="M48" s="27"/>
      <c r="N48" s="27"/>
      <c r="O48" s="27"/>
      <c r="P48" s="27"/>
      <c r="Q48" s="27"/>
      <c r="R48" s="27"/>
      <c r="S48" s="47"/>
      <c r="T48" s="52"/>
      <c r="U48" s="28"/>
    </row>
    <row r="49" spans="1:21" x14ac:dyDescent="0.3">
      <c r="A49" s="29"/>
      <c r="B49" s="30"/>
      <c r="C49" s="39" t="s">
        <v>10</v>
      </c>
      <c r="D49" s="39"/>
      <c r="E49" s="39"/>
      <c r="F49" s="39"/>
      <c r="G49" s="40">
        <f>SUM(G6:G48)</f>
        <v>0</v>
      </c>
      <c r="H49" s="41">
        <f>SUM(H6:H48)</f>
        <v>9483</v>
      </c>
      <c r="I49" s="41">
        <f>SUM(I6:I48)</f>
        <v>61</v>
      </c>
      <c r="J49" s="42">
        <f>SUM(J6:J48)</f>
        <v>0</v>
      </c>
      <c r="K49" s="9"/>
      <c r="L49" s="40">
        <f t="shared" ref="L49:T49" si="2">SUM(L6:L48)</f>
        <v>0</v>
      </c>
      <c r="M49" s="40">
        <f t="shared" si="2"/>
        <v>0</v>
      </c>
      <c r="N49" s="40">
        <f t="shared" si="2"/>
        <v>0</v>
      </c>
      <c r="O49" s="40">
        <f t="shared" si="2"/>
        <v>0</v>
      </c>
      <c r="P49" s="40">
        <f t="shared" si="2"/>
        <v>11</v>
      </c>
      <c r="Q49" s="40">
        <f t="shared" si="2"/>
        <v>0</v>
      </c>
      <c r="R49" s="40">
        <f t="shared" si="2"/>
        <v>50</v>
      </c>
      <c r="S49" s="44">
        <f t="shared" si="2"/>
        <v>0</v>
      </c>
      <c r="T49" s="53">
        <f t="shared" si="2"/>
        <v>61</v>
      </c>
      <c r="U49" s="43" t="str">
        <f>IF(T49=SUM(I49),"OK","NG")</f>
        <v>OK</v>
      </c>
    </row>
  </sheetData>
  <autoFilter ref="A5:U49" xr:uid="{00000000-0009-0000-0000-00001F000000}"/>
  <mergeCells count="19">
    <mergeCell ref="B1:C1"/>
    <mergeCell ref="F1:G1"/>
    <mergeCell ref="H1:J3"/>
    <mergeCell ref="B2:C2"/>
    <mergeCell ref="A4:D4"/>
    <mergeCell ref="E4:G4"/>
    <mergeCell ref="H4:J4"/>
    <mergeCell ref="R4:R5"/>
    <mergeCell ref="S4:S5"/>
    <mergeCell ref="T4:T5"/>
    <mergeCell ref="U2:U3"/>
    <mergeCell ref="B3:C3"/>
    <mergeCell ref="N4:N5"/>
    <mergeCell ref="L4:L5"/>
    <mergeCell ref="M4:M5"/>
    <mergeCell ref="U4:U5"/>
    <mergeCell ref="O4:O5"/>
    <mergeCell ref="P4:P5"/>
    <mergeCell ref="Q4:Q5"/>
  </mergeCells>
  <phoneticPr fontId="3" type="noConversion"/>
  <conditionalFormatting sqref="A4 U6:U49">
    <cfRule type="containsText" dxfId="1" priority="1" operator="containsText" text="NG">
      <formula>NOT(ISERROR(SEARCH("NG",A4)))</formula>
    </cfRule>
    <cfRule type="containsText" dxfId="0" priority="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32</vt:i4>
      </vt:variant>
    </vt:vector>
  </HeadingPairs>
  <TitlesOfParts>
    <vt:vector size="3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종합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정기호</dc:creator>
  <cp:lastModifiedBy>HeeJi Choi</cp:lastModifiedBy>
  <cp:lastPrinted>2014-12-22T05:05:07Z</cp:lastPrinted>
  <dcterms:created xsi:type="dcterms:W3CDTF">2014-12-22T04:38:41Z</dcterms:created>
  <dcterms:modified xsi:type="dcterms:W3CDTF">2026-07-30T01:05:40Z</dcterms:modified>
</cp:coreProperties>
</file>